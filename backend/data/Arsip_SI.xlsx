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rchive Sempro_2020-2023" sheetId="1" r:id="rId5"/>
    <sheet state="visible" name="Archive Pendadaran 2020-2023" sheetId="2" r:id="rId6"/>
  </sheets>
  <definedNames>
    <definedName hidden="1" localSheetId="0" name="_xlnm._FilterDatabase">'Archive Sempro_2020-2023'!$A$1:$AB$627</definedName>
  </definedNames>
  <calcPr/>
</workbook>
</file>

<file path=xl/sharedStrings.xml><?xml version="1.0" encoding="utf-8"?>
<sst xmlns="http://schemas.openxmlformats.org/spreadsheetml/2006/main" count="13547" uniqueCount="4601">
  <si>
    <t>Kosong</t>
  </si>
  <si>
    <t>Timestamp</t>
  </si>
  <si>
    <t>Nama Lengkap</t>
  </si>
  <si>
    <t>NIM</t>
  </si>
  <si>
    <t>Email UAD</t>
  </si>
  <si>
    <t>NO. HP</t>
  </si>
  <si>
    <t xml:space="preserve">Judul </t>
  </si>
  <si>
    <t>Program Studi</t>
  </si>
  <si>
    <t>Dosen Pembimbing</t>
  </si>
  <si>
    <t>Link Jurnal</t>
  </si>
  <si>
    <t>Penguji</t>
  </si>
  <si>
    <t>Hari</t>
  </si>
  <si>
    <t>Jam</t>
  </si>
  <si>
    <t>sertifikat</t>
  </si>
  <si>
    <t>ruang</t>
  </si>
  <si>
    <t>isScheduled</t>
  </si>
  <si>
    <t xml:space="preserve">emal pembimbing </t>
  </si>
  <si>
    <t>start_time</t>
  </si>
  <si>
    <t>jam_mulai</t>
  </si>
  <si>
    <t>end_time</t>
  </si>
  <si>
    <t>Jadwal</t>
  </si>
  <si>
    <t>Sertifikat</t>
  </si>
  <si>
    <t>Mahyuni Lailan Siregar</t>
  </si>
  <si>
    <t>mahyuni1600016098@webmail.uad.ac.id</t>
  </si>
  <si>
    <t>082165035465</t>
  </si>
  <si>
    <t>Analisis Penilaian Risiko pada Sistem Informasi Manajemen Pelayanan Terpadu Menggunakan Framework OCTAVE Allegro. (Studi Kasus Kantor Camat Umbulharjo Yogyakarta).</t>
  </si>
  <si>
    <t>Program Studi Sistem Informasi</t>
  </si>
  <si>
    <t>Prof. Dr. Ir. H. Imam Riadi, S.Pd., M.Kom.</t>
  </si>
  <si>
    <t>Arif Rahman</t>
  </si>
  <si>
    <t>08.00</t>
  </si>
  <si>
    <t>Muh. Sukri</t>
  </si>
  <si>
    <t>muh1600016004@webmail.uad.ac.id</t>
  </si>
  <si>
    <t>082138570557</t>
  </si>
  <si>
    <t>Analisis Penilaian Risiko pada Sistem Pengabdian Dan Kemasyarakatan Menggunakan Framework OCTAVE Allegro</t>
  </si>
  <si>
    <t>10.00</t>
  </si>
  <si>
    <t>Angga Kusuma Adi Dwi Putra</t>
  </si>
  <si>
    <t>angga1600016017@webmail.uad.ac.id</t>
  </si>
  <si>
    <t>082143991456</t>
  </si>
  <si>
    <t>Sistem Reservasi dan Pembelian Tiket Bus Secara Online</t>
  </si>
  <si>
    <t>Dr. Arif Rahman, S.Kom., M.T.</t>
  </si>
  <si>
    <t>Suprihatin</t>
  </si>
  <si>
    <t>Maulida Fazarahma</t>
  </si>
  <si>
    <t>maulida1600016067@webmail.uad.ac.id</t>
  </si>
  <si>
    <t>081392594972</t>
  </si>
  <si>
    <t>Analisis Forensik Mobile Layanan Facebook Messenger Berbasis Web</t>
  </si>
  <si>
    <t>Mursid W Hannto</t>
  </si>
  <si>
    <t>Dhia Asa Imtinan</t>
  </si>
  <si>
    <t>dhia1611016081@webmail.uad.ac.id</t>
  </si>
  <si>
    <t>085712936531(wa)</t>
  </si>
  <si>
    <t>Forensik Mobile Layanan Facebook Messenger Lite Berbasis Android Menggunakan Metode Digital Framework Investigation Model</t>
  </si>
  <si>
    <t>rabu, 6 mei 2020,</t>
  </si>
  <si>
    <t>Oldy Ray Prayogo</t>
  </si>
  <si>
    <t>Oldy1600016106@webmail.uad.ac.id</t>
  </si>
  <si>
    <t>087821111810</t>
  </si>
  <si>
    <t xml:space="preserve">Analisis Forensik Router Terhadap Serangan Distributed Denail of Service (DDoS) </t>
  </si>
  <si>
    <t>13.00</t>
  </si>
  <si>
    <t>revani saputra</t>
  </si>
  <si>
    <t>revani1600016039@webmail.uad.ac.id</t>
  </si>
  <si>
    <t>082327137094</t>
  </si>
  <si>
    <t>Forensik Browser pada aplikasi twitter web menggunakan metode National Institute of Standart Technology (NIST)  SP 800-86</t>
  </si>
  <si>
    <t>Sekar Utami Ayuningtias</t>
  </si>
  <si>
    <t>sekar1600016093@webmail.uad.ac.id</t>
  </si>
  <si>
    <t>082138357168</t>
  </si>
  <si>
    <t>Forensik Email Terhadap Serangan Email Spoofing Menggunakan Analisis Header</t>
  </si>
  <si>
    <t>Nurul Vatqiah</t>
  </si>
  <si>
    <t>Nurul1611016083@webmail.uad.ac.id</t>
  </si>
  <si>
    <t>085536570564</t>
  </si>
  <si>
    <t>Forensik Web Browser Berbasis Desktop Menggunakan Metode Live Forensik</t>
  </si>
  <si>
    <t>Wina Ramadhan</t>
  </si>
  <si>
    <t>wina1600016043@webmail.uad.ac.id</t>
  </si>
  <si>
    <t>085782310778</t>
  </si>
  <si>
    <t>Analisis Penilaian Risiko pada Sistem Pengadaan Barang Menggunakan Framework Octave Allegro</t>
  </si>
  <si>
    <t>Imam Azhari</t>
  </si>
  <si>
    <t>Afif Nur Ichsan</t>
  </si>
  <si>
    <t>afif1600016016@webmail.uad.ac.id</t>
  </si>
  <si>
    <t>082327774454</t>
  </si>
  <si>
    <t>Analisis Perbandingan Bukti Forensik Mobile Pada Layanan WeChat Messenger Berbasis Android</t>
  </si>
  <si>
    <t>Fauziya Oktariza</t>
  </si>
  <si>
    <t>fauziyah1600016079@webmail.uad.ac.id</t>
  </si>
  <si>
    <t>082211734438</t>
  </si>
  <si>
    <t>Analisis Penilaian Manajemen Risiko Teknologi Informasi Pada Sistem Informasi Akademik Menggunakan Octave Allegro</t>
  </si>
  <si>
    <t>RASJI</t>
  </si>
  <si>
    <t>rasji1600016071@webmail.uad.ac.id</t>
  </si>
  <si>
    <t>0895326748043</t>
  </si>
  <si>
    <t>Optimasi Keamanan Jaringan LAN berbasis VLAN menggunakan metode Network Development Life Cycle (NDLC)</t>
  </si>
  <si>
    <t>Mirawati</t>
  </si>
  <si>
    <t>mira1600016018@webmail.uad.ac.id</t>
  </si>
  <si>
    <t>081252885057</t>
  </si>
  <si>
    <t>Analisis Forensik Mobile Aplikasi Twitter Pada Smartphone Berbasis Android</t>
  </si>
  <si>
    <t>M. Nur Fuad</t>
  </si>
  <si>
    <t>muhammad1500016002@webmail.uad.ac.id</t>
  </si>
  <si>
    <t>082243619631</t>
  </si>
  <si>
    <t>Analisis Penilaian Manajemen Risiko pada Layanan Teknologi Informasi SDM UAD Menggunakan Metode COBIT 5</t>
  </si>
  <si>
    <t>Shely Octiara Asari</t>
  </si>
  <si>
    <t>shely1600016012@webmail.uad.ac.id</t>
  </si>
  <si>
    <t>081332330514</t>
  </si>
  <si>
    <t>Analisis Penilaian Risiko pada Layanan Pos Corporate Menggunakan Framework Octave Allegro</t>
  </si>
  <si>
    <t>Sri Handayaningsih</t>
  </si>
  <si>
    <t>SHERLY MAHDIATI</t>
  </si>
  <si>
    <t>sherly1600016038@webmail.uad.ac.id</t>
  </si>
  <si>
    <t>+6282352945389</t>
  </si>
  <si>
    <t>Sistem Informasi Persuratan Berbasis Web Menggunakan Framework CI
Studi Kasus Tata Usaha Fakultas Kesehatan Masyarakat  Universitas Ahmad Dahlan</t>
  </si>
  <si>
    <t>senin , 11 mei</t>
  </si>
  <si>
    <t>Tomi Pandela</t>
  </si>
  <si>
    <t>tomi1600016010@webmail.uad.ac.id</t>
  </si>
  <si>
    <t>081226133736</t>
  </si>
  <si>
    <t>Forensik Mobile Aplikasi Payment Gateway Berbasis Android Dengan Metode National Institute of Standard Technology (NIST)</t>
  </si>
  <si>
    <t>kamis,</t>
  </si>
  <si>
    <t>Anwar Rasyid Harahap</t>
  </si>
  <si>
    <t>anwar1600016112@webmail.uad.ac.id</t>
  </si>
  <si>
    <t>0822775093934</t>
  </si>
  <si>
    <t>Forensik Mobile Layanan MiChat Messenger Menggunakan Metode National Institute of Standards and Technology</t>
  </si>
  <si>
    <t>selasa , 2 juni</t>
  </si>
  <si>
    <t>Renaldo Ilham Zamzam</t>
  </si>
  <si>
    <t>renaldo1600016091@webmail.uad.ac.id</t>
  </si>
  <si>
    <t>085727745016</t>
  </si>
  <si>
    <t>Perancangan User Interface Aplikasi Presensi 
Berbasis Mobile Menggunakan Metode User 
Centered Design (UCD)</t>
  </si>
  <si>
    <t>Imam Azhari, S.Si., M.Cs.</t>
  </si>
  <si>
    <t>rabu,</t>
  </si>
  <si>
    <t>Rhaka Ardian Fitriatmoko</t>
  </si>
  <si>
    <t xml:space="preserve"> rhaka1600016048@webmail.uad.ac.id</t>
  </si>
  <si>
    <t>081271414621</t>
  </si>
  <si>
    <t>Manajemen Risiko Sistem Informasi Aset dan Persediaan (SIASPER) Menggunakan Framework Octave Allegro</t>
  </si>
  <si>
    <t>Tawar</t>
  </si>
  <si>
    <t>Rosita Dwi Arini</t>
  </si>
  <si>
    <t>rosita1600016042@webmail.uad.ac.id</t>
  </si>
  <si>
    <t>082241305680</t>
  </si>
  <si>
    <t>Manajemen Risiko Sistem Informasi Manajemen Perpustakaan (SIMPUS) Menggunakan Framework Octave Allegro</t>
  </si>
  <si>
    <t>Iwan Tri Riadi Y</t>
  </si>
  <si>
    <t>Djoko Imam Pamungkas</t>
  </si>
  <si>
    <t>djoko1611016082@webmail.uad.ac.id</t>
  </si>
  <si>
    <t>087738905478</t>
  </si>
  <si>
    <t>Pengembangan Aplikasi  “Kobi-App” berbasis Mobile dengan Menggunakan Metode Unified Development Software Process</t>
  </si>
  <si>
    <t>Novi Arbini</t>
  </si>
  <si>
    <t>novi1600016076@webmail.uad.ac.id</t>
  </si>
  <si>
    <t>081339786337</t>
  </si>
  <si>
    <t>Analisis Manajemen Risiko Sistem Informasi Presensi Finger Print Menggunakan 
Metode Octave Allegro</t>
  </si>
  <si>
    <t>Diva Nur Safitri</t>
  </si>
  <si>
    <t>diva1600016086@webmail.uad.ac.id</t>
  </si>
  <si>
    <t>089529008894</t>
  </si>
  <si>
    <t>Analisis dan Perancangan Aplikasi KoBi-App Sebagai Media Pembelajaran Berbasis Mobile Menggunakan Metode Unified Software Development Process (USDP)</t>
  </si>
  <si>
    <t xml:space="preserve">Eka Yulianti Rosa Putri </t>
  </si>
  <si>
    <t>eka1600016044@webmail.uad.ac.id</t>
  </si>
  <si>
    <t>082313290044</t>
  </si>
  <si>
    <t>Analisis Manajemen Risiko Sistem Layanan Pensiunan pada Kantor Pos Menggunakan Metode ITIL V3</t>
  </si>
  <si>
    <t>Zahrotul Amanah</t>
  </si>
  <si>
    <t>zahrotul1600016036@webmail.uad.ac.id</t>
  </si>
  <si>
    <t>081368707584</t>
  </si>
  <si>
    <t>Analisis Manajemen Risiko Teknologi Informasi pada Aplikasi Web Online Shop Menggunakan Octave Allegro</t>
  </si>
  <si>
    <t>selasa, 2 juni,</t>
  </si>
  <si>
    <t>Nela fitria ningsih</t>
  </si>
  <si>
    <t>Nela1600016097@webmail.uad.ac.id</t>
  </si>
  <si>
    <t>081227668329</t>
  </si>
  <si>
    <t>Analisis manajemen risiko pada layanan e-commerce menggunakan framework COBIT 5.0</t>
  </si>
  <si>
    <t>imam Azhari</t>
  </si>
  <si>
    <t>AGUNG NUR MAGHRIBI</t>
  </si>
  <si>
    <t>agung1600016045@webmail.uad.ac.id</t>
  </si>
  <si>
    <t>0895366137893 (WA)</t>
  </si>
  <si>
    <t>Manajemen Risiko pada Sistem Informasi Desa Menggunakan Kerangka Kerja Octave Allegro</t>
  </si>
  <si>
    <t>Muchammad Iman Lizardi</t>
  </si>
  <si>
    <t>muchammad1600016089@webmail.uad.ac.id</t>
  </si>
  <si>
    <t>087778978266</t>
  </si>
  <si>
    <t>Perancangan Aplikasi Mobile Boardgame Edukasi Dengan Metode Digital Game Based Learning-Instruksional Desain</t>
  </si>
  <si>
    <t xml:space="preserve">rabu </t>
  </si>
  <si>
    <t>Eka Anggraini</t>
  </si>
  <si>
    <t>eka1600016021@webmail.uad.ac.id</t>
  </si>
  <si>
    <t>081906110677</t>
  </si>
  <si>
    <t>Analisis Penilaian Risiko pada Layanan Tata Naskah Dinas Elektronik Menggunakan Metode Octave Allegro</t>
  </si>
  <si>
    <t>selasa</t>
  </si>
  <si>
    <t>Putriayu Dewikumalasari</t>
  </si>
  <si>
    <t>putriayu1600016034@webmail.uad.ac.id</t>
  </si>
  <si>
    <t>088227924839</t>
  </si>
  <si>
    <t xml:space="preserve">Analisis Manajemen Risiko pada Layanan E-Layanan Sains (ELSA) Menggunakan Framework Octave Allegro </t>
  </si>
  <si>
    <t>rabu</t>
  </si>
  <si>
    <t>Gilang Arief Winalar</t>
  </si>
  <si>
    <t>gilang1600016074@webmail.uad.ac.id</t>
  </si>
  <si>
    <t>081477075282</t>
  </si>
  <si>
    <t>Pengembangan Boardgame berbasis Android menggunakan Metode Digital Game Based Learning-Instructional Design</t>
  </si>
  <si>
    <t>09.00</t>
  </si>
  <si>
    <t>Suharmi</t>
  </si>
  <si>
    <t>suharmi1600016046@webmail.uad.ac.id</t>
  </si>
  <si>
    <t>085266881469</t>
  </si>
  <si>
    <t>Pengukuran Tingkat Penerimaan Teknologi Pada Penggunaan Sistem Informasi Manajemen Rumah Sakit (SIMRS) UAD Menggunakan Technology Acceptance Model (TAM)</t>
  </si>
  <si>
    <t>Sri Handayaningsih, ST., MT.</t>
  </si>
  <si>
    <t>senin</t>
  </si>
  <si>
    <t>Eriza Annisa Suharyanti</t>
  </si>
  <si>
    <t>eriza1600016085@webmail.uad.ac.id</t>
  </si>
  <si>
    <t>085786557571</t>
  </si>
  <si>
    <t>Analisis Manajemen Risiko Pada Layanan Digital Library (Digilib) Menggunakan Framework Octave Allegro</t>
  </si>
  <si>
    <t>Tristania Setianingrum Dandhung Putri</t>
  </si>
  <si>
    <t>tristania1600016069@webmail.uad.ac.id</t>
  </si>
  <si>
    <t>085652225009</t>
  </si>
  <si>
    <t>Analisis Manajemen Risiko pada Learning Management System (LMS) Menggunakan Framework Octave Allegro</t>
  </si>
  <si>
    <t>Faradila Ega Nurika</t>
  </si>
  <si>
    <t>faradila1600016077</t>
  </si>
  <si>
    <t>081235044248</t>
  </si>
  <si>
    <t>Analisis Tingkat Kepuasan Pengguna E-Office Menggunakan End-User Computing Satisfaction</t>
  </si>
  <si>
    <t>tawar</t>
  </si>
  <si>
    <t>Setiawan Basri</t>
  </si>
  <si>
    <t>setiawan1600016007@webmail.uad.ac.id</t>
  </si>
  <si>
    <t>085828525861</t>
  </si>
  <si>
    <t>Forensik Komputer Pada Instant Messenger Telegram Berbasis Web</t>
  </si>
  <si>
    <t>11.00</t>
  </si>
  <si>
    <t>Ranny Restu Yusnindawati</t>
  </si>
  <si>
    <t>ranny1600016090@webmail.uad.ac.id</t>
  </si>
  <si>
    <t>08881201013</t>
  </si>
  <si>
    <t>Perancangan Data dan Informasi untuk Sistem Informasi Eksekutif Menggunakan Kerangka Kerja Zachman (Studi Kasus Magister Pendidikan Guru Vokasi UAD)</t>
  </si>
  <si>
    <t>Puji Astuti</t>
  </si>
  <si>
    <t>puji1600016028@webmail.uad.ac.id</t>
  </si>
  <si>
    <t>083869420866</t>
  </si>
  <si>
    <t>Pengukuran Tingkat Kesuksesan Sistem Informasi Intra LIPI Dengan Pendekatan Model DeLone dan McLean</t>
  </si>
  <si>
    <t>Mohammad Ridho Fachrurrozi</t>
  </si>
  <si>
    <t>mohammad1600016033@webmail.uad.ac.id</t>
  </si>
  <si>
    <t>0895355274937</t>
  </si>
  <si>
    <t>Forensik Mobile pada Aplikasi Facebook Messenger berbasis Android</t>
  </si>
  <si>
    <t>Angga Tri Putra</t>
  </si>
  <si>
    <t>angga1600016037@webmail.uad.ac.id</t>
  </si>
  <si>
    <t>081353882816</t>
  </si>
  <si>
    <t>Penerapan Data Mining Classification dengan Metode Support Vector Machine untuk Memprediksi Kelayakan Kredit Nasabah Studi Kasus Bank Perkreditan Rakyat Syariah</t>
  </si>
  <si>
    <t>Iwan Tri Riyadi Yanto, M.IT, Ph.D</t>
  </si>
  <si>
    <t xml:space="preserve">senin </t>
  </si>
  <si>
    <t>08.30</t>
  </si>
  <si>
    <t>Ummi Latifah</t>
  </si>
  <si>
    <t>ummi1600016026@webmail.uad.ac.id</t>
  </si>
  <si>
    <t>08989112264</t>
  </si>
  <si>
    <t>Analisis Forensik Mobile Aplikasi Skype pada Smartphone Berbasis Android</t>
  </si>
  <si>
    <t>Tezar Akbar Aashim</t>
  </si>
  <si>
    <t>tezar1500016037@webmail.uad.ac.id</t>
  </si>
  <si>
    <t>082138562525</t>
  </si>
  <si>
    <t>Pengembangan User Interface Sistem Informasi Laboratorium Menggunakan Metode User Centered Design (UCD) Studi Kasus Laboratorium Komputer Program Studi Sistem Informasi FAST-UAD</t>
  </si>
  <si>
    <t>H. Suprihatin, S.Si., M.Kom.</t>
  </si>
  <si>
    <t>jumat , 9.30-11</t>
  </si>
  <si>
    <t>David Rian Ardiansyah</t>
  </si>
  <si>
    <t>david1600016051@webmail.uad.ac.id</t>
  </si>
  <si>
    <t>085524983371</t>
  </si>
  <si>
    <t>Autentikasi Keamanan Jaringan Wireless Menggunakan Metode Captive Portal Berbasis FreeRADIUS</t>
  </si>
  <si>
    <t>jumat , 9-11</t>
  </si>
  <si>
    <t>Aryo Bimo Kusumonegoro</t>
  </si>
  <si>
    <t>aryo1600016027@webmail.uad.ac.id</t>
  </si>
  <si>
    <t>+62 896-0469-6787</t>
  </si>
  <si>
    <t>Analisis Kualitas Layanan Portal Akademik Universitas Ahmad Dahlan Menggunakan Framework ISO 20000</t>
  </si>
  <si>
    <t>Tawar, S.Si., M.Kom.</t>
  </si>
  <si>
    <t>Rizia Fatma Sari</t>
  </si>
  <si>
    <t>rizia1600016020@webmail.uad.ac.id</t>
  </si>
  <si>
    <t>085642387577</t>
  </si>
  <si>
    <t>Analisis Manajemen Risiko Pada Layanan Pendaftaran Rumah Sakit Menggunakan Framework COBIT 5.0</t>
  </si>
  <si>
    <t>Najmi Bekti Samudra</t>
  </si>
  <si>
    <t>najmi1600016095@webmail.uad.ac.id</t>
  </si>
  <si>
    <t>085741385911</t>
  </si>
  <si>
    <t>Evaluasi Usability Website Arena.id berbasis Eight Golden Rules Principle</t>
  </si>
  <si>
    <t>kamis</t>
  </si>
  <si>
    <t>Denny S Afrizal Geha</t>
  </si>
  <si>
    <t>denny1600016029@webmail.uad.ac.id</t>
  </si>
  <si>
    <t>081907207157</t>
  </si>
  <si>
    <t>Analisis dan Desain Antarmuka Pengguna Sistem Informasi Kualitas Lingkungan Hidup Menggunakan Evaluasi Heuristik</t>
  </si>
  <si>
    <t>kamis' 8-9</t>
  </si>
  <si>
    <t>Nurhayati</t>
  </si>
  <si>
    <t>Nurhayati1600016011@webmail.uad.ac.id</t>
  </si>
  <si>
    <t>085338877335</t>
  </si>
  <si>
    <t xml:space="preserve">Perancangan Enterprise Architecture Menggunakan Framework Togaf ADM pada Dinas Komunikasi, Informatika dan Statistik Kabupaten Bima </t>
  </si>
  <si>
    <t>kamis '9-'10</t>
  </si>
  <si>
    <t>Imam Hayatul Jihad</t>
  </si>
  <si>
    <t>imam1500016048@webmail.uad.ac.id</t>
  </si>
  <si>
    <t>081283848569</t>
  </si>
  <si>
    <t>Pengembangan Virtual Guide Berbasis Image Marker Pada Museum Muhammadiyah</t>
  </si>
  <si>
    <t>Pembimbing Pendamping : Farid</t>
  </si>
  <si>
    <t>Andri Marza Akhda</t>
  </si>
  <si>
    <t>andri1600016088@webmail.uad.ac.id</t>
  </si>
  <si>
    <t>082169876676</t>
  </si>
  <si>
    <t>Perancangan dan Pembuatan Sistem Publikasi Artikel Berbasis Web</t>
  </si>
  <si>
    <t>Sabtu, 24 Oktober 2020, 09.00 (WIB)</t>
  </si>
  <si>
    <t>Muzib Nuhyan</t>
  </si>
  <si>
    <t>muzib1600016053@webmail.uad.ac.id</t>
  </si>
  <si>
    <t>081220155153</t>
  </si>
  <si>
    <t>Analisis Keamanan Autentikasi Layanan Sistem Informasi Bimbingan Konseling Menggunakan Teknologi Blockchain</t>
  </si>
  <si>
    <t>Senin, 26 Oktober 2020, 08.00 (WIB)</t>
  </si>
  <si>
    <t>Adi Agung Indrianto</t>
  </si>
  <si>
    <t>adi1500016019@webmail.uad.ac.id</t>
  </si>
  <si>
    <t>081225211320</t>
  </si>
  <si>
    <t>Penilaian Manajemen Risiko pada Sistem Informasi Penelusuran Perkara Menggunakan COBIT 5</t>
  </si>
  <si>
    <t>Kamis, 5 November 2020, 08.00 (WIB)</t>
  </si>
  <si>
    <t>Indriyanto</t>
  </si>
  <si>
    <t>indriyanto1600016013@webmail.uad.ac.id</t>
  </si>
  <si>
    <t>087739153733</t>
  </si>
  <si>
    <t>Analisis Penilaian Risiko pada Sistem Informasi Canasoft Menggunakan Kerangka Kerja Cobit 5</t>
  </si>
  <si>
    <t>Sabtu, 19 Desember 2020, 08.00 (WIB)</t>
  </si>
  <si>
    <t>Cahyo Vigo Al Mu'Arif</t>
  </si>
  <si>
    <t>cahyo1500016020@webmail.uad.ac.id</t>
  </si>
  <si>
    <t>081328696994</t>
  </si>
  <si>
    <t>Sistem Informasi Badan Usaha Milik Desa (BUMDes) Berbasis Web Menggunakan Framework CodeIgniter</t>
  </si>
  <si>
    <t>Sabtu, 2 Januari 2021, ( 13.00 WIB )</t>
  </si>
  <si>
    <t>Agung Gumilang</t>
  </si>
  <si>
    <t>agung1500016034@webmail.uad.ac.id</t>
  </si>
  <si>
    <t>082265006640</t>
  </si>
  <si>
    <t>Pengembangan Back-end Sistem Informasi Manajemen Laboratorium menggunakan Metode Extreme Programming</t>
  </si>
  <si>
    <t>Selasa, 16 Febuari 2021 ( 09.00 WIB )</t>
  </si>
  <si>
    <t>Widiya Safitri BR Sihombing</t>
  </si>
  <si>
    <t>widiya1500016007@webmail.uad.ac.id</t>
  </si>
  <si>
    <t>085245553390</t>
  </si>
  <si>
    <t>Perancangan Desain User Interface
Aplikasi Mobile Portal UAD Menggunakan
Metode User Centered Design (Studi Kasus Portal Sistem Informasi Akademik UAD)</t>
  </si>
  <si>
    <t>Selasa, 16 Febuari 2021 ( 10.00 WIB )</t>
  </si>
  <si>
    <t>Indah Nur Fitriana</t>
  </si>
  <si>
    <t>indah1600016108@webmail.uad.ac.id</t>
  </si>
  <si>
    <t>082134893603</t>
  </si>
  <si>
    <t>Analisis Manajemen Risiko Sistem Informasi Data Pokok Pendidikan Menggunakan Framework COBIT 5</t>
  </si>
  <si>
    <t>Selasa, 16 Febuari 2021 ( 08.00 WIB )</t>
  </si>
  <si>
    <t>Nanda Noveryal</t>
  </si>
  <si>
    <t>nanda1500016026@webmail.uad.ac.id</t>
  </si>
  <si>
    <t>081343718321</t>
  </si>
  <si>
    <t>Analisis Tingkat Kematangan Sistem Informasi Penelusuran Perkara (SIPP) Menggunakan Framework COBIT 5</t>
  </si>
  <si>
    <t>Jum'at, 26 Februari 2021 ( 10.00 WIB )</t>
  </si>
  <si>
    <t>Habib Baharuddin Husain</t>
  </si>
  <si>
    <t>habib1700016088@webmail.uad.ac.id</t>
  </si>
  <si>
    <t>081229304140</t>
  </si>
  <si>
    <t>Evaluasi dan Perancangan Ulang User Interface Aplikasi PesanAja Menggunakan Metode User Centered Design</t>
  </si>
  <si>
    <t>Jum'at, 26 Februari 2021 ( 13.00 WIB )</t>
  </si>
  <si>
    <t>Yes</t>
  </si>
  <si>
    <t>heby royan</t>
  </si>
  <si>
    <t>heby1500016041@webmail.uad.ac.id</t>
  </si>
  <si>
    <t>081392966183</t>
  </si>
  <si>
    <t xml:space="preserve">sistem pendukung keputusan penentuan karyawan terbaik menggunakan metode analytic hierarchy process </t>
  </si>
  <si>
    <t>Sabtu, 21 Maret 2021 ( 10.00 WIB )</t>
  </si>
  <si>
    <t>Faiz Baharudin Umar</t>
  </si>
  <si>
    <t>Faiz1600016006@webmail.uad.ac.id</t>
  </si>
  <si>
    <t>089517341228</t>
  </si>
  <si>
    <t>Sistem Informasi Geografis Pertanahan Desa Gadingsari Kecamatan Sanden Kabupaten Bantul</t>
  </si>
  <si>
    <t>Sabtu, 21 Maret 2021 ( 13.00 WIB )</t>
  </si>
  <si>
    <t>Resagita Amara Puspa</t>
  </si>
  <si>
    <t>resagita1602016080@webmail.uad.ac.id</t>
  </si>
  <si>
    <t>081232607117</t>
  </si>
  <si>
    <t>Perancangan Tata Kelola SPBE Ke Arah Yang Lebih Baik Sesuai Kementrian PANRB di Kabupaten Pacitan</t>
  </si>
  <si>
    <t>Mifthahul Jannah</t>
  </si>
  <si>
    <t>mifthahul1700016051@webmail.uad.ac.id</t>
  </si>
  <si>
    <t>085726803296</t>
  </si>
  <si>
    <t xml:space="preserve">Forensik Digital Layanan Line Messenger Berbasis Web untuk Penanganan Cyber fraud </t>
  </si>
  <si>
    <t>Vioni Retno Gita Leri</t>
  </si>
  <si>
    <t>vioni1700016061@webmail.uad.ac.id</t>
  </si>
  <si>
    <t>085269438598</t>
  </si>
  <si>
    <t>Analisis Forensik Layanan Twitter pada Kasus Penyebaran Konten Pornografi (Cyberporn)</t>
  </si>
  <si>
    <t>Iwan TRY</t>
  </si>
  <si>
    <t>Siddiq Fajar Bhaskoro</t>
  </si>
  <si>
    <t>siddiq1500016059@webmail.uad.ac.id</t>
  </si>
  <si>
    <t>Analisis Penilaian Risiko Pada Sistem Informasi Presensi Menggunakan Framework COBIT 5</t>
  </si>
  <si>
    <t>Adinda Cintya Nur Hidayah</t>
  </si>
  <si>
    <t>adinda1700016019@webmail.uad.ac.id</t>
  </si>
  <si>
    <t>085225736372</t>
  </si>
  <si>
    <t>Analisis Forensik Digital Layanan MiChat Pada Kasus Prostitusi Online Berbasis Mobile</t>
  </si>
  <si>
    <t>Mursid W.H</t>
  </si>
  <si>
    <t>ADITYA BAGUS ROKHMANA PUTRA</t>
  </si>
  <si>
    <t>aditya1700016087@webmail.uad.ac.id</t>
  </si>
  <si>
    <t>085742429651</t>
  </si>
  <si>
    <t>PERANCANGAN ULANG DAN EVALUASI USABILITY APLIKASI BUKU TAMU DIGITAL REKTORAT UNIVERSITAS AHMAD DAHLAN DENGAN METODE USABILITY TESTING DITINJAU DARI TAMU INTERNAL</t>
  </si>
  <si>
    <t>Sri H</t>
  </si>
  <si>
    <t xml:space="preserve">Devi Anzali Putri </t>
  </si>
  <si>
    <t>devi1700016131@webmail.uad.ac.id</t>
  </si>
  <si>
    <t>081271749126</t>
  </si>
  <si>
    <t>Analisis Bukti Digital Kasus Harrasment Pada Layanan WhatsApp Berbasis Mobile</t>
  </si>
  <si>
    <t>Cintia Kus Herawati</t>
  </si>
  <si>
    <t>cintia1700016127@webmail.uad.ac.id</t>
  </si>
  <si>
    <t>0895617639538</t>
  </si>
  <si>
    <t>Analisis Forensik Digital Penyebaran Konten Hoax pada Layanan Facebook Berbasis Web</t>
  </si>
  <si>
    <t>Ade Purwanto</t>
  </si>
  <si>
    <t>ade1700016066@webmail.uad.ac.id</t>
  </si>
  <si>
    <t>082288426358</t>
  </si>
  <si>
    <t>Analisis Penilaian Manajemen Risiko Pada Layanan Quality Control Menggunakan Framework COBIT 5</t>
  </si>
  <si>
    <t>Tedy Firdaus</t>
  </si>
  <si>
    <t>tedy1700016075@webmail.uad.ac.id</t>
  </si>
  <si>
    <t>089661131567</t>
  </si>
  <si>
    <t>Pengimplementasian Metode Amaba dalam
Perancangan User Interface Aplikasi
Pembelajaran Al-Quran Berbasis Mobile
Terhadap Disabilitas TunaRungu
Menggunakan Metodologi User Centered
Design</t>
  </si>
  <si>
    <t>Sri Mutmaina Dusu</t>
  </si>
  <si>
    <t>Sri1700016043@webmail.uad.ac.id</t>
  </si>
  <si>
    <t>082340001708</t>
  </si>
  <si>
    <t>Analisis Forensik Layanan Facebook pada kasus Harassment Berbasis Mobile</t>
  </si>
  <si>
    <t>Aulia Putri Utami</t>
  </si>
  <si>
    <t>aulia1700016113@webmail.uad.ac.id</t>
  </si>
  <si>
    <t>081336601063</t>
  </si>
  <si>
    <t>Analisis Forensik Line Messenger Pada Kasus Transaksi Narkoba Berbasis Mobile</t>
  </si>
  <si>
    <t>Dika Adhytama Syafriannur</t>
  </si>
  <si>
    <t>dika1700016016@webmail.uad.ac.id</t>
  </si>
  <si>
    <t>085348777326</t>
  </si>
  <si>
    <t>Perencanaan Dashboard Mahasiswa Sebagai Visualisasi Informasi Untuk Menentukan Kejelasan Bidang Minat Jurusan Program Studi Sistem Informasi Universitas Ahmad Dahlan Dengan Metode Lean UX  dan Usability Testing</t>
  </si>
  <si>
    <t>Imam Azhari, S.Si., M.Cs./Farid Suryanto., S.Pd., M.T.</t>
  </si>
  <si>
    <t>Jumat, 23 April 2021 13.00 WIB</t>
  </si>
  <si>
    <t>Dwi Astuti</t>
  </si>
  <si>
    <t>dwi1600016109@webmail.uad.ac.id</t>
  </si>
  <si>
    <t>085933723590</t>
  </si>
  <si>
    <t>Pengujian Usability dan Perbaikan
Antarmuka Transportasi Dalam Jaringan
pada Aplikasi Maxim</t>
  </si>
  <si>
    <t>Farid S</t>
  </si>
  <si>
    <t>Jumat, 23 April 2021 14.00 WIB</t>
  </si>
  <si>
    <t>Nadia Cahya Kartika</t>
  </si>
  <si>
    <t>nadia1700016082@webmail.uad.ac.id</t>
  </si>
  <si>
    <t>0895401504911</t>
  </si>
  <si>
    <t>Analisis Manajemen Layanan Sistem DAPODIK Menggunakan Framework OCTAVE Allegro</t>
  </si>
  <si>
    <t>Prof. Dr. Ir. H. Imam Riadi, S.Pd., M.Kom./Adi Nugaraha Setiadi, S.T., M.Eng.</t>
  </si>
  <si>
    <t>Kamis, 22 April 2021 08.00 WIB</t>
  </si>
  <si>
    <t>Rivani Arvian Pratama</t>
  </si>
  <si>
    <t>rivani1700016077@webmail.uad.ac.id</t>
  </si>
  <si>
    <t>082316035745</t>
  </si>
  <si>
    <t>Pengembangan Aplikasi WarungQ Menggunakan Framework Scrum</t>
  </si>
  <si>
    <t>Sistem Informasi</t>
  </si>
  <si>
    <t>Dr. Arif Rahman, S.Kom., M.T./Farid Suryanto</t>
  </si>
  <si>
    <t>Rosi Ramadhani</t>
  </si>
  <si>
    <t>rosi1700016103@webmail.uad.ac.id</t>
  </si>
  <si>
    <t>085327969195</t>
  </si>
  <si>
    <t>Sistem Parkir Menggunakan RFID (Radio Frequency Identification)</t>
  </si>
  <si>
    <t>Kamis, 22 April 2021 09.00 WIB</t>
  </si>
  <si>
    <t>Ummi Khasyati Ramdiana</t>
  </si>
  <si>
    <t>ummi1700016137@webmail.uad.ac.id</t>
  </si>
  <si>
    <t>082237672911</t>
  </si>
  <si>
    <t>Perancangan Prototipe Pencatatan Data Ayam untuk Pelaporan Plasma ke PPL
dengan Metode User Centered Design</t>
  </si>
  <si>
    <t>Jumat, 23 April 2021 08.00 WIB</t>
  </si>
  <si>
    <t>Firman Miftahul Hidayat</t>
  </si>
  <si>
    <t>firman1500016066@webmail.uad.ac.id</t>
  </si>
  <si>
    <t>081223084099</t>
  </si>
  <si>
    <t>Pengembangan Media Pembelajaran Augmented Reality Berbasis Android pada Mata Pelajaran Biologi Virus</t>
  </si>
  <si>
    <t>Muhamad Aris Margono</t>
  </si>
  <si>
    <t>muhamad1700016092@webmail.uad.ac.id</t>
  </si>
  <si>
    <t>087773333384</t>
  </si>
  <si>
    <t>Rancang Bangun Aplikasi Augmented Reality Berbasis Android dengan Metode User Defined Target Sebagai Media Pengenalan Produk Perumahan</t>
  </si>
  <si>
    <t>Jumat, 23 April 2021 09.00 WIB</t>
  </si>
  <si>
    <t>CITRA DIKA SAPUTRA</t>
  </si>
  <si>
    <t>citra1600016003@webmail.uad.ac.id</t>
  </si>
  <si>
    <t>082280367171</t>
  </si>
  <si>
    <t>Analisis Penilaian Risiko Layanan Jogja Smart Service Menggunakan Framework COBIT 5</t>
  </si>
  <si>
    <t>Nurul Fatimah</t>
  </si>
  <si>
    <t>nurul1700016056@webmail.uad.ac.id</t>
  </si>
  <si>
    <t>082223633343</t>
  </si>
  <si>
    <t>Sistem Informasi Pembayaran SPP Berbasis Web Dan Sms Gateway Menggunakan Metode Pengembangan USDP (Unified Software Development Process) Studi Kasus Smk Muhammadiyah 2 Wuryantoro</t>
  </si>
  <si>
    <t>Nizar Robbani</t>
  </si>
  <si>
    <t>nizar1711016099@webmail.uad.ac.id</t>
  </si>
  <si>
    <t>081229791903</t>
  </si>
  <si>
    <t>Penilaian Manajemen Risiko Pada Sistem Informasi Inlis Menggunakan Framework COBIT 5</t>
  </si>
  <si>
    <t>DIMAS AMIRUL MU'MININ</t>
  </si>
  <si>
    <t>dimas1700016105@webmail.uad.ac.id</t>
  </si>
  <si>
    <t>085156774062</t>
  </si>
  <si>
    <t>INVESTIGASI KASUS PENIPUAN ONLINE PADA LAYANAN MICHAT BERBASIS MOBILE</t>
  </si>
  <si>
    <t>Kamis, 22 April 2021 11.00 WIB</t>
  </si>
  <si>
    <t>Nela Fitria Ningsih</t>
  </si>
  <si>
    <t>nela1600016097@webmail.uad.ac.id</t>
  </si>
  <si>
    <t>Analisis Penilaian Risiko pada Sistem Informasi Perpustakaan INLISLite versi 3.1 Menggunakan Framework OCTAVE Allegro</t>
  </si>
  <si>
    <t>Kamis, 22 April 2021 10.00 WIB</t>
  </si>
  <si>
    <t>rafif ihsan jaya</t>
  </si>
  <si>
    <t>rafif1700016059@webmail.uad.ac.id</t>
  </si>
  <si>
    <t>08995751079</t>
  </si>
  <si>
    <t>Perancangan User Interface Aplikasi Pengontrol Alat-Alat Elektronik Rumah Tangga (Smart Home)Berbasis Mobile guna Mengurangi Konsumsi Listrik Harian Menggunakan Metode Design Thinking</t>
  </si>
  <si>
    <t>Kamis, 22 April 2021 13.00 WIB</t>
  </si>
  <si>
    <t>Arwanda Isman</t>
  </si>
  <si>
    <t>arwanda1700016049@webmail.uad.ac.id</t>
  </si>
  <si>
    <t>082242903653</t>
  </si>
  <si>
    <t>Evaluasi Usability pada Aplikasi Balebelanja.id dengan Metode Usability Testing</t>
  </si>
  <si>
    <t>Sabtu, 24 April 2021 13.00 WIB</t>
  </si>
  <si>
    <t>Bangun Prakas Sujatmiko</t>
  </si>
  <si>
    <t>bangun1700016070@webmail.uad.ac.id</t>
  </si>
  <si>
    <t>081364892609</t>
  </si>
  <si>
    <t>Sistem Informasi Inventaris Berbasis Web Menggunakan Metode Unified Software Development Process Studi Kasus Madrasah Muallimin Muhammadiyah Yogyakarta</t>
  </si>
  <si>
    <t>Hudzaifah Saiful Haq</t>
  </si>
  <si>
    <t>hudzaifah1711016098@webmail.uad.ac.id</t>
  </si>
  <si>
    <t>085742949812</t>
  </si>
  <si>
    <t>Analisis dan Perancangan Aplikasi BISINDO DIY berbasis Mobile Menggunakan Metode Unified Software Development Process</t>
  </si>
  <si>
    <t>Yona Yohana</t>
  </si>
  <si>
    <t>yona1700016116@webmail.uad.ac.id</t>
  </si>
  <si>
    <t>089690102760</t>
  </si>
  <si>
    <t>Pengembangan Aplikasi BISINDO DIY berbasis Mobile Menggunakan Metode Unified Software Development Process</t>
  </si>
  <si>
    <t>Afif Alhusaini</t>
  </si>
  <si>
    <t>Afif1700016102@webmail.uad.ac.id</t>
  </si>
  <si>
    <t>082285414639</t>
  </si>
  <si>
    <t xml:space="preserve">Analisis Bukti Digital Layanan WhatsApp Pada Kasus Drug Trafficking Berbasis Mobile  
</t>
  </si>
  <si>
    <t>Lutfiah Atsari Sujud</t>
  </si>
  <si>
    <t>lutfiah1700016067@webmail.uad.ac.id</t>
  </si>
  <si>
    <t>082297530842</t>
  </si>
  <si>
    <t>Investigasi Kasus Prostitusi Online pada Layanan Facebook Messenger Berbasis Web</t>
  </si>
  <si>
    <t>Mega Oktaviani Fadillah</t>
  </si>
  <si>
    <t>mega1700016009@webmail.uad.ac.id</t>
  </si>
  <si>
    <t>081315500713</t>
  </si>
  <si>
    <t>Analisis Manajemen Risiko Layanan Validasi Menggunakan Framework COBIT 5</t>
  </si>
  <si>
    <t>Dea Putri Nursari</t>
  </si>
  <si>
    <t>dea1700016101@webmail.uad.ac.id</t>
  </si>
  <si>
    <t>0895616316799</t>
  </si>
  <si>
    <t>Prototipe Aplikasi Homecare Untuk Lansia    Yang Tinggal Sendiri Berbasis Android  Menggunakan Metode Design Thinking</t>
  </si>
  <si>
    <t>Sri Hardianti</t>
  </si>
  <si>
    <t>sri1700016017@webmail.uad.ac.id</t>
  </si>
  <si>
    <t>081228076788</t>
  </si>
  <si>
    <t>Penilaian Risiko Layanan LMS (Learning Management System) Universitas Ahmad Dahlan menggunakan ISO 31000</t>
  </si>
  <si>
    <t>Whuty Meidilla Vadice</t>
  </si>
  <si>
    <t>whuty1700016135@webmail.uad.ac.id</t>
  </si>
  <si>
    <t>082272506066</t>
  </si>
  <si>
    <t>Investigasi Bukti Digital Layanan Tinder pada Kasus Penipuan Berbasis Mobile</t>
  </si>
  <si>
    <t>Nunung Anggriani</t>
  </si>
  <si>
    <t>nunung1700016031@webmail.uad.ac.id</t>
  </si>
  <si>
    <t>082340956285</t>
  </si>
  <si>
    <t>Analisis Forensik Kasus Hate Speech pada Layanan Facebook Berbasis Mobile</t>
  </si>
  <si>
    <t>14.00</t>
  </si>
  <si>
    <t>Syofia Nur Aniza</t>
  </si>
  <si>
    <t>syofia1700016062@webmail.uad.ac.id</t>
  </si>
  <si>
    <t>082373823046</t>
  </si>
  <si>
    <t>Investigasi Penipuan Jual Beli pada Layanan WhatsApp Berbasis Mobile</t>
  </si>
  <si>
    <t>Dian Pertiwi</t>
  </si>
  <si>
    <t>dian1700016025@webmail.uad.ac.id</t>
  </si>
  <si>
    <t>082134167150</t>
  </si>
  <si>
    <t>Analisis Forensik kasus Pemerasan pada Layanan Facebook Messenger 
Berbasis Mobile</t>
  </si>
  <si>
    <t>08.00 WIB</t>
  </si>
  <si>
    <t>Suryani</t>
  </si>
  <si>
    <t>suryani1700016109@webmail.uad.ac.id</t>
  </si>
  <si>
    <t>082384827977</t>
  </si>
  <si>
    <t>Investigasi Kasus Hate speech Pada Layanan Twitter Berbasis Web</t>
  </si>
  <si>
    <t>08.45 WIB</t>
  </si>
  <si>
    <t>Regina fitria</t>
  </si>
  <si>
    <t>regina1700016024@webmail.uad.ac.id</t>
  </si>
  <si>
    <t>081230769756</t>
  </si>
  <si>
    <t xml:space="preserve">Investigasi Bukti Digital Layanan Facebook pada Kasus Penipuan Jual Beli Online 
Berbasis Mobile </t>
  </si>
  <si>
    <t>09.30 WIB</t>
  </si>
  <si>
    <t>Pangestu Windu Bahari</t>
  </si>
  <si>
    <t>pangestu1700016086@webmail.uad.ac.id</t>
  </si>
  <si>
    <t>082134026088</t>
  </si>
  <si>
    <t>Investigasi Bukti Digital Layanan Facebook Pada Kasus Iklan Jual Beli Organ Manusia</t>
  </si>
  <si>
    <t>10.15 WIB</t>
  </si>
  <si>
    <t>Chelsea Sept. Thiani Puri</t>
  </si>
  <si>
    <t>chelsea1700016008@webmail.uad.ac.id</t>
  </si>
  <si>
    <t>081390785325</t>
  </si>
  <si>
    <t>Forensik Layanan Facebook Messenger pada Kasus Penipuan Arisan Online Berbasis Web</t>
  </si>
  <si>
    <t>11.00 WIB</t>
  </si>
  <si>
    <t>Samuryati</t>
  </si>
  <si>
    <t>samuryati1700016023@webmail.uad.ac.id</t>
  </si>
  <si>
    <t>085333646896</t>
  </si>
  <si>
    <t>Penilaian Risiko Layanan Sistem Informasi Manajemen Kegiatan Mahasiswa Menggunakan Framework COBIT 5</t>
  </si>
  <si>
    <t>Nita Rosiana</t>
  </si>
  <si>
    <t>nita1700016085@webmail.uad.ac.id</t>
  </si>
  <si>
    <t>0859131332242</t>
  </si>
  <si>
    <t>Analisis Forensik Digital Layanan Facebook Messenger pada Kasus Sextortion Berbasis Mobile</t>
  </si>
  <si>
    <t>08.30 WIB</t>
  </si>
  <si>
    <t>Rizin Kartika</t>
  </si>
  <si>
    <t>rizin1700016095@webmail.uad.ac.id</t>
  </si>
  <si>
    <t>082133088360</t>
  </si>
  <si>
    <t>Analisis Pemodelan Proses Bisnis Menggunakan Business Process Modelling Notation (BPMN)</t>
  </si>
  <si>
    <t xml:space="preserve">11.00 WIB </t>
  </si>
  <si>
    <t>Bagus Akbar Harimanto</t>
  </si>
  <si>
    <t>bagus1700016050@webmail.uad.ac.id</t>
  </si>
  <si>
    <t>087839372152</t>
  </si>
  <si>
    <t>Pemodelan Proses Bisnis Bidang Prestasi Biro
Kemahasiswaan dan Alumni (BIMAWA) Menggunakan
Business Process Model and Notation (BPMN)</t>
  </si>
  <si>
    <t>I Riadi</t>
  </si>
  <si>
    <t xml:space="preserve">09.30 WIB </t>
  </si>
  <si>
    <t>Cindy Amelia</t>
  </si>
  <si>
    <t>Cindy1700016013@webmail.uad.ac.id</t>
  </si>
  <si>
    <t>081325661329</t>
  </si>
  <si>
    <t>Forensik Digital Kasus Pemerasan Pada Layanan WhatsApp Berbasis Web</t>
  </si>
  <si>
    <t>13.15 WIB</t>
  </si>
  <si>
    <t>Syahrul Khori Abrianto</t>
  </si>
  <si>
    <t>syahrul1700016069@webmail.uad.ac.id</t>
  </si>
  <si>
    <t>085290808863</t>
  </si>
  <si>
    <t>Investigasi Forensik Kasus Prostitusi Online Pada Layanan WhatsApp Berbasis Mobile</t>
  </si>
  <si>
    <t>14.00 WIB</t>
  </si>
  <si>
    <t>Muhammad Syafarul</t>
  </si>
  <si>
    <t>muhammad1700016039@webmail.uad.ac.id</t>
  </si>
  <si>
    <t>081228814229</t>
  </si>
  <si>
    <t>Analisis Bukti Digital Facebook Messenger untuk Penanganan Kasus Blasphemy</t>
  </si>
  <si>
    <t>Ida Indriana</t>
  </si>
  <si>
    <t>ida1700016084@webmail.uad.ac.id</t>
  </si>
  <si>
    <t>0895402468020</t>
  </si>
  <si>
    <t>Analisis Pemodelan Proses Bisnis Menggunakan
Business Process Modelling Notation (BPMN)
Studi Kasus Layanan Beasiswa BIMAWA-UAD</t>
  </si>
  <si>
    <t>10.30 WIB</t>
  </si>
  <si>
    <t>Iraunasya Wiyanto</t>
  </si>
  <si>
    <t>iraunasya1700016052@webmail.uad.ac.id</t>
  </si>
  <si>
    <t>082198671958</t>
  </si>
  <si>
    <t>Investigasi Kasus Sexual Harassment Pada Layanan Twitter Berbasis Web</t>
  </si>
  <si>
    <t>09.00 WIB</t>
  </si>
  <si>
    <t>Heris Pambudi Susilo</t>
  </si>
  <si>
    <t>heris1700016045@webmail.uad.ac.id</t>
  </si>
  <si>
    <t>083840012423</t>
  </si>
  <si>
    <t>Penggunaan Web Server Dalam Situs Web 3D Studi Kasus Bankit Craft Yogyakarta</t>
  </si>
  <si>
    <t>Dr. Mursid Wahyu Hananto, M.Kom.</t>
  </si>
  <si>
    <t>13.00 WIB</t>
  </si>
  <si>
    <t>Kirana Septika Sari</t>
  </si>
  <si>
    <t>kirana1700016038@webmail.uad.ac.id</t>
  </si>
  <si>
    <t>0895363162335</t>
  </si>
  <si>
    <t>Klasifikasi Evaluasi Studi Mahasiswa Dengan Menggunakan Supervised Learning</t>
  </si>
  <si>
    <t>Jum'at, 11 Juni 2021</t>
  </si>
  <si>
    <t>shandy maulana</t>
  </si>
  <si>
    <t>shandy1700016071@webmail.uad.ac.id</t>
  </si>
  <si>
    <t>082178532722</t>
  </si>
  <si>
    <t>Pemodelan proses bisnis layanan SKPI menggunakan BPMN di BIMAWA UAD</t>
  </si>
  <si>
    <t>Anggi Tri Lestari</t>
  </si>
  <si>
    <t>anggi1700016030@webmail.uad.ac.id</t>
  </si>
  <si>
    <t>081339817747</t>
  </si>
  <si>
    <t>Analisis Sentimen Data Twitter Covid19 di Indonesia Menggunakan Metode Random Forest</t>
  </si>
  <si>
    <t>Andri Aprilian</t>
  </si>
  <si>
    <t>andri1700016007@webmail.uad.ac.id</t>
  </si>
  <si>
    <t>082282480903</t>
  </si>
  <si>
    <t>Analisis Forensik Cctv Pada Kasus Pencurian Menggunakan Logical Framework Approach</t>
  </si>
  <si>
    <t>Holan Rahmatullah Suhut Nadenggan</t>
  </si>
  <si>
    <t>holan1700016004@webmail.uad.ac.id</t>
  </si>
  <si>
    <t>085263317156</t>
  </si>
  <si>
    <t xml:space="preserve">Analisis Kinerja Jaringan Komputer Menggunakan Quality of Service (QoS)
Pada Local Area Network (LAN) </t>
  </si>
  <si>
    <t>10.00 WIB</t>
  </si>
  <si>
    <t>Mansyur Salim</t>
  </si>
  <si>
    <t>salim1700016093@webmail.uad.ac.id</t>
  </si>
  <si>
    <t>087705062155</t>
  </si>
  <si>
    <t>Aplikasi Identifikasi Citra Spesies Bunga Di Indonesia Menggunakan Convolutional Neural Network Dan Transfer Learning</t>
  </si>
  <si>
    <t>Neni Octavia</t>
  </si>
  <si>
    <t>neni1700016073@webmail.uad.ac.id</t>
  </si>
  <si>
    <t>089609145520</t>
  </si>
  <si>
    <t>Pemodelan Proses Bisnis Layanan Kewirausahaan Menggunakan Business Process Modelling Notation (BPMN) di Bimawa-UAD</t>
  </si>
  <si>
    <t>Wendi Ari Wilianto</t>
  </si>
  <si>
    <t>wendi1700016090@webmail.uad.ac.id</t>
  </si>
  <si>
    <t>085835616171</t>
  </si>
  <si>
    <t>Analisis Penilaian Risiko pada Pelayanan Zakat Menggunakan Framework COBIT 5</t>
  </si>
  <si>
    <t>Angga Rifzki Nugraha</t>
  </si>
  <si>
    <t>angga1700016005@webmail.uad.ac.id</t>
  </si>
  <si>
    <t>0859162732831</t>
  </si>
  <si>
    <t>Pembuatan Sistem Informasi Manajemen Arisp Surat Berbasis Web Menggunakan Metode Unified Software Development Process (USDP)</t>
  </si>
  <si>
    <t>Jum'at, 18 Juni 2021</t>
  </si>
  <si>
    <t>Sefri Argini</t>
  </si>
  <si>
    <t>sefri1700016119@webmail.uad.ac.id</t>
  </si>
  <si>
    <t>082268941093</t>
  </si>
  <si>
    <t>Analisis Perbandingan Strategi Promosi pada Media Sosial Twitter dan Instagram untuk Meningkatkan Penjualan</t>
  </si>
  <si>
    <t>Angelin Francisca Tamara</t>
  </si>
  <si>
    <t>angelin1700016014@webmail.uad.ac.id</t>
  </si>
  <si>
    <t>088215134122</t>
  </si>
  <si>
    <t>Analisis Penilaian Risiko Layanan Kredit Mahasiswa Menggunakan Framework  COBIT 5</t>
  </si>
  <si>
    <t>Randi Fajar Ramadhan</t>
  </si>
  <si>
    <t>randi1600016009@webmail.uad.ac.id</t>
  </si>
  <si>
    <t>081333932086</t>
  </si>
  <si>
    <t>Pemanfaatan visualisasi tiga dimensi untuk penjualan produk rumah tangga</t>
  </si>
  <si>
    <t>Eko Bambang Nuralim</t>
  </si>
  <si>
    <t>eko1600016084@webmail.uad.ac.id</t>
  </si>
  <si>
    <t>085750410578</t>
  </si>
  <si>
    <t>Analisis Penilaian Risiko Layanan DISDUKCAPIL Smart Bantul  Menggunakan Framework COBIT 5</t>
  </si>
  <si>
    <t>Perancangan Aplikasi Sistem Informasi Membership Alumni berbasis Mobile menggunakan Metode Object Oriented Analysis and Design</t>
  </si>
  <si>
    <t>M. Izam Ismail</t>
  </si>
  <si>
    <t>mohamad1500016068@webmail.uad.ac.id</t>
  </si>
  <si>
    <t>089625376245</t>
  </si>
  <si>
    <t>Analisis Kepuasan Pengguna Rex Regium Qeon (RRQ) Menggunakan Metode End User Computing Satisfaction</t>
  </si>
  <si>
    <t>Yudra Aulia Rahman</t>
  </si>
  <si>
    <t>yudra1700016068@webmail.uad.ac.id</t>
  </si>
  <si>
    <t>08115110105</t>
  </si>
  <si>
    <t>Pengenalan Hewan Dengan Teknologi Augmented Reality Sebagai Media Pembelajaran Untuk Tingkat TK atau PAUD</t>
  </si>
  <si>
    <t>Yuni Putri Andriani</t>
  </si>
  <si>
    <t>yuni1700016081@webmail.uad.ac.id</t>
  </si>
  <si>
    <t>081286102827</t>
  </si>
  <si>
    <t>Analisis Manajemen Risiko Layanan Monitoring Menggunakan Framework COBIT 5</t>
  </si>
  <si>
    <t>Jum'at, 30 Juli 2021</t>
  </si>
  <si>
    <t>Minda Juwita</t>
  </si>
  <si>
    <t>minda1700016044@webmail.uad.ac.id</t>
  </si>
  <si>
    <t>083827007812</t>
  </si>
  <si>
    <t>Analisis Kebutuhan Informasi Raja Tour Pangandaran</t>
  </si>
  <si>
    <t>Odjie Dwianto</t>
  </si>
  <si>
    <t>odjie1700016020@webmail.uad.ac.id</t>
  </si>
  <si>
    <t>085867737423</t>
  </si>
  <si>
    <t>Penilaian Manajemen Risiko Pada Layanan CMS Menggunakan Framework COBIT 5</t>
  </si>
  <si>
    <t>Pradana yoga pangestu</t>
  </si>
  <si>
    <t>pradana1700016010@webmail.uad.ac.id</t>
  </si>
  <si>
    <t>082143932513</t>
  </si>
  <si>
    <t>Analisis dan Pemodelan Proses Bisnis
Menggunakan BPMN
Studi Kasus Pusat Pengembangan Karir BIMAWA UAD</t>
  </si>
  <si>
    <t>Dendi Pakerti Pratama</t>
  </si>
  <si>
    <t>Dendi1700016115@webmail.uad.ac.id</t>
  </si>
  <si>
    <t>081229998463</t>
  </si>
  <si>
    <t>Analisis Pemodelan Proses Bisnis Pelatihan Softskill Menggunakan Business Process Modelling Notation (BPMN)</t>
  </si>
  <si>
    <t>13.15 0 14.15 WIB</t>
  </si>
  <si>
    <t>Sofian Nur Ahmad</t>
  </si>
  <si>
    <t>sofian1700016111@webmail.uad.ac.id</t>
  </si>
  <si>
    <t>0895323114743</t>
  </si>
  <si>
    <t>Integrasi Basis Data ke Website 3D Untuk Media Promosi Toko Furnitur</t>
  </si>
  <si>
    <t>08.00 - 09.00 WIB</t>
  </si>
  <si>
    <t>Muhammad Syahroni</t>
  </si>
  <si>
    <t>muhammad1600016014@webmail.uad.ac.id</t>
  </si>
  <si>
    <t>082385286052</t>
  </si>
  <si>
    <t>Perancangan User Interface Aplikasi Peta
Bencana Berbasis Website Menggunakan
Metode User Centered Design (UCD)</t>
  </si>
  <si>
    <t>09.00 - 10.00 WIB</t>
  </si>
  <si>
    <t>Suryanto</t>
  </si>
  <si>
    <t>Suryanto1700016060@webmail.uad.ac.id</t>
  </si>
  <si>
    <t>083823771524</t>
  </si>
  <si>
    <t>Analisis managemen risiko layanan Customer service menggunakan framework COBIT 5</t>
  </si>
  <si>
    <t>Sekarnur Hidayah</t>
  </si>
  <si>
    <t>sekarnur1700016091@webmail.uad.ac.id</t>
  </si>
  <si>
    <t>083869098420</t>
  </si>
  <si>
    <t xml:space="preserve">Analisis Penilaian Risiko Sistem Informasi SLiMS Menggunakan Framework COBIT 5 </t>
  </si>
  <si>
    <t>Kholifah Nuruddin Fatah</t>
  </si>
  <si>
    <t>kholifah1700016029@webmail.uad.ac.id</t>
  </si>
  <si>
    <t>0895320210925</t>
  </si>
  <si>
    <t>Penilaian Manajemen Risiko Sistem Informasi SLiMS pada Layanan Perpustakaan MAN Purworejo Menggunakan Framework COBIT 5</t>
  </si>
  <si>
    <t>Senin, 20 Septermber 2021</t>
  </si>
  <si>
    <t>08.00 - 09.00</t>
  </si>
  <si>
    <t>Farel Satya Alfian</t>
  </si>
  <si>
    <t>farel1700016034@webmail.uad.ac.id</t>
  </si>
  <si>
    <t>089673967878</t>
  </si>
  <si>
    <t xml:space="preserve">Sistem Informasi Pengelolaan Rekanan (SIMRE) Berbasis Web untuk Meningkatkan Kinerja Pelayanan Menggunakan Metode Unified Software Development Process (USDP) di Istana Kepresidenan Yogyakarta </t>
  </si>
  <si>
    <t>Maulana Alfarizi</t>
  </si>
  <si>
    <t>maulana1600016114@webmail.uad.ac.id</t>
  </si>
  <si>
    <t>085800646606</t>
  </si>
  <si>
    <t>Faktor-Faktor Sistem Interaksi Yang Mempengaruhi Efektifitas Iklan Facebook</t>
  </si>
  <si>
    <t>13.00 - 14.00</t>
  </si>
  <si>
    <t>Zharfan Maldini</t>
  </si>
  <si>
    <t>zharfan1600016015@webmail.uad.ac.id</t>
  </si>
  <si>
    <t>085727293856</t>
  </si>
  <si>
    <t xml:space="preserve">Pengembangan Situs  Promosi dan Pemesanan Barang Furniture Berbasis Website </t>
  </si>
  <si>
    <t>11.00 - 12.00</t>
  </si>
  <si>
    <t>Rizki Mukti Syabana</t>
  </si>
  <si>
    <t>Rizki1600016104@webmail.uad.ac.id</t>
  </si>
  <si>
    <t>Analisis Kerentanan Keamanan Repository Website Eprints dari Serangan Cross-Site Scripting (XSS) Menggunakan Framework OWASP</t>
  </si>
  <si>
    <t>12.30 - 13.30</t>
  </si>
  <si>
    <t>Putri Retnanindyah Handoyo</t>
  </si>
  <si>
    <t>Putri1500016032@webmail.uad.ac.id</t>
  </si>
  <si>
    <t>089678649396</t>
  </si>
  <si>
    <t>Pengembangan Game Design Document (GDD) Sistem Edukasi Pakaian Adat Yogyakarta studi kasus Taman Budaya Yogyakarta</t>
  </si>
  <si>
    <t>Farid Suryanto, S.Pd., M.T.</t>
  </si>
  <si>
    <t>Yusuf Syaifuddin</t>
  </si>
  <si>
    <t>yusuf1500016021@webmail.uad.ac.id</t>
  </si>
  <si>
    <t>081329369440</t>
  </si>
  <si>
    <t>Evaluasi Keamanan Website Terhadap Serangan CORS Misconfiguration Menggunakan Framework Open Web Application Security Project</t>
  </si>
  <si>
    <t>09.00-10.00</t>
  </si>
  <si>
    <t>Wahyu Ary Setyoko</t>
  </si>
  <si>
    <t>wahyu1600016113@webmail.uad.ac.id</t>
  </si>
  <si>
    <t>081316606232</t>
  </si>
  <si>
    <t xml:space="preserve">Penilaian Risiko Sistem Informasi Perpusda Kabupaten Kebumen Menggunakan Framework OCTAVE Allegro </t>
  </si>
  <si>
    <t>08.00-09.00</t>
  </si>
  <si>
    <t>KURNIA ARRIDHO</t>
  </si>
  <si>
    <t>KURNIA1600016035@WEBMAIL.UAD.AC.ID</t>
  </si>
  <si>
    <t>0811384899</t>
  </si>
  <si>
    <t>Analisis Manajemen Risiko Pada Layanan Informasi Manajemen Order Menggunakan Framework COBIT 5</t>
  </si>
  <si>
    <t>10.00-11.00</t>
  </si>
  <si>
    <t>Farida Oktariana Putri</t>
  </si>
  <si>
    <t>farida1600016062@webmail.uad.ac.id</t>
  </si>
  <si>
    <t>085702503954</t>
  </si>
  <si>
    <t>Analisis Manajemen Risiko Pada Layanan INLISLite Menggunakan Framework COBIT 5</t>
  </si>
  <si>
    <t>13.00-14.00</t>
  </si>
  <si>
    <t>Penilaian Manajemen Risiko Layanan Ambulans menggunakan Framework Cobit 5</t>
  </si>
  <si>
    <t>14.00-15.00</t>
  </si>
  <si>
    <t>ZULFIKAR ZAMZAMY CHAIR AL-MALIK</t>
  </si>
  <si>
    <t>zulfikar1602016022@webmail.uad.ac.id</t>
  </si>
  <si>
    <t>081325395865</t>
  </si>
  <si>
    <t>Evaluasi Hasil Tingkat Kematangan SPBE Domain Layanan Aspek Layanan Publik Berbasis Elektronik di Pemerintah Kabupaten Pacitan</t>
  </si>
  <si>
    <t>09.00-10.000</t>
  </si>
  <si>
    <t>Muhammad rozi</t>
  </si>
  <si>
    <t>muhammad1500016005@webmail.uad.ac.id</t>
  </si>
  <si>
    <t>081993270306</t>
  </si>
  <si>
    <t>Analisis Kebutuhan Data dan Informasi Proses Persediaan Obat Pada Puskesmas Menggunakan Zachman Framework</t>
  </si>
  <si>
    <t>Ndonik Setiawan</t>
  </si>
  <si>
    <t>Ndonik1700016027@webmail.uad.ac.id</t>
  </si>
  <si>
    <t>083173533699</t>
  </si>
  <si>
    <t>RANCANG BANGUN SISTEM INFORMASI PENGELOLAAN LAPORAN PENYULUHAN PADA BALAI PENYULUHAN PERTANIAN (BPP) 
(Studi Kasus di Kecamatan Tuah Negeri Kabupaten Musi Rawas)</t>
  </si>
  <si>
    <t>Syafira Nurfitriana</t>
  </si>
  <si>
    <t>syafira1600016094@webmail.uad.ac.id</t>
  </si>
  <si>
    <t>081216770326</t>
  </si>
  <si>
    <t>Rancangan Prototipe Aplikasi Pencari Pekerja Rumah Tangga Berbasis Mobile Menggunakan Metode User Centered Design (UCD)</t>
  </si>
  <si>
    <t>A Novi Ali sya'bani</t>
  </si>
  <si>
    <t>a18000016040</t>
  </si>
  <si>
    <t>087758478897</t>
  </si>
  <si>
    <t>Analisis Kepribadian MBTI Menggunakan Metode Klasifikasi Support Vector Machine</t>
  </si>
  <si>
    <t>Iwan Tri Riyadi Yanto, S.Si., M.IT, Ph.D.</t>
  </si>
  <si>
    <t>Rahman Hidayat</t>
  </si>
  <si>
    <t>rahman1800016003@webmail.uad.ac.id</t>
  </si>
  <si>
    <t>089694580059</t>
  </si>
  <si>
    <t>Sistem Informasi Perpustakaan SD MuhammadiyahBogor PlayenBerbasis Web</t>
  </si>
  <si>
    <t>MUHAMMAD SYAFARUL</t>
  </si>
  <si>
    <t>PERANCANGAN PROTOTIPE E-COMMERCE DI PERPUSTAKAAN DAN KEARSIPAN DAERAH KABUPATEN BULUNGAN DENGAN METODE USER CENTERED DESIGN</t>
  </si>
  <si>
    <t>Ongky Saputra</t>
  </si>
  <si>
    <t>ongky1500016024@webmail.uad.ac.id</t>
  </si>
  <si>
    <t>087777703090</t>
  </si>
  <si>
    <t>Analisis dan Perancangan Website Penjualan Sepeda Motor pada Dealer Honda Desa Payung</t>
  </si>
  <si>
    <t>sabtu,26 feb 2022</t>
  </si>
  <si>
    <t>Sidiq Muhammad Nurcholis</t>
  </si>
  <si>
    <t>nurcholis1700016012@webmai.uad.ac.id</t>
  </si>
  <si>
    <t>088216106977</t>
  </si>
  <si>
    <t>Pemodelan Proses Bisnis Menggunakan Bussines Process Modelling Notation (BPMN) Studi Kasus Tracer Study BIMAWA UAD</t>
  </si>
  <si>
    <t>Prima Abdi Persada</t>
  </si>
  <si>
    <t>prima1700016114@webmail.uad.ac.id</t>
  </si>
  <si>
    <t>082135363433</t>
  </si>
  <si>
    <t>Evaluasi Antarmuka Pengguna Aplikasi Manna Kampus Menggunakan Metode User Centered Design</t>
  </si>
  <si>
    <t>09.00 - 10.00</t>
  </si>
  <si>
    <t>Wahyu Triyanto</t>
  </si>
  <si>
    <t>Wahyu1600016032@webmail.uad.ac.id</t>
  </si>
  <si>
    <t>085868078057</t>
  </si>
  <si>
    <t>Perancangan User Interface Aplikasi Persuratan Desa Tirtohargo Dengan Metode User Centered Design (UCD)</t>
  </si>
  <si>
    <t>10.00 - 11.00</t>
  </si>
  <si>
    <t>Arinda Diahapsari</t>
  </si>
  <si>
    <t>arinda1800016053@webmail.uad.ac.id</t>
  </si>
  <si>
    <t>085712886103</t>
  </si>
  <si>
    <t>Analisis Penilaian Risiko Sistem Informasi Manajemen Rumah Sakit Menggunakan Framework Octave Allegro</t>
  </si>
  <si>
    <t>14.00 -15.00</t>
  </si>
  <si>
    <t>Tuah Rus Ariandy</t>
  </si>
  <si>
    <t>tuah1800016101@webmail.uad.ac.id</t>
  </si>
  <si>
    <t>08989990100</t>
  </si>
  <si>
    <t>Pengembangan Anti Forensik Pada File Video Menggunakan Integrasi Algoritma Kriptografi AES dan RSA</t>
  </si>
  <si>
    <t>ELIS SINDI RAHMAWATI</t>
  </si>
  <si>
    <t>elis1800016048@webmail.uad.ac.id</t>
  </si>
  <si>
    <t>08992017200</t>
  </si>
  <si>
    <t>Analisis Sentimen Masyarakat Terhadap Sertifikat Vaksin Melalui Twitter Menggunakan Metode BERT</t>
  </si>
  <si>
    <t>ARIQAH ADLIANA SIREGAR</t>
  </si>
  <si>
    <t>ariqah1800016036@webmail.uad.ac.id</t>
  </si>
  <si>
    <t>082278625004</t>
  </si>
  <si>
    <t xml:space="preserve">Penilaian Kesiapan Keamanan Informasi Pada Sistem Crowdfunding Menggunakan 
 Indeks KAMI 4.2
</t>
  </si>
  <si>
    <t>15.00 - 16.00</t>
  </si>
  <si>
    <t>Anjen Tyas Kumala Dewi</t>
  </si>
  <si>
    <t>anjen1800016010@webmail.uad.ac.id</t>
  </si>
  <si>
    <t>082154033779</t>
  </si>
  <si>
    <t>Analisis Sentimen dan Visualisasi Pembelajaran Tatap Muka (PTM)
Menggunakan Pembobotan TF-IDF dan VDM (Visual Data Mining)</t>
  </si>
  <si>
    <t>Hani Rahmawati</t>
  </si>
  <si>
    <t>hani1800016060@webmail.uad.ac.id</t>
  </si>
  <si>
    <t>0895705011338</t>
  </si>
  <si>
    <t>Analisis Kepribadian Berdasarkan DISC Dengan Metode Random Forest</t>
  </si>
  <si>
    <t>ROHMATUL MUNGFARIDAH</t>
  </si>
  <si>
    <t>rohmatul1800016042@webmail.uad.ac.id</t>
  </si>
  <si>
    <t>085379460834</t>
  </si>
  <si>
    <t>Analisis Keamanan Web Server Terhadap Serangan Cross Site Scripting (XSS) Menggunakan Penetration Testing</t>
  </si>
  <si>
    <t>Dela Hanafia</t>
  </si>
  <si>
    <t>dela1800016009@webmail.uad.ac.id</t>
  </si>
  <si>
    <t>0878-8136-2224</t>
  </si>
  <si>
    <t>Strategi Pemasaran Pada LazisMu Cilacap Menggunakan Model RFM</t>
  </si>
  <si>
    <t>YOLANDA SABRINA SALMA</t>
  </si>
  <si>
    <t>yolanda1800016014@webmail.uad.ac.id</t>
  </si>
  <si>
    <t>081947401323</t>
  </si>
  <si>
    <t xml:space="preserve">Evaluasi Penerapan Aplikasi Presensi AKKU Mobile Menggunakan Metode HOT FIT </t>
  </si>
  <si>
    <t>Ahmad Nawirun Na'im</t>
  </si>
  <si>
    <t>ahmad1800016098@webmail.uad.ac.id</t>
  </si>
  <si>
    <t>081336403085</t>
  </si>
  <si>
    <t>Clustering Data Masyarakat untuk Mengetahui Tingkat Kesejahteraan dengan Metode K-Prototype</t>
  </si>
  <si>
    <t>Adiniah Gustika Pratiwi</t>
  </si>
  <si>
    <t>adiniah1800016038@webmail.uad.ac.id</t>
  </si>
  <si>
    <t>082281050938</t>
  </si>
  <si>
    <t>Penilaian Keamanan Informasi Pada 
Sistem Anggaran di Lazismu 
Menggunakan Indeks KAMI 4.2</t>
  </si>
  <si>
    <t>Aprizal Dwi Rismanto</t>
  </si>
  <si>
    <t>aprizal1700016074@webmail.uad.ac.id</t>
  </si>
  <si>
    <t>0895355519731</t>
  </si>
  <si>
    <t>Perancangan Ulang Sistem Informasi Penerimaan Mahasiswa Baru Universitas Aisyiyah Yogyakarta Dengan Metode Centered Design</t>
  </si>
  <si>
    <t>Nadia Folandini</t>
  </si>
  <si>
    <t>nadia1800016015@webmail.uad.ac.id</t>
  </si>
  <si>
    <t>082392983266</t>
  </si>
  <si>
    <t>Model Rencana Strategis Pengembangan TIK Berdasarkan Hasil Evaluasi SPBE di Kabupaten Magelang</t>
  </si>
  <si>
    <t>Adelia Putri</t>
  </si>
  <si>
    <t>adelia1800016056@webmail.uad.ac.id</t>
  </si>
  <si>
    <t>081278992866</t>
  </si>
  <si>
    <t>Evaluasi Tingkat Kematangan Sistem Pemerintahan Berbasis Elektronik (SPBE) Kabupaten Bungo Menggunakan Permenpan Nomor 59 Tahun 2020</t>
  </si>
  <si>
    <t>Lisa Apriliani</t>
  </si>
  <si>
    <t>lisa1800016117@webmail.uad.ac.id</t>
  </si>
  <si>
    <t>085868827880</t>
  </si>
  <si>
    <t>Perancangan User Interface Website Sistem Informasi Akademik SD Muhammadiyah Bogor 
menggunakan Metode Design Thinking</t>
  </si>
  <si>
    <t>Ahmad Faisal</t>
  </si>
  <si>
    <t>ahmad1600016102@webmail.uad.ac.id</t>
  </si>
  <si>
    <t>081343831357</t>
  </si>
  <si>
    <t>Perancangan Prototipe Sistem Pengelolaan Customer Hostel Menggunakan Konsep Customer Relationshp Managment (CRM) Pada Santai Sini Hostel</t>
  </si>
  <si>
    <t>Rizky Dea Annisa Hidayah</t>
  </si>
  <si>
    <t>rizky1800016097@webmail.uad.ac.id</t>
  </si>
  <si>
    <t>089681107334</t>
  </si>
  <si>
    <t>Penilaian Keamanan Informasi Pada Sistem Informasi Manajemen Daerah Keuangan di Pemerintah Daerah Brebes Menggunakan Indeks KAMI 4.2</t>
  </si>
  <si>
    <t>Rizka Rosita</t>
  </si>
  <si>
    <t>rizka1800016083@webmail.uad.ac.id</t>
  </si>
  <si>
    <t>089677580104</t>
  </si>
  <si>
    <t>Penilaian Keamanan Informasi Pada Aplikasi E-Surat Di Dinas Komunikasi dan Informatika Bantul Menggunakan Indeks KAMI 4.2</t>
  </si>
  <si>
    <t>ISMIE TRI OKTAVIANI</t>
  </si>
  <si>
    <t>ismie1800016086@webmail.uad.ac.id</t>
  </si>
  <si>
    <t>087828708395</t>
  </si>
  <si>
    <t>Penilaian Kesiapan Keamanan Informasi Layanan Jogja Smart Service Menggunakan Indeks KAMI 4.2</t>
  </si>
  <si>
    <t xml:space="preserve">11.00 - 12.00 </t>
  </si>
  <si>
    <t>Muhammad azhar rizki</t>
  </si>
  <si>
    <t>muhammad1800016137@webmail.uad.ac.id</t>
  </si>
  <si>
    <t>089634815186</t>
  </si>
  <si>
    <t>Pengembangan Sistem Informasi Akademik SD Muhammadiyah Bogor</t>
  </si>
  <si>
    <t>Nasri</t>
  </si>
  <si>
    <t>nasri1700016065@webmail.uad.ac.id</t>
  </si>
  <si>
    <t>082254356304</t>
  </si>
  <si>
    <t>Prototipe Aplikasi Jual Beli Barang Bekas Untuk Mahasiswa Daerah Yogyakarta Berbasis Android Menggunakan Metode User Centered Design (UCD)</t>
  </si>
  <si>
    <t>Hestiyan Nur Hidayanti</t>
  </si>
  <si>
    <t>hestiyan1800016146@webmail.uad.ac.id</t>
  </si>
  <si>
    <t>0882003694900</t>
  </si>
  <si>
    <t>Pengembangan Website Penjualan Pada Jco.Jci Petshop Pusat DIY</t>
  </si>
  <si>
    <t>David Edy Kuncoro</t>
  </si>
  <si>
    <t>edy1800016058@webmail.uad.ac.id</t>
  </si>
  <si>
    <t>0895340236686</t>
  </si>
  <si>
    <t>Prototype Sistem Informasi Manajemen Data Pasien Pada Klinik Gigi Yoshi. H.
Reskiasih Yogyakarta</t>
  </si>
  <si>
    <t>Kholifah1700016029@webmail.uad.ac.id</t>
  </si>
  <si>
    <t>Perancangan Aplikasi Mobile Penjaga Pola Makan untuk Gaya Hidup Sehat Remaja menggunakan Gamifikasi dengan Metode Design Thinking</t>
  </si>
  <si>
    <t>Raihan Widiatama</t>
  </si>
  <si>
    <t>raihan1800016029@webmail.uad.ac.id</t>
  </si>
  <si>
    <t>085641697750</t>
  </si>
  <si>
    <t>Pengembangan Sistem Layanan Administrasi Kependudukan Berbasis Web</t>
  </si>
  <si>
    <t>Kamis,14 April 2022</t>
  </si>
  <si>
    <t>Pengelolaan Digital Rights Management Pada File Video Menggunakan Integrasi Algoritma 
Kriptografi AES dan RSA</t>
  </si>
  <si>
    <t>08.30-09.30</t>
  </si>
  <si>
    <t>Meida Safira</t>
  </si>
  <si>
    <t>meida1800016025@webmail.uad.ac.id</t>
  </si>
  <si>
    <t>082324158607</t>
  </si>
  <si>
    <t>Pengujian Kualitas Sistem Informasi Digital Library UAD dengan ISO 9126</t>
  </si>
  <si>
    <t>08.30 - 09.00</t>
  </si>
  <si>
    <t>Ossie Purwanti Handayani</t>
  </si>
  <si>
    <t>ossie1800016049@webmail.uad.ac.id</t>
  </si>
  <si>
    <t>083830002220</t>
  </si>
  <si>
    <t>Visualisasi Data Inventory Menggunakan Metode Visual Data Mining (VDM) dan Exploratory Data Analysis (EDA)</t>
  </si>
  <si>
    <t>Fina Andriani</t>
  </si>
  <si>
    <t>fina1800016007@webmail.uad.ac.id</t>
  </si>
  <si>
    <t>085809552790</t>
  </si>
  <si>
    <t>Perbaikan Website SiBakul Jogja Berdasarkan Hasil Pengukuran WebQual 4.0 dan Importance Performance Analysis (IPA)</t>
  </si>
  <si>
    <t>10.30-11.30</t>
  </si>
  <si>
    <t>Arridho Ramadhan Firdaus</t>
  </si>
  <si>
    <t>arridho1800016161@webmail.uad.ac.id</t>
  </si>
  <si>
    <t>088216659504</t>
  </si>
  <si>
    <t>Sistem Informasi Perpustakaan Berbasis Website Studi Kasus SD Aisyiyah Prambanan</t>
  </si>
  <si>
    <t>14.00 - 15.00</t>
  </si>
  <si>
    <t>Riki Nugraha Zamzam Baniadam</t>
  </si>
  <si>
    <t>riki1600016056@webmail.uad.ac.id</t>
  </si>
  <si>
    <t>081214308547</t>
  </si>
  <si>
    <t xml:space="preserve">Merancang Kegiatan Akademik Menggunakan Konsep Enterprise Resource Planning (ERP)
Pada SMAN 1 Garawangi </t>
  </si>
  <si>
    <t>Muhammad Imam Akbar</t>
  </si>
  <si>
    <t>muhammad1800016147@webmail.uad.ac.id</t>
  </si>
  <si>
    <t>082177598313</t>
  </si>
  <si>
    <t>Sistem Informasi Akademik Berbasis Web Studi Kasus SD Aisyiyah Prambanan</t>
  </si>
  <si>
    <t>Ahmad Sufyan Tsauri</t>
  </si>
  <si>
    <t>ahmad1800016074@webmail.uad.ac.id</t>
  </si>
  <si>
    <t>085237264054</t>
  </si>
  <si>
    <t>Pengembangan Aplikasi Penyewaan Motor Menggunakan Metode Rapid Application Development (RAD) Studi Kasus Frent Jogja</t>
  </si>
  <si>
    <t>15.30 - 16.30</t>
  </si>
  <si>
    <t>Indriana Luqul Jannah</t>
  </si>
  <si>
    <t>indriana1800016066@webmail.uad.ac.id</t>
  </si>
  <si>
    <t>085721699324</t>
  </si>
  <si>
    <t>Analisis Kepuasan Pengguna Sistem Portal Akademik Universitas Ahmad Dahlan Yogyakarta Menggunakan Metode EUCS</t>
  </si>
  <si>
    <t>Arvian Tri Basofi</t>
  </si>
  <si>
    <t>arvian1700016078@webmail.uad.ac.id</t>
  </si>
  <si>
    <t>085747217091</t>
  </si>
  <si>
    <t>Perancangan UI/UX Aplikasi E-Commerce Pada iDeviceStore Berbasis Mobile Menggunakan Metode User Centered Design</t>
  </si>
  <si>
    <t>16.30 - 17.30</t>
  </si>
  <si>
    <t>Ahmad Nur Rofi</t>
  </si>
  <si>
    <t>ahmad1700016018@webmail.uad.ac.id</t>
  </si>
  <si>
    <t>0895388977035</t>
  </si>
  <si>
    <t>Perancangan User Interface dan User Experience Aplikasi Task Management Untuk Sistem Remote Working Menggunakan Metode Design Thinking</t>
  </si>
  <si>
    <t>Rizka Dwi Agustianingsih</t>
  </si>
  <si>
    <t>rizka1700016104@webmail.uad.ac.id</t>
  </si>
  <si>
    <t>081273328647</t>
  </si>
  <si>
    <t>Perancangan Prototype Aplikasi E-Wallet Menggunakan Metode Design Thinking</t>
  </si>
  <si>
    <t>Muhammad Yusuf Rahardian</t>
  </si>
  <si>
    <t>muhammad1800016005@webmail.uad.ac.id</t>
  </si>
  <si>
    <t>089521873690</t>
  </si>
  <si>
    <t>Perancangan Chatbot Dosen Pembimbing Dengan Dialogflow Menggunakan Platform LINE</t>
  </si>
  <si>
    <t>Ina Nur Astuti</t>
  </si>
  <si>
    <t xml:space="preserve">ina1800016023@webmail.uad.ac.id </t>
  </si>
  <si>
    <t>081310925241</t>
  </si>
  <si>
    <t>Pengembangan Sistem Inventory Barang Berbasis Web Dengan Metode Rapid Application Development (Studi kasus Lab TKJ SMKN 1 Saptosari)</t>
  </si>
  <si>
    <t>Johan Efendi</t>
  </si>
  <si>
    <t xml:space="preserve">johan1800016018@webmail.uad.ac.id </t>
  </si>
  <si>
    <t>082278556909</t>
  </si>
  <si>
    <t>Audit Sistem Informasi Pelaporan 'Asyiyah Menggunakan Framework COBIT 5 Pada Pimpinan Pusat 'Aisyiyah</t>
  </si>
  <si>
    <t>Beni wahyono</t>
  </si>
  <si>
    <t>beni1800016017@webmail.uad.ac.id</t>
  </si>
  <si>
    <t>082243744036</t>
  </si>
  <si>
    <t>Pengembangan Sistem Penjualan Berbasis Web Study Kasus Rumaysho Store</t>
  </si>
  <si>
    <t>Jihan Vera Pramayda</t>
  </si>
  <si>
    <t>jihan1800016028@webmail.uad.ac.id</t>
  </si>
  <si>
    <t>0895636541395</t>
  </si>
  <si>
    <t>Analisis Sentimen Pendapat Masyarakat Mengenai Universitas Ahmad Dahlan Melalui Twitter Dengan Metode BERT</t>
  </si>
  <si>
    <t>AZIZ AFFANDI</t>
  </si>
  <si>
    <t>aziz1800016090@webmail.uad.ac.id</t>
  </si>
  <si>
    <t>082111897010</t>
  </si>
  <si>
    <t>Evaluasi Sistem Informasi Manajemen Rumah Sakit (SIMRS) Pada Bagian Rekam Medis RSUD Kota Yogyakarta Menggunakan Metode HOT-Fit</t>
  </si>
  <si>
    <t>Tawar, S.Si., M.Kom./Sri Handayaningsih</t>
  </si>
  <si>
    <t>Aisyah fausnia putri</t>
  </si>
  <si>
    <t>Aisyah1800016134@webmail.uad.ac.id</t>
  </si>
  <si>
    <t>08884726425</t>
  </si>
  <si>
    <t>Analisis Penerapan Metode Webqual 4.0 Pada Pengukuran
Kualitas Website Pencarian Kerja</t>
  </si>
  <si>
    <t>Muhammad Alrizki</t>
  </si>
  <si>
    <t>muhammad1800016139@webmail.uad.ac.id</t>
  </si>
  <si>
    <t>082235119844</t>
  </si>
  <si>
    <t>Sistem Informasi Geografis Pemetaan
Penduduk Desa Geneng Berbasis Web</t>
  </si>
  <si>
    <t>Regina Fitriani</t>
  </si>
  <si>
    <t>Regina1800016055@webmail.uad.ac.id</t>
  </si>
  <si>
    <t>081917465836</t>
  </si>
  <si>
    <t>Redesign User Interface dan User Experience Sistem Informasi Pemerintah Kelurahan Leneng (Simple) Berbasis Web Menggunakan Metode Design Thinking</t>
  </si>
  <si>
    <t>Gallang Sadewa</t>
  </si>
  <si>
    <t>gallang1800016063@webmail.uad.ac.id</t>
  </si>
  <si>
    <t>081225747588</t>
  </si>
  <si>
    <t>Perancangan User Experience Fitur Layanan Investasi Emas Menggunakan Metode Design Thinking Pada Aplikasi Amartha</t>
  </si>
  <si>
    <t>13.30 - 14.00</t>
  </si>
  <si>
    <t>KAFITA SYAHARANI ARIESTA</t>
  </si>
  <si>
    <t>kafita1800016061@webmail.uad.ac.id</t>
  </si>
  <si>
    <t>081772889574</t>
  </si>
  <si>
    <t>Perancangan Prototipe Pemesanan Tiket Wisata pada Kabupaten Ogan Komering Ulu Menggunakan Metode Design Thinking</t>
  </si>
  <si>
    <t>15.30 - 16.00</t>
  </si>
  <si>
    <t>Tia Susanti</t>
  </si>
  <si>
    <t>tia1800016130@webmail.uad.ac.id</t>
  </si>
  <si>
    <t>082179837991</t>
  </si>
  <si>
    <t>Perancangan Ulang Antarmuka Website GrabExpress Ditinjau dari Tim Order Menggunakan Metode User Centered Design</t>
  </si>
  <si>
    <t>14.00 -14.30</t>
  </si>
  <si>
    <t>Shofiyah Salamah</t>
  </si>
  <si>
    <t>shofiyah1800016165@webmail.uad.ac.id</t>
  </si>
  <si>
    <t>087771057278</t>
  </si>
  <si>
    <t>Perancangan Ulang Antarmuka pada Aplikasi iJogja dengan Menggunakan Metode User Centered Design (UCD)</t>
  </si>
  <si>
    <t>14.30 - 15.00</t>
  </si>
  <si>
    <t>Muhammad Fairuz Bahrain</t>
  </si>
  <si>
    <t>muhammad1800016138@webmail.uad.ac.id</t>
  </si>
  <si>
    <t>082328602384</t>
  </si>
  <si>
    <t>Perancangan User Interface Aplikasi Panduan Dan Reservasi Pendakian Gunung Berbasis Mobile Menggunakan Metode Design Thinking</t>
  </si>
  <si>
    <t>14.00 - 15.30</t>
  </si>
  <si>
    <t>Fajar Bagus Cahyo</t>
  </si>
  <si>
    <t>Fajar1800016073@webmail.uad.ac.id</t>
  </si>
  <si>
    <t>085161541797</t>
  </si>
  <si>
    <t>Perancangan Ulang Desain UI/UX pada Aplikasi “JOGJALOWKER” Berbasis Mobile Dengan Metode Design Thinking</t>
  </si>
  <si>
    <t>Ogi Afdhil Pratama</t>
  </si>
  <si>
    <t>ogi1800016126@webmail.uad.ac.id</t>
  </si>
  <si>
    <t>083168201651</t>
  </si>
  <si>
    <t>Perancangan User Interface dan User
Experience Aplikasi Jasa Bersih Rumah
Menggunakan Metode Design Thinking</t>
  </si>
  <si>
    <t>Ricky Bahtiar</t>
  </si>
  <si>
    <t>ricky1800016085@webmail.uad.ac.id</t>
  </si>
  <si>
    <t>087851681941</t>
  </si>
  <si>
    <t>Perancangan User Interface Aplikasi Mobile Tourism Sebagai Inovasi Digitalisasi Pariwisata Guna Meningkatkan Tourism Experience dengan Metode Design Thinking</t>
  </si>
  <si>
    <t>Nugraheni Saputri</t>
  </si>
  <si>
    <t>nugraheni1800016132@webmail.uad.ac.id</t>
  </si>
  <si>
    <t>088225352887</t>
  </si>
  <si>
    <t>Perancangan User Interface Marketplace UMKM Batik Menggunakan Metode Design Thinking</t>
  </si>
  <si>
    <t>16.00 - 17.00</t>
  </si>
  <si>
    <t>Fadila Rubiyanti Wibowo</t>
  </si>
  <si>
    <t>1800016033@webmail.uad.ac.id</t>
  </si>
  <si>
    <t>fadila1800016033@webmail.uad.ac.id</t>
  </si>
  <si>
    <t>089620426939</t>
  </si>
  <si>
    <t>Perancangan Ulang User Interface dan User Experience Portal Akademik UAD berbasis Mobile menggunakan Metode Design Thinking</t>
  </si>
  <si>
    <t>Gesit Ardiyanto</t>
  </si>
  <si>
    <t>gesit1700016026@webmail.uad.ac.id</t>
  </si>
  <si>
    <t>087825511408</t>
  </si>
  <si>
    <t>Perancangan Sistem Informasi Pemesanan Dekorasi pernikahan pada Usaha Singsing Dekorasi Berbasis website</t>
  </si>
  <si>
    <t>10.30 - 11.00</t>
  </si>
  <si>
    <t>INDRI SAKINAH ISMA</t>
  </si>
  <si>
    <t>indri1800016026@webmail.uad.ac.id</t>
  </si>
  <si>
    <t>081929670074</t>
  </si>
  <si>
    <t>Merancang Layanan Teknologi Informasi di Masa Pandemi Pada Unit Grhatama Pustaka Balai Layanan Perpustakaan Yogyakarta dengan “Metode ITIL V.3”</t>
  </si>
  <si>
    <t>11.00 - 11.30</t>
  </si>
  <si>
    <t>Okky Buddi Pratama</t>
  </si>
  <si>
    <t>okky1800016013@webmail.uad.ac.id</t>
  </si>
  <si>
    <t>081277149715</t>
  </si>
  <si>
    <t>Klasifikasi Spyware Berdasarkan Kebijakan Privasi Menggunakan Metode SVM</t>
  </si>
  <si>
    <t>Ahmad Roul Ma'rufi</t>
  </si>
  <si>
    <t>ahmad1800016159@webmail.uad.ac.id</t>
  </si>
  <si>
    <t>082250016434</t>
  </si>
  <si>
    <t>Evaluasi Usability Fitur Layanan Konsultasi Belajar Siswa pada Aplikasi Jogja Smart Service Pemerintah Kota Yogyakarta dari Sisi Pengguna Menggunakan Metode User Centered Design</t>
  </si>
  <si>
    <t>13.00 - 13.30</t>
  </si>
  <si>
    <t>Rosa Wiyananda</t>
  </si>
  <si>
    <t>rosa1800016106@webmail.uad.ac.id</t>
  </si>
  <si>
    <t>08889452106</t>
  </si>
  <si>
    <t>Perancangan Arsitektur Sistem Informasi Untuk Proses Pengadaan dan Pengendalian Bahan Baku Menggunakan Konsep SCM di Kafe Bento Kopi</t>
  </si>
  <si>
    <t>08.00 - 08.30</t>
  </si>
  <si>
    <t>Ahmad Nurhadi</t>
  </si>
  <si>
    <t>ahmad1800016131@webmail.uad.ac.id</t>
  </si>
  <si>
    <t>082160512937</t>
  </si>
  <si>
    <t>Perancangan Desain User Interface Dan User Experience Pada Website Pelayanan Kartu Keluarga Di Kecamatan Umbulharjo Dengan Metode User Centered Desain</t>
  </si>
  <si>
    <t>IIN AGUSTIA SINTA</t>
  </si>
  <si>
    <t>iin1800016016@webmail.uad.ac.id</t>
  </si>
  <si>
    <t>085157313088</t>
  </si>
  <si>
    <t>PROTOTIPE SISTEM INFORMASI PEMESANAN KAMAR KOS BERBASIS WEBSITE PADA LILY KOS MENGGUNAKAN METODE PROTOTYPING</t>
  </si>
  <si>
    <t>Hendri Sulistio</t>
  </si>
  <si>
    <t>hendri1600016019@webmail.uad.ac.id</t>
  </si>
  <si>
    <t>081223870890</t>
  </si>
  <si>
    <t>Analisis Penilaian Risiko pada Layanan Sistem
 Informasi Transportasi Maxim Menggunakan Framework COBIT 5</t>
  </si>
  <si>
    <t>Fachrin Naufal</t>
  </si>
  <si>
    <t>fachrin1800016135@webmail.uad.ac.id</t>
  </si>
  <si>
    <t>089643224120</t>
  </si>
  <si>
    <t>Perancangan User Interface Aplikasi 
Penjualan Rumah Bersubsidi berbasis 
Mobile Menggunakan Metode Design Thinking</t>
  </si>
  <si>
    <t>13.00 -13.30</t>
  </si>
  <si>
    <t>Oriza Putri Utami</t>
  </si>
  <si>
    <t>oriza1800016071@webmail.uad.ac.id</t>
  </si>
  <si>
    <t>0895359579310</t>
  </si>
  <si>
    <t>Analisis Tingkat Kesiapan Pengguna Aplikasi PoJeks Dengan Menggunakan Alat Ukur TRI (Technology Readiness Index)</t>
  </si>
  <si>
    <t>arif Rahman</t>
  </si>
  <si>
    <t>13.30-14.00</t>
  </si>
  <si>
    <t>Putri Cindy Ramadanty</t>
  </si>
  <si>
    <t>putri1800016099@webmail.uad.ac.id</t>
  </si>
  <si>
    <t>081227674686</t>
  </si>
  <si>
    <t>Perancangan Ulang UI/UX Pada Aplikasi Manna Kampus Menggunakan Metode Design Thinking</t>
  </si>
  <si>
    <t>13.30- 14.00</t>
  </si>
  <si>
    <t>Ghinaa</t>
  </si>
  <si>
    <t>ghinaa1800016110@webmail.uad.ac.id</t>
  </si>
  <si>
    <t>087716607912</t>
  </si>
  <si>
    <t>Evaluasi Penerapan Sistem Pemerintahan Berbasis Elektronik pada Domain Kebijakan di Kabupaten Kotabaru</t>
  </si>
  <si>
    <t>Imam Riadi</t>
  </si>
  <si>
    <t>Fariza Nurseptia</t>
  </si>
  <si>
    <t>fariza1800016081@webmail.uad.ac.id</t>
  </si>
  <si>
    <t>087757913412</t>
  </si>
  <si>
    <t xml:space="preserve">Pengembangan Sistem Informasi Pemetaan Lokasi Base Transceiver Station Berbasis Web Menggunakan Metode Prototyping </t>
  </si>
  <si>
    <t>Dhea Syafira Susila</t>
  </si>
  <si>
    <t>dhea1800016091@webmai.uad.ac.id</t>
  </si>
  <si>
    <t>085741665381</t>
  </si>
  <si>
    <t>Implementasi K-Nearest Neighbor Untuk Sentiment Analysis Ulasan Objek Wisata Kulon Progo Berdasarkan Data Sosial Media Instagram</t>
  </si>
  <si>
    <t>Hana Fatin Salsabila</t>
  </si>
  <si>
    <t>hana1800016119@webmail.uad.ac.id</t>
  </si>
  <si>
    <t>087899702479</t>
  </si>
  <si>
    <t>Analisis E-Readiness Dalam Rangka Implementasi Sistem Informasi Akademik di SD Muhammadiyah Bogor Menggunakan Framework STOPE</t>
  </si>
  <si>
    <t>Nadella Faktaria</t>
  </si>
  <si>
    <t>nadella1800016100@webmail.uad.ac.id</t>
  </si>
  <si>
    <t>082375255253</t>
  </si>
  <si>
    <t>Analisis Kepuasan Pelanggan Dalam Transaksi Belanja Online Pada Aplikasi Manna Kampus Menggunakan Metode EUCS</t>
  </si>
  <si>
    <t>raihan</t>
  </si>
  <si>
    <t>raihan1800016107@webmail.uad.ac.id</t>
  </si>
  <si>
    <t>082281457534</t>
  </si>
  <si>
    <t>Sistem Informasi Geografis Pemetaan Persebaran Perguruan tinggi Di Yogyakarta
Berbasis Web</t>
  </si>
  <si>
    <t>Ahmad Ali Yushlih Putra</t>
  </si>
  <si>
    <t>ahmad1800016158@webmail.uad.ac.id</t>
  </si>
  <si>
    <t>085256275557</t>
  </si>
  <si>
    <t>Perancangan Sistem Informasi Pemesanan Makanan Dan Minuman Menggunakan Konsep Self Service Technology</t>
  </si>
  <si>
    <t>Ajeng Kurnia Ilahi</t>
  </si>
  <si>
    <t>ajeng1800016129@webmail.uad.ac.id</t>
  </si>
  <si>
    <t>081235065954</t>
  </si>
  <si>
    <t>Pemodelan Sistem Berorientasi Objek Pada Sistem Informasi Kesiswaan Dengan UML</t>
  </si>
  <si>
    <t>Handika Dzulhuda Affandi</t>
  </si>
  <si>
    <t>handika1700016100@webmail.uad.ac.id</t>
  </si>
  <si>
    <t>085743383380</t>
  </si>
  <si>
    <t>PERANCANGAN SISTEM INFORMASI PENDATAAN SERVICE MOBIL PADA BENGKEL ARYA MOBIL SERVICE (AMS)</t>
  </si>
  <si>
    <t>Nadia Muliya</t>
  </si>
  <si>
    <t>nadia1800016162@webmail.uad.ac.id</t>
  </si>
  <si>
    <t>085237217145</t>
  </si>
  <si>
    <t>Model Pengelolaan Layanan Publik di Kabupaten Lombok Timur Mengacu Pada Pedoman SPBE</t>
  </si>
  <si>
    <t xml:space="preserve">Imam Riadi </t>
  </si>
  <si>
    <t>Nilan Rahesti</t>
  </si>
  <si>
    <t>nilan1800016054@webmail.uad.ac.id</t>
  </si>
  <si>
    <t>085715363823</t>
  </si>
  <si>
    <t>Analisis Tingkat Kesiapan Pengguna Aplikasi SDGs Desa di Kecamatan Binangun Kabupaten Cilacap Menggunakan Alat Ukur Technology Readiness Index</t>
  </si>
  <si>
    <t>CINDY ANTIKA</t>
  </si>
  <si>
    <t>cindy1800016121@webmail.uad.ac.id</t>
  </si>
  <si>
    <t>082246320768</t>
  </si>
  <si>
    <t>Analisis Kepuasan Pengguna pada Aplikasi JogjaLowker Menggunakan Metode EUCS</t>
  </si>
  <si>
    <t>RE</t>
  </si>
  <si>
    <t>heppy septiani</t>
  </si>
  <si>
    <t>heppy1800016155@webmail.uad.ac.id</t>
  </si>
  <si>
    <t>081272453468</t>
  </si>
  <si>
    <t>Analisis Kepuasan Pengguna Aplikasi Jogja Kita Menggunakan Metode EUCS</t>
  </si>
  <si>
    <t>Ferani Gifta Salsabilla</t>
  </si>
  <si>
    <t>Ferani1800016103@webmail.uad.ac.id</t>
  </si>
  <si>
    <t>082174145550</t>
  </si>
  <si>
    <t>Pengembangan Situs Web Promosi Produk Kulit UMKM (Studi Kasus Diby Leather)</t>
  </si>
  <si>
    <t>10.30 - 11.30</t>
  </si>
  <si>
    <t>Rui Faqri</t>
  </si>
  <si>
    <t>rui1800016004@webmail.uad.ac.id</t>
  </si>
  <si>
    <t>081343287446</t>
  </si>
  <si>
    <t>Sistem Informasi untuk Verifikasi dan Validasi Data DAPODIK Menggunakan Metode RAD (Rapid Application Development)</t>
  </si>
  <si>
    <t>Lab Mutimedia</t>
  </si>
  <si>
    <t xml:space="preserve">Rahmi Maulidiyah </t>
  </si>
  <si>
    <t>rahmi1800016102@webmail.uad.ac.id</t>
  </si>
  <si>
    <t>085345316605</t>
  </si>
  <si>
    <t xml:space="preserve">Pemanfaatan Sistem Basis Data Untuk 
Pengelolaan Produk dan Transaksi Di Situs 
Promosi Diby Leather 
</t>
  </si>
  <si>
    <t xml:space="preserve">Imam Azhari </t>
  </si>
  <si>
    <t>Syarafina Syarif</t>
  </si>
  <si>
    <t>syarafina1800016124@webmail.uad.ac.id</t>
  </si>
  <si>
    <t>082159640277</t>
  </si>
  <si>
    <t xml:space="preserve">Implementasi Search Engine Optimization (SEO) Pada Situs Web Diby Leather </t>
  </si>
  <si>
    <t>Tia Agustina</t>
  </si>
  <si>
    <t>tia1800016104@webmail.uad.ac.id</t>
  </si>
  <si>
    <t>082281394416</t>
  </si>
  <si>
    <t>Fitur 3D Semu Pada Situs Web Promosi Produk Kulit Diby Leather</t>
  </si>
  <si>
    <t>Teddy Satria</t>
  </si>
  <si>
    <t>teddy1800016001@webmail.uad.ac.id</t>
  </si>
  <si>
    <t>082278567279</t>
  </si>
  <si>
    <t>Perancangan User Interface dan User Experience
Aplikasi Pemesanan Lapangan Futsal
Menggunakan Metode Design Thinking</t>
  </si>
  <si>
    <t xml:space="preserve">Arif Rahman </t>
  </si>
  <si>
    <t>akmal rizqi azhari</t>
  </si>
  <si>
    <t>akmal1800016116@webmail.uad.ac.id</t>
  </si>
  <si>
    <t>081292532606</t>
  </si>
  <si>
    <t>Analisis Penilaian Risiko Pada Website PT.
Mandatech Menggunakan Framework 
Octave Allegro</t>
  </si>
  <si>
    <t>PUJI PRAKOSO</t>
  </si>
  <si>
    <t>puji1700016040@webmail.uad.ac.id</t>
  </si>
  <si>
    <t>0895704339959</t>
  </si>
  <si>
    <t xml:space="preserve">Perancangan User Experience (UX) Aplikasi Lelang Ikan Cupang Berbasis Mobile Menggunakan Metode Design Thinking </t>
  </si>
  <si>
    <t>Senin. 12 Desember 2022</t>
  </si>
  <si>
    <t>Ahmad nurhadi</t>
  </si>
  <si>
    <t>Ahmad1800016131@webmail.uad.ac.id</t>
  </si>
  <si>
    <t>Perancangan Desain User Interface dan User Experience Pada Website Pelayanan Kartu Keluarga di Dinas Kependudukan dan Pencatatan Sipil Yogyakarta Dengan Menggunakan Metode User Centered Design</t>
  </si>
  <si>
    <t>Radja Agung Safrudn Siregar</t>
  </si>
  <si>
    <t>radja1800016145@webmail.uad.ac.id</t>
  </si>
  <si>
    <t>082239991457</t>
  </si>
  <si>
    <t>Analisis Kepuasa Pengguna Aplikasi "Si Yokca" Menggunakan Metode EUCS</t>
  </si>
  <si>
    <t>Faris Uwais Al Qarni</t>
  </si>
  <si>
    <t>faris1700016126@webmail.uad.ac.id</t>
  </si>
  <si>
    <t>085875063154</t>
  </si>
  <si>
    <t>Redesign User Interface E-Learning MTs Darul Ma’arif Jakarta Menggunakan Metode UCD (User Centered-Design)</t>
  </si>
  <si>
    <t>Multimedia</t>
  </si>
  <si>
    <t>Muhammad Maulana Dzaky</t>
  </si>
  <si>
    <t>muhammad1700016076@webmail.uad.ac.id</t>
  </si>
  <si>
    <t>085717945513</t>
  </si>
  <si>
    <t>Pengembangan User Interface pada Website Dewi Widosari MartUMKM Desa Wisata Widosari Kec. Ngargosari Kab. Kulon Progo, DIY</t>
  </si>
  <si>
    <t>Laa Tania Fisabillah</t>
  </si>
  <si>
    <t>Laa1800016052@webmail.uad.ac.id</t>
  </si>
  <si>
    <t>082279388566</t>
  </si>
  <si>
    <t>Evaluasi Perpustakaan Digital Apo Buek pada Dinas Perpustakaan dan Kearsipan Provinsi Bengkulu Menggunakan Metode HOT Fit</t>
  </si>
  <si>
    <t>Fitriani Syukur</t>
  </si>
  <si>
    <t>Fitriani1800016133@webmail.uad.ac.id</t>
  </si>
  <si>
    <t>085228214545</t>
  </si>
  <si>
    <t>Perancangan Desain User Interface Website PPDB  SMA Taman Madya Ibu Pawiyatan Yogyakarta Menggunakan Metode Design Thinking</t>
  </si>
  <si>
    <t>Endys Robiht Pangestu</t>
  </si>
  <si>
    <t>endys1800016141@webmail.uad.ac.id</t>
  </si>
  <si>
    <t>089524195389</t>
  </si>
  <si>
    <t>Sistem Informasi Geografis Objek Wisata Kabupaten Pacitan Berbasis Web</t>
  </si>
  <si>
    <t>10.15 - 11.15</t>
  </si>
  <si>
    <t>Riski Yahya Siregar</t>
  </si>
  <si>
    <t>riski1700016130@webmail.uad.ac.id</t>
  </si>
  <si>
    <t>082284349466</t>
  </si>
  <si>
    <t>PENDOKUMENTASIAN APLIKASI KTA ‘AISYIYAH DENGAN MENGGUNAKAN METODE REKAYASA BALIK (REVERSE ENGINEERING)</t>
  </si>
  <si>
    <t>09.30 - 10.30</t>
  </si>
  <si>
    <t>Islahul Mursyid Dwi Patria</t>
  </si>
  <si>
    <t>islahul1700016042@webmail.uad.ac.id</t>
  </si>
  <si>
    <t>082136461485</t>
  </si>
  <si>
    <t>Klasifikasi Sensitivitas dari Respon Pengunjung Wisata Kota Yogyakarta Berdasarkan Data Sosial Media Instagram dengan Menggunakan Algoritma Deep Neural Network</t>
  </si>
  <si>
    <t>Yohan Rahma Dipa</t>
  </si>
  <si>
    <t>yohan1800016136@webmail.uad.ac.id</t>
  </si>
  <si>
    <t>087855279073</t>
  </si>
  <si>
    <t>Pengembangan sistem informasi penyewaan mobil berbasis web</t>
  </si>
  <si>
    <t>Nindy Anggriani</t>
  </si>
  <si>
    <t>nindy1800016157@webmail.uad.ac.id</t>
  </si>
  <si>
    <t>085337994092</t>
  </si>
  <si>
    <t>Evaluasi Usability Sistem Sistim Informasi Jogja Smart Service (JSS) Menggunakan Metode Webqual 4.0</t>
  </si>
  <si>
    <t>Imam A</t>
  </si>
  <si>
    <t xml:space="preserve">14.00 - 15.00 </t>
  </si>
  <si>
    <t>Uke Lillahita</t>
  </si>
  <si>
    <t>uke1800016153@webmail.uad.ac.id</t>
  </si>
  <si>
    <t>085293411718</t>
  </si>
  <si>
    <t>Analisis Kesuksesan Penerapan Aplikasi Lapak Bantul Menggunakan Model DeLoan and McLean (Studi Kasus : Sekretariat Daerah Bantul Yogyakarta)</t>
  </si>
  <si>
    <t>Radja Agung Safrudin Siregar</t>
  </si>
  <si>
    <t>radja1800016145@webmail.com</t>
  </si>
  <si>
    <t>Analisis Kepuasan Pengguna Aplikasi "Si Yokca" Mengguanakan Metode EUCS</t>
  </si>
  <si>
    <t>SYAFIQ AULIYA AL QADRI</t>
  </si>
  <si>
    <t>syafiq1800016027@webmail.uad.ac.id</t>
  </si>
  <si>
    <t>082145631201</t>
  </si>
  <si>
    <t>Perancangan Sistem Informasi Penjualan Meubel Berbasis Website Dengan Metode Rapid Application Development</t>
  </si>
  <si>
    <t>Kamis, 16 Februari 202308.00 - 09.00</t>
  </si>
  <si>
    <t>Alfareza Budimansyah D</t>
  </si>
  <si>
    <t>Alfareza1600016121@webmail.uad.ac.id</t>
  </si>
  <si>
    <t>081909733300</t>
  </si>
  <si>
    <t>Perancangan Prototipe User Interface (UI) Sistem Informasi Desa Berbasis Web Menggunakan Metode User Centered Design (UCD)
Studi Kasus Desa Penganjang, Kecamatan Sindang, Kabupaten Indramayu Jawa Barat</t>
  </si>
  <si>
    <t>Ghiffari Daffa Demaal</t>
  </si>
  <si>
    <t>ghiffari1711016096@webmail.uad.ac.id</t>
  </si>
  <si>
    <t>083824740854</t>
  </si>
  <si>
    <t>PERANCANGAN ULANG ANTARMUKA APLIKASI NULIS AKSARA JAWA MENGGUNAKAN METODE USER CENTERED DESIGN</t>
  </si>
  <si>
    <t>HARRY JULIANSY FIKRI SEMENDAWAI</t>
  </si>
  <si>
    <t>harry1800016143@webmail.uad.ac.id</t>
  </si>
  <si>
    <t>082281288897</t>
  </si>
  <si>
    <t>Penilaian Keamanan Informasi Pada Sistem Informasi Museum Muhammadiyah Menggunakan Indeks KAMI 4.2</t>
  </si>
  <si>
    <t>ady setyawan</t>
  </si>
  <si>
    <t>ady1800016092@webmail.uad.ac.id</t>
  </si>
  <si>
    <t>085163571345</t>
  </si>
  <si>
    <t>ANALISIS RUANG TERBUKA HIJAU KOTA YOGYAKARTA DENGAN MENGGUNAKAN SISTEM INFORMASI GEOGRAFIS</t>
  </si>
  <si>
    <t>Nindy Juniar Alpanita</t>
  </si>
  <si>
    <t>nindy1700016057@webmail.uad.ac.id</t>
  </si>
  <si>
    <t>085227699006</t>
  </si>
  <si>
    <t>Perbaikan Proses Bisnis Layanan IT Tingkat Fakultas menggunakan Metode Business Process Improvement (BPI)</t>
  </si>
  <si>
    <t>08,00 - 09,00</t>
  </si>
  <si>
    <t>Fariha Tunnisa</t>
  </si>
  <si>
    <t>fariha1900016049@webmail.uad.ac.id</t>
  </si>
  <si>
    <t>087839722622</t>
  </si>
  <si>
    <t>Sistem Informasi Penggajian Berbasis Web di Kantor Notaris Sutarna, S.H.</t>
  </si>
  <si>
    <t>12,30 - 13,30</t>
  </si>
  <si>
    <t>https://drive.google.com/open?id=1aYAGFhey-6l3_S48HXItpIqo_phBenq8</t>
  </si>
  <si>
    <t>Ahmada Ashshiddiqi Abhari</t>
  </si>
  <si>
    <t>ahmada1900016073@webmail.uad.ac.id</t>
  </si>
  <si>
    <t>085339072324</t>
  </si>
  <si>
    <t>Analisis Kualitas Layanan Aplikasi Zoom Cloud Meetings Berdasarkan Ulasan End-User Dengan Pendekatan Text Mining</t>
  </si>
  <si>
    <t>https://drive.google.com/open?id=1y7HGwy-gSyWOCRCea_-Fnf5xDPt_Xvtq</t>
  </si>
  <si>
    <t>Fadil Akbar</t>
  </si>
  <si>
    <t>fadil1800016144@webmail.uad.ac.id</t>
  </si>
  <si>
    <t>082273177594</t>
  </si>
  <si>
    <t>Evaluasi Website Pemilwa Universitas Ahmad Dahlan Menggunakan Metode Use Questionnaire</t>
  </si>
  <si>
    <t>Devaldi Caliesta Octadiani</t>
  </si>
  <si>
    <t>devaldi1900016041@webmail.uad.ac.id</t>
  </si>
  <si>
    <t>085217337802</t>
  </si>
  <si>
    <t>Klasifikasi Jenis Sampah Organik dan Anorganik dengan Metode Convolutional Neural Network(CNN) .</t>
  </si>
  <si>
    <t>13,00 - 14,00</t>
  </si>
  <si>
    <t>https://drive.google.com/open?id=1aSMXUPrXrxRaOnbn9u7nvSMzAF74OjFN</t>
  </si>
  <si>
    <t>Nora Pita</t>
  </si>
  <si>
    <t>nora1900016107@webmail.uad.ac.id</t>
  </si>
  <si>
    <t>085173401220</t>
  </si>
  <si>
    <t>Desain Proses Bisnis Pelayanan Publik Pada Sistem Informasi Desa Menggunakan Bussiness Process Improvement Studi Kasus: Kalurahan Banguntapan</t>
  </si>
  <si>
    <t>https://drive.google.com/open?id=1BXDRlUS-LuCTijLqs5fel3kVTEsaRI20</t>
  </si>
  <si>
    <t>al qarni dhony abdul azis</t>
  </si>
  <si>
    <t>al1800016093@webmail.uad.ac.id</t>
  </si>
  <si>
    <t>081936749087</t>
  </si>
  <si>
    <t>Perancangan User Interface dan User
Experience pada Aplikasi Penunjang Kegiatan
LAZISMU NTB</t>
  </si>
  <si>
    <t>https://drive.google.com/open?id=1xCiY-K-_fpmHPCtg0Ha5n5vAkuYvjK7g</t>
  </si>
  <si>
    <t xml:space="preserve">Berliana Andzini Perdana </t>
  </si>
  <si>
    <t>berliana1900016045@webmail.uad.ac.id</t>
  </si>
  <si>
    <t>081318971434</t>
  </si>
  <si>
    <t>Analisis Sentimen Ulasan Aplikasi BSI Mobile Pada Situs Google Play Guna Meningkatkan Kualitas Layanan Menggunakan Naïve Bayes Classifier dan Association Text</t>
  </si>
  <si>
    <t>https://drive.google.com/open?id=1kZ8btBF7BKzr5WkXJYOyTcUTk30YRgBr</t>
  </si>
  <si>
    <t>Mohamad Rizal Yulianto</t>
  </si>
  <si>
    <t>mohamad1900016021@webmail.uad.ac.id</t>
  </si>
  <si>
    <t>083842834089</t>
  </si>
  <si>
    <t>Sistem Informasi Manajemen Program Magang PT Inamas Sintesis Teknologi Berbasis Website Menggunakan Metode Scrum</t>
  </si>
  <si>
    <t>https://drive.google.com/open?id=1RiLT-oKceJMj5m8EwfoYZjLyzi7I-SpB</t>
  </si>
  <si>
    <t>muh chairul rasyiddin</t>
  </si>
  <si>
    <t xml:space="preserve">muh1900016188@webmail.uad.ac.id </t>
  </si>
  <si>
    <t>089525308829</t>
  </si>
  <si>
    <t>analsis dan desain sistem informasi knowledge management system</t>
  </si>
  <si>
    <t>https://drive.google.com/open?id=1q6UNEEopU3RGGmrMnrlS_YPuXI-olxV8</t>
  </si>
  <si>
    <t>Farras Roihana</t>
  </si>
  <si>
    <t>farras1900016109@webmail.uad.ac.id</t>
  </si>
  <si>
    <t>0895422971270</t>
  </si>
  <si>
    <t>Pola Data Penjualan “Rumah Sehat dan Cantik Raihana"
Menggunakan Metode Apriori</t>
  </si>
  <si>
    <t>https://drive.google.com/open?id=1_Z6GfYqpqy4pnSyMFdiDP9K9qeftme6G</t>
  </si>
  <si>
    <t>Rizki Ashada</t>
  </si>
  <si>
    <t>rizki1900016024@webmail.uad.ac.id</t>
  </si>
  <si>
    <t>081335227796</t>
  </si>
  <si>
    <t>Analisis Kebutuhan Sistem Informasi Portal UAD Menggunakan Metode Value Proposition Canvas</t>
  </si>
  <si>
    <t>https://drive.google.com/open?id=14NQTJoxMuGxniuf9NGXecRNpTpKVcyLD</t>
  </si>
  <si>
    <t>Yuli Asmiyati</t>
  </si>
  <si>
    <t>yuli1800016012@webmail.uad.ac.id</t>
  </si>
  <si>
    <t>085747810969</t>
  </si>
  <si>
    <t>Pemanfaatan Data Instagram Dalam Menentukan Destinasi Wisata Yogyakarta Terpopuler Menggunakan Naive Bayes Classifier</t>
  </si>
  <si>
    <t>https://drive.google.com/open?id=1ceTJXJ6eYvbUPjxXuaL8si70fQgtT88N</t>
  </si>
  <si>
    <t>Hilda Isnaini</t>
  </si>
  <si>
    <t>hilda1900016075@webmail.uad.ac.id</t>
  </si>
  <si>
    <t>088216012324</t>
  </si>
  <si>
    <t>Pemodelan Pelayanan Publik Menggunakan Framework ITIL 2011 di Kalurahan Banguntapan</t>
  </si>
  <si>
    <t>Imam R</t>
  </si>
  <si>
    <t>https://drive.google.com/open?id=1ZLpMDqJTcuSEtH_wsaiY9MQUVHZfWWVe</t>
  </si>
  <si>
    <t>Muhammad Rizky Fadly</t>
  </si>
  <si>
    <t>Muhammad1800016149@webmail.uad.ac.id</t>
  </si>
  <si>
    <t>081267707076</t>
  </si>
  <si>
    <t xml:space="preserve">Pengembangan Fitur Panel Kendali Admin untuk Situs Web Pemasaran Diby Leather
</t>
  </si>
  <si>
    <t>DESI AGUSTIN</t>
  </si>
  <si>
    <t>desi1800016148@webmail.uas.ac.id</t>
  </si>
  <si>
    <t>085377089939</t>
  </si>
  <si>
    <t>Pengembangan Fitur Transaksi pada Situs Web Diby Leather</t>
  </si>
  <si>
    <t>Senin. 8 Mei 2023</t>
  </si>
  <si>
    <t>Nurfikriyah Auliani</t>
  </si>
  <si>
    <t>nurfikriyah1900016195@webmail.uad.ac.id</t>
  </si>
  <si>
    <t>wa.me/082175900230</t>
  </si>
  <si>
    <t>Analisis Sentimen Kesiapan Masyarakat pada Program Analog Switch Off (ASO) di Indonesia menggunakan Metode Naive Bayes Classifier</t>
  </si>
  <si>
    <t>https://drive.google.com/open?id=1brzVKLm5EQVgGliJ5IlcaB0dmd3IE5yQ</t>
  </si>
  <si>
    <t>Andita Dewi Rinaldi</t>
  </si>
  <si>
    <t>andita1900016097@webmail.uad.ac.id</t>
  </si>
  <si>
    <t>085368638474</t>
  </si>
  <si>
    <t xml:space="preserve">Analisis Penilaian Risiko Layanan Learning Management 
System menggunakan Metode ITIL V3
</t>
  </si>
  <si>
    <t>https://drive.google.com/open?id=1BKJ6DPjIQsf5463BsfS_yp9k6Qy7KxxW</t>
  </si>
  <si>
    <t>Salma Ramawati</t>
  </si>
  <si>
    <t>salma1915016137@webmail.uad.ac.id</t>
  </si>
  <si>
    <t>082329440578</t>
  </si>
  <si>
    <t>Redesain Proses Bisnis Layanan Pasien Rawat Jalan di Puskesmas Banguntapan II Menggunakan Bussiness Process Management</t>
  </si>
  <si>
    <t>Selasa. 09 Mei 2023</t>
  </si>
  <si>
    <t>https://drive.google.com/open?id=1ZWYGW2s_pgiv5LbjXUCKr5JopTq8wQfI</t>
  </si>
  <si>
    <t>Zulkarnen</t>
  </si>
  <si>
    <t>zulkarnen1900016072@webmail.uad.ac.id</t>
  </si>
  <si>
    <t>085722382371</t>
  </si>
  <si>
    <t xml:space="preserve">Pengembangan REST API pada Sistem Informasi Pameran Studi Kasus Pameran Final Project Exhibition </t>
  </si>
  <si>
    <t>https://drive.google.com/open?id=1dJaprGMbGn6HFPwhvuW4SwlKFDL4H9CU</t>
  </si>
  <si>
    <t>Kharisma Nur Hayati</t>
  </si>
  <si>
    <t>kharisma1900016155@webmail.uad.ac.id</t>
  </si>
  <si>
    <t>081554443525</t>
  </si>
  <si>
    <t>Analisis Penilaian Risiko Teknologi Informasi Pada Sistem Persuratan Menggunakan COBIT 5</t>
  </si>
  <si>
    <t>https://drive.google.com/open?id=1l1yOgbruam2-ZDLRve-Ft1H9LYKiISTQ</t>
  </si>
  <si>
    <t>Wegig Kriswantoro</t>
  </si>
  <si>
    <t>wegig1600016066@webmail.uad.ac.id</t>
  </si>
  <si>
    <t>088228794326</t>
  </si>
  <si>
    <t>Perancangan User Interface Layanan Administrasi Fakultas Sains dan Teknologi Terapan Universitas Ahmad Dahlan Menggunakan Metode Human-Centered Design</t>
  </si>
  <si>
    <t>13.30 - 14.30</t>
  </si>
  <si>
    <t>Tidak Perlu</t>
  </si>
  <si>
    <t>Lariri Delvi Windasa</t>
  </si>
  <si>
    <t>lariri1900016090@webmail.uad.ac.id</t>
  </si>
  <si>
    <t>089614616165</t>
  </si>
  <si>
    <t>Analisis Penilaian Risiko Pada Sistem Informasi Desa Mengunakan COBIT 5</t>
  </si>
  <si>
    <t>https://drive.google.com/open?id=1uKKA0v6oF8HaZ6uwM5Zz_pP8jc19ss9e</t>
  </si>
  <si>
    <t>Ulfah Risdiyanti</t>
  </si>
  <si>
    <t>ulfah1900016086@webmail.uad.ac.id</t>
  </si>
  <si>
    <t>082373658232</t>
  </si>
  <si>
    <t>Analisis Penilaian Risiko Pada Website Menggunakan Framework OCTAVE Allegro</t>
  </si>
  <si>
    <t>https://drive.google.com/open?id=18VRgc-k2bSbmsQZy46V0vT-22x02mROa</t>
  </si>
  <si>
    <t>ANGGI ISNA KHOIRINNISA</t>
  </si>
  <si>
    <t>Anggi1900016062@webmail.uad.ac.id</t>
  </si>
  <si>
    <t>Metode Analytical Hierarchy Process sebagai Sistem Pendukung Keputusan Penerimaan
Be SMART Kota Madiun</t>
  </si>
  <si>
    <t xml:space="preserve">10.30 - 11.30 </t>
  </si>
  <si>
    <t>https://drive.google.com/open?id=1SF_E4sw0RMaVtOyYet53_GtIJAG4RUfq</t>
  </si>
  <si>
    <t>Agnes Diva Mardila</t>
  </si>
  <si>
    <t>agnes1900016069@webmail.uad.ac.id</t>
  </si>
  <si>
    <t>wa.me/+6282248050154</t>
  </si>
  <si>
    <t>Sistem Pendukung Keputusan Program Penerimaan Prakerja Menggunakan Metode Simple Additive Weighting (SAW) di Kabupaten Sragen</t>
  </si>
  <si>
    <t>https://drive.google.com/open?id=1wgjBcxl9anRZTU2BlMzhMH0AUQGoY4J7</t>
  </si>
  <si>
    <t>Nidya Aqsal Safarini</t>
  </si>
  <si>
    <t>nidya1700016022@webmail.uad.ac.id</t>
  </si>
  <si>
    <t>085372570149</t>
  </si>
  <si>
    <t>PERANCANGAN TAMPILAN USER INTERFACE DAN USER EXPERIENCE APLIKASI THRIFTSHOP BERBASIS MOBILE MENGUNAKAN METODE DESIGN THINKING</t>
  </si>
  <si>
    <t>Saputra Bahrul Ilmi</t>
  </si>
  <si>
    <t>saputra1911016121@webmail.uad.ac.id</t>
  </si>
  <si>
    <t>085801163894</t>
  </si>
  <si>
    <t>Pengembangan Captive Portal pada Layanan Hotspot menggunakan Metode Simple Queue</t>
  </si>
  <si>
    <t>https://drive.google.com/open?id=1v0i0a2vKFV9Ly_tI6eXVqpu4Q_3BUKhk</t>
  </si>
  <si>
    <t>Maulana</t>
  </si>
  <si>
    <t>maulana1600016061@webmail.uad.ac.id</t>
  </si>
  <si>
    <t>082145559293</t>
  </si>
  <si>
    <t>Perancangan Prototipe Aplikasi M-Learning Untuk Meningkatkan Kemampuan Berbahasa Inggris Menggunakan Metode Design Thinking</t>
  </si>
  <si>
    <t>Muhamad Ikhlas Ramadhan</t>
  </si>
  <si>
    <t>muhamad1900016095@webmail.uad.ac.id</t>
  </si>
  <si>
    <t>082279403258</t>
  </si>
  <si>
    <t>Pengembangan Sistem Manajemen Sertifikat Kegiatan Berbasis Google Services</t>
  </si>
  <si>
    <t>https://drive.google.com/open?id=1UC7Uz-O2NJyyHPUovAp0VxVFssqmJppL</t>
  </si>
  <si>
    <t>Dhevia Leuys Thiaqufyan</t>
  </si>
  <si>
    <t>dhevia1900016102@webmail.uad.ac.id</t>
  </si>
  <si>
    <t>082259673063</t>
  </si>
  <si>
    <t>Perancangan Gamifikasi pada Sistem Pelaporan Manajemen Inventaris Menggunakan Framework Octalysis untuk Meningkatkan Keterlibatan Pengguna: Studi Kasus Biro Sarana dan Prasarana UAD</t>
  </si>
  <si>
    <t>https://drive.google.com/open?id=1IV1NsSoKchKjyymL5pYCaDYWIL28yDhz</t>
  </si>
  <si>
    <t>Vidha Kharisma</t>
  </si>
  <si>
    <t>vidha1900016068@webmail.uad.ac.id</t>
  </si>
  <si>
    <t>0895410867872</t>
  </si>
  <si>
    <t>Sistem Pendukung Keputusan Kinerja Guru pada SMPN 8 Kota Madiun Menggunakan Metode SAW (Simple Additive Weighting)</t>
  </si>
  <si>
    <t>https://drive.google.com/open?id=1bnHdpIYNGaV5k5IAKBKwrnZyGk4drZPq</t>
  </si>
  <si>
    <t>Qurrotul A'yunina</t>
  </si>
  <si>
    <t>qurrotul1900016140@webmail.uad.ac.id</t>
  </si>
  <si>
    <t>083836871727</t>
  </si>
  <si>
    <t xml:space="preserve">Analisis Penilaian Risiko pada Sistem Informasi Administrasi Kependudukan Menggunakan OCTAVE Allegro </t>
  </si>
  <si>
    <t>13.30 - 14.10</t>
  </si>
  <si>
    <t>https://drive.google.com/open?id=1NDLQLHaQc7fIdXV9e3RES8mloi_S-y4p</t>
  </si>
  <si>
    <t>Dinda Dewani Khairunnisa Rahardyani</t>
  </si>
  <si>
    <t>dinda1900016158@webmail.uad.ac.id</t>
  </si>
  <si>
    <t>085640760889</t>
  </si>
  <si>
    <t>Penerapan Algoritma Klasifikasi Decission Tree untuk Menentukan Jurusan Siswa Pada SMA N 1 Pati dengan Tes Bakat Minat</t>
  </si>
  <si>
    <t>https://drive.google.com/open?id=1lFZnA3Vbmyg6SNOq0a5G5NeEnaR5wW8G</t>
  </si>
  <si>
    <t>zulfa rifandi ade saputra</t>
  </si>
  <si>
    <t>zulfa1900016113@webmail.uad.ac.id</t>
  </si>
  <si>
    <t>081339624012</t>
  </si>
  <si>
    <t>Penerapan ISO/IEC 25010 
dalam Pengujian Software GAMS
pada Proyek PT Mandatech Mataram Mukti</t>
  </si>
  <si>
    <t>https://drive.google.com/open?id=1LHeUyueecCrCRzWxANPTdsaTtKmqf_rq</t>
  </si>
  <si>
    <t>Muhammad Izul Bachtiar</t>
  </si>
  <si>
    <t>muhammad1900016126@webmail.uad.ac.id</t>
  </si>
  <si>
    <t>085703526372</t>
  </si>
  <si>
    <t>Perancangan UI/UX Digital Library Berbasis Mobile Menggunakan Metode User Centered Design (UCD) Studi Kasus Perpustakaan Universitas Ahmad Dahlan</t>
  </si>
  <si>
    <t>https://drive.google.com/open?id=1Z0xRvv0Q-hO1oWGBvL1Aph-7t9kSD0N1</t>
  </si>
  <si>
    <t>Dewa Raharja Adjisaka</t>
  </si>
  <si>
    <t>dewa1900016053@webmail.uad.ac.id</t>
  </si>
  <si>
    <t>085156496370</t>
  </si>
  <si>
    <t>Perancangan User Interface Website Digital Library Universitas Ahmad Dahlan Menggunakan Design Thinking</t>
  </si>
  <si>
    <t>https://drive.google.com/open?id=12yjzy9jdKDNGzJfrRU2jJzf7FhC5q3V3</t>
  </si>
  <si>
    <t>Savitri Azahra Nurfarisha</t>
  </si>
  <si>
    <t>savitri1900016001@webmail.uad.ac.id</t>
  </si>
  <si>
    <t>081225074569</t>
  </si>
  <si>
    <t>Sistem Informasi Penjualan Online Batik Berbasis Website Pada Toko TriIisan Batik</t>
  </si>
  <si>
    <t>https://drive.google.com/open?id=1cmzWBdp7oaUbPxEs8W4onKMGHtx7rpXv</t>
  </si>
  <si>
    <t>Sagita Dhya Rachmadina</t>
  </si>
  <si>
    <t>sagita1900016189@webmail.uad.ac.id</t>
  </si>
  <si>
    <t>081326495138</t>
  </si>
  <si>
    <t>Perancangan Ulang Website Primbon Dinkominfo Kab. Banjarnegara Menggunakan Metode User Centered Design (UCD)</t>
  </si>
  <si>
    <t>https://drive.google.com/open?id=1plMU4F8IVFX7OYV6NQM7xivmOBSFqqml</t>
  </si>
  <si>
    <t>Septian Yoga Krisnadi</t>
  </si>
  <si>
    <t>septian1900016161@webmail.uad.ac.id</t>
  </si>
  <si>
    <t>087889355021</t>
  </si>
  <si>
    <t>Penerapan Data Time Series dalam Menentukan
Prediksi Kesejahteraan Sosial menggunakan Metode Dekomposisi</t>
  </si>
  <si>
    <t xml:space="preserve">09.00 - 10.00 </t>
  </si>
  <si>
    <t>https://drive.google.com/open?id=1UMz8GpP7opJVBcUnk1G8_bmAu8flOHby</t>
  </si>
  <si>
    <t>Davin Ega Naldo</t>
  </si>
  <si>
    <t>davin1900016098@webmail.uad.ac.id</t>
  </si>
  <si>
    <t>083869188721</t>
  </si>
  <si>
    <t>Analisis Penilaian Risiko pada Manajemen Produksi menggunakan Framework OCTAVE Allegro</t>
  </si>
  <si>
    <t>https://drive.google.com/open?id=1ju0AGKH129mxHJ7vRFjeR_DTwoQEqyIn</t>
  </si>
  <si>
    <t xml:space="preserve">Suhendra Anang P </t>
  </si>
  <si>
    <t>suhendra1900016044@webmail.uad.ac.id</t>
  </si>
  <si>
    <t>082279133745</t>
  </si>
  <si>
    <t>Perancangan Ulang user interface (UI) dan user experience (UX) Menggunakan metode lean ux. Studi kasus portal akademik universitas Ahmad Dahlan.</t>
  </si>
  <si>
    <t>https://drive.google.com/open?id=1zXYAOv6r0zmH4AMj881qZYetYvsU3fDr</t>
  </si>
  <si>
    <t>Chairunnisya Nur Hanna</t>
  </si>
  <si>
    <t>chairunnisya1900016111@webmail.uad.ac.id</t>
  </si>
  <si>
    <t>089531271438</t>
  </si>
  <si>
    <t>Analisa kepuasan pengguna sistem pengelolaan retribusi online pasar Kabupaten Sleman menggunakan metode End User Computing Satisfaction (EUCS)</t>
  </si>
  <si>
    <t>https://drive.google.com/open?id=1TxAb8XQVTlQyVTtL8gBQBqo3COTD4sSf</t>
  </si>
  <si>
    <t>Erie Aditya Fachrurodzi</t>
  </si>
  <si>
    <t>erie1900016036@webmail.uad.ac.id</t>
  </si>
  <si>
    <t>081326290348</t>
  </si>
  <si>
    <t>Audit Sistem Informasi Manajemen Puskesmas pada Puskesmas Karangpucung I</t>
  </si>
  <si>
    <t>https://drive.google.com/open?id=1m8SX50eT0pY7ukBWwyTixTPYNwZXmGa6</t>
  </si>
  <si>
    <t>Muhammad Alby Ghani</t>
  </si>
  <si>
    <t>muhammad1900016171@webmail.uad.ac.id</t>
  </si>
  <si>
    <t>085750804367</t>
  </si>
  <si>
    <t>Pengembangan Software Requirements Specification Elektronik Sekolah Lapang Pengendalian Hama Terpadu E-SLPHT Dengan Standard ISO/IEC/IEEE 29148:2018</t>
  </si>
  <si>
    <t>https://drive.google.com/open?id=1ZkyIDoqs_T30mI_JfG9n6BmTKpT6ydZq</t>
  </si>
  <si>
    <t>Pionner Sahara Dinata</t>
  </si>
  <si>
    <t>pionnersdinata@gmail.com</t>
  </si>
  <si>
    <t>0895804375827</t>
  </si>
  <si>
    <t>Perancangan Ulang dan Evaluasi Usabilitas  Aplikasi Teman Bus Menggunakan Metode Design Thinking</t>
  </si>
  <si>
    <t>https://drive.google.com/open?id=1b3VhMrD8_-sJvFDxL9tIxmK1oeRLh7qU</t>
  </si>
  <si>
    <t xml:space="preserve">Ferdyan Ananta Yudatama Irawan </t>
  </si>
  <si>
    <t>ferdyan1900016138@webmail.uad.ac.id</t>
  </si>
  <si>
    <t>082299550781</t>
  </si>
  <si>
    <t>Analisis Penilaian Risiko Teknologi Informasi pada Klinik Gigi Menggunakan Framework COBIT 5</t>
  </si>
  <si>
    <t>https://drive.google.com/open?id=1odJ597PAch27NOQV3nwdgAmW-HWQbYlY</t>
  </si>
  <si>
    <t>Nurul Arifah</t>
  </si>
  <si>
    <t>nurul1915016176@webmail.uad.ac.id</t>
  </si>
  <si>
    <t>089668590222</t>
  </si>
  <si>
    <t>Analisis Kualitas Website CDC UAD Menggunakan Metode WebQual 4.0 dan Importance Performance Analysis (IPA)</t>
  </si>
  <si>
    <t>https://drive.google.com/open?id=1LGWvAHd2SHPMZaa0Wwg7FYPzRcXVIKfU</t>
  </si>
  <si>
    <t>Pengembangan Back-end Sistem Informasi Manajemen Karyawan Berbasis Web</t>
  </si>
  <si>
    <t>Wenny Hariyanti Nainggolan</t>
  </si>
  <si>
    <t>wenny1800016156@webmail.uad.ac.id</t>
  </si>
  <si>
    <t>085264570602</t>
  </si>
  <si>
    <t>Pengembangan Front-End Sistem Informasi Manajemen Karyawan Berbasis Web</t>
  </si>
  <si>
    <t>Syarif Hidayatullah</t>
  </si>
  <si>
    <t>syarif1900016152@webmail.uad.ac.id</t>
  </si>
  <si>
    <t>085339958580</t>
  </si>
  <si>
    <t>ANALISIS PENILAIAN RISIKO TEKNOLOGI INFORMASI PADA KOPERASI MENGGUNAKAN FRAMEWORK COBIT 5</t>
  </si>
  <si>
    <t>https://drive.google.com/open?id=1Pss6t7JRIhIDx7BQCCFm7l1-1JKBdcFJ</t>
  </si>
  <si>
    <t>M. Ardan Prayogi</t>
  </si>
  <si>
    <t>mardan1900016183@webmail.uad.ac.id</t>
  </si>
  <si>
    <t>wa.me/+6285229425025</t>
  </si>
  <si>
    <t>Perancangan Ulang User Interface pada Aplikasi BCA Mobile Menggunakan Metode Design Thinking</t>
  </si>
  <si>
    <t>Sudah dikirim</t>
  </si>
  <si>
    <t>Liena Windyawati</t>
  </si>
  <si>
    <t>liena1900016101@webmail.uad.ac.id</t>
  </si>
  <si>
    <t>082199010299</t>
  </si>
  <si>
    <t>Perencanaan Arsitektur Enterprise pada Poliklinik Pratama Menggunakan Framework Zachman (Studi Kasus: Poliklinik Pratama Daarus Syifa)</t>
  </si>
  <si>
    <t>https://drive.google.com/open?id=1gpYZNUx1IhTBEstRp-Z3k5cCi60v3w-m</t>
  </si>
  <si>
    <t>Aulia Novianti Eka Putri</t>
  </si>
  <si>
    <t>aulia1900016128@webmail.uad.ac.id</t>
  </si>
  <si>
    <t>085211947105</t>
  </si>
  <si>
    <t>Analisa Perencanaan Sistem Informasi DUPAK Online DISKOMINFOSAN Kota Yogyakarta dengan TOGAF ADM</t>
  </si>
  <si>
    <t>https://drive.google.com/open?id=1ArR1xOGJyRQdes4VdnT8zWUTwzF1YuBl</t>
  </si>
  <si>
    <t>Afnanda Muhammad Iqbal Saputra</t>
  </si>
  <si>
    <t>afnanda1900016141@webmail.uad.ac.id</t>
  </si>
  <si>
    <t>082144355717</t>
  </si>
  <si>
    <t>Perancangan User Interface dan User Experience Aplikasi Reservasi Pelayanan Putri Baby Spa dengan Metode User Centered Design</t>
  </si>
  <si>
    <t>https://drive.google.com/open?id=1J9l1fzuZgRD7nAXx-jgQpXuns7jpCvyP</t>
  </si>
  <si>
    <t>Izzul Faturrizky</t>
  </si>
  <si>
    <t>izzul1900016151@webmail.uad.ac.id</t>
  </si>
  <si>
    <t>wa.me/+6285351985500</t>
  </si>
  <si>
    <t>Pengaruh Penerapan Teknologi Reminder Terhadap Kinerja Karyawan Divisi Business Service Menggunakan TOE Framework</t>
  </si>
  <si>
    <t>https://drive.google.com/open?id=1oSuplVHgcVg7P0HadVLPdFTaF-YOFg0c</t>
  </si>
  <si>
    <t>Rizal Hernawan</t>
  </si>
  <si>
    <t>rizal1900016185@webmail.uad.ac.id</t>
  </si>
  <si>
    <t>082241225041</t>
  </si>
  <si>
    <t>Penerapan Latent Dirichlet Allocation (LDA) untuk Analisis Kebutuhan Pengguna pada Tahap Empathize</t>
  </si>
  <si>
    <t>10.00 - 10.30</t>
  </si>
  <si>
    <t>https://drive.google.com/open?id=1Vj1H9zyl7ZXs9UXXupVO4eU6Uzsy6ePm</t>
  </si>
  <si>
    <t>ILSA NADYA ADHA</t>
  </si>
  <si>
    <t>ilsa1900016093@webmail.uad.ac.id</t>
  </si>
  <si>
    <t>wa.me/+6282122536137</t>
  </si>
  <si>
    <t>Klasifikasi Seleksi Beasiswa Prestasi Akademik UAD Dengan Naïves Bayes</t>
  </si>
  <si>
    <t>https://drive.google.com/open?id=1WflQlrKn6gb08ryQZIjxs4V5GiGODqiM</t>
  </si>
  <si>
    <t>Rafsanjani Rahadi</t>
  </si>
  <si>
    <t>rafsanajani1900016105@webmail.uad.ac.id</t>
  </si>
  <si>
    <t>082135526352</t>
  </si>
  <si>
    <t>Implementasi Automated Testing dengan Teknik Boundary Value Analysis dan Equivalence Partitioning pada Aplikasi Qarpa</t>
  </si>
  <si>
    <t>https://drive.google.com/open?id=13xF_I5OXEFWdEfARi0RaOhJ2ougziw6y</t>
  </si>
  <si>
    <t>Nizar Arprian Saputra</t>
  </si>
  <si>
    <t>nizar1900016004@webmail.uad.ac.id</t>
  </si>
  <si>
    <t>081228881335</t>
  </si>
  <si>
    <t>PEMODELAN LAYANAN FARMASI DI RUMAH SAKIT UMUM PEKERJA MENGGUNAKAN FRAMEWORK ITIL VERSI 3</t>
  </si>
  <si>
    <t>14.00 - 14.30</t>
  </si>
  <si>
    <t>https://drive.google.com/open?id=1G7BJ28qxq9YoCJMOjOZif7EoJgrFrzfQ</t>
  </si>
  <si>
    <t>Zahwa Azmy Alfiany</t>
  </si>
  <si>
    <t>zahwa1900016169@webmail.uad.ac.id</t>
  </si>
  <si>
    <t>089666744523</t>
  </si>
  <si>
    <t>Sentiment Analyst pada Pengukuran Kepuasan Aplikasi berdasarkan Framework EUCS pada Domain Ease of use dan Timeliness</t>
  </si>
  <si>
    <t>09.30 - 10.15</t>
  </si>
  <si>
    <t>https://drive.google.com/open?id=1eC3XCigltMYJuwPz5nkYtnuq_Z6hvU-8</t>
  </si>
  <si>
    <t>Tiara Dyah Murdaningrum</t>
  </si>
  <si>
    <t>tiara1911016122@webmail.uad.ac.id</t>
  </si>
  <si>
    <t>082322745166</t>
  </si>
  <si>
    <t>Intent Analysis Komentar Pengunjung di Tempat Wisata Bukit Pengilon dengan 
Metode Latent Dirichlet Allocation (LDA)</t>
  </si>
  <si>
    <t>10.15 - 11.00</t>
  </si>
  <si>
    <t>https://drive.google.com/open?id=1OUiaBwGsvQIcH9-R7P2BBAc89w3oiqff</t>
  </si>
  <si>
    <t>maulana ibrahim</t>
  </si>
  <si>
    <t>maulana1900016117@webmail.uad.ac.id</t>
  </si>
  <si>
    <t>085791254851</t>
  </si>
  <si>
    <t>Pengembangan Front End Aplikasi Pelaporan Kerusakan Fasilitas Umum Menggunakan Metode RAD
studi kasus di biro sarana dan prasarana (BSP) UAD</t>
  </si>
  <si>
    <t>11.00 - 11.45</t>
  </si>
  <si>
    <t>https://drive.google.com/open?id=1Zrr1q5WjrsE4evnA0ksOK1pV_QohkpS7</t>
  </si>
  <si>
    <t>Yozza Amandha</t>
  </si>
  <si>
    <t>yozza1900016019@webmail.uad.ac.id</t>
  </si>
  <si>
    <t>082285329856</t>
  </si>
  <si>
    <t>ANALISA SENTIMEN UNTUK PENGUKURAN KEPUASAN PENGGUNA BERDASARKAN FRAMEWORK PIECES PADA DOMAIN EFFICIENCY</t>
  </si>
  <si>
    <t>13.00 - 13.45</t>
  </si>
  <si>
    <t>https://drive.google.com/open?id=1_dShfJqVaBphkk9sJCeCdjNtOTyv-BvH</t>
  </si>
  <si>
    <t>Syauqi rayhan abqori</t>
  </si>
  <si>
    <t>syauqi1900016083@webmail.uad.ac.id</t>
  </si>
  <si>
    <t>082137296274</t>
  </si>
  <si>
    <t>Pengembangan E-learning Berbasis Website Menggunakan Metode ADDIE pada SMA Negeri 3 Cilacap</t>
  </si>
  <si>
    <t>14.00 - 14.45</t>
  </si>
  <si>
    <t>https://drive.google.com/open?id=1EWC_UbOGR2HzTv31xIJXbe8MCrIWBzvm</t>
  </si>
  <si>
    <t>Muhammad Akbar Ilham.GP</t>
  </si>
  <si>
    <t>muhammad1900016157@webmail.uad.ac.id</t>
  </si>
  <si>
    <t>081278142735</t>
  </si>
  <si>
    <t>Analisis Sentimen Untuk Pengukuran Kepuasan Pengguna Berdasarkan Framework PIECES Pada Domain Security</t>
  </si>
  <si>
    <t>13.45 - 14.00</t>
  </si>
  <si>
    <t>https://drive.google.com/open?id=18EXeEpmniY3hQtWaRaCTavHR2znrqTLO</t>
  </si>
  <si>
    <t>M. Abhysta Huda Arrofif</t>
  </si>
  <si>
    <t>m1900016074@webmail.uad.ac.id</t>
  </si>
  <si>
    <t>082328622825</t>
  </si>
  <si>
    <t>Analisis Sentiment untuk Pengukuran Kepuasan Pengguna berdasarkan Framework PIECES Pada Domain Performance</t>
  </si>
  <si>
    <t>https://drive.google.com/open?id=1X6xvn5_9RAquhNeS5LQi3NOVos278o0V</t>
  </si>
  <si>
    <t>Dzaki Malik</t>
  </si>
  <si>
    <t>dzaki1900016163@webmail.uad.ac.id</t>
  </si>
  <si>
    <t>wa.me/+6288224150249</t>
  </si>
  <si>
    <t>Analisis Sentimen Untuk Mengukur Kepuasan Pengguna Berdasarkan Framework PIECES Pada Domain Service</t>
  </si>
  <si>
    <t>https://drive.google.com/open?id=1NRiMdK5wsRboKDWMXpI6k9eQpfuKYz9c</t>
  </si>
  <si>
    <t>Nur Diah Rahmawati</t>
  </si>
  <si>
    <t>nur1900016077@webmail.uad.ac.id</t>
  </si>
  <si>
    <t>083119677864</t>
  </si>
  <si>
    <t>Perancangan UI UX Aplikasi Penanganan Dismenore bagi Remaja Wanita dengan Metode Design Thinking</t>
  </si>
  <si>
    <t>https://drive.google.com/open?id=1vn1pBPvirenijfAtzS2NiUKR3nk1dGU6</t>
  </si>
  <si>
    <t>Satrio Pratama Putra</t>
  </si>
  <si>
    <t>Satrio1600016040@webmail.uad.ac.id</t>
  </si>
  <si>
    <t>wa.me/+62895330120400</t>
  </si>
  <si>
    <t>Sistem Informasi E-Learning Berbasis Web</t>
  </si>
  <si>
    <t>Muhammad Arief Nurachman</t>
  </si>
  <si>
    <t>Muhammad1900016082@webmail.uad.ac.id</t>
  </si>
  <si>
    <t>082177768570</t>
  </si>
  <si>
    <t xml:space="preserve"> Normalisasi Kata pada Ulasan untuk Analisis Sentimen Menggunakan Levenshtein Distance</t>
  </si>
  <si>
    <t>13.45 - 14.30</t>
  </si>
  <si>
    <t>https://drive.google.com/open?id=16a9pM3qasrHFWjd_wNth5BrwMz_xzGzS</t>
  </si>
  <si>
    <t>Abiyoso Dimas Ramadhan</t>
  </si>
  <si>
    <t xml:space="preserve">abiyoso1800016034@webmail.uad.ac.id </t>
  </si>
  <si>
    <t>wa.me/+6282348162448</t>
  </si>
  <si>
    <t>PENERAPAN ASSOCIATION RULE DATA MINING PADA TRANSAKSI PENJUALAN BENTO KOPI</t>
  </si>
  <si>
    <t>Ragil Ma'mum Mustaqim</t>
  </si>
  <si>
    <t>ragil1900016078@webmail.uad.ac.id</t>
  </si>
  <si>
    <t>082254377632</t>
  </si>
  <si>
    <t>Audit Sistem Informasi Manajemen Konten Digital Menggunakan Cobit 5  Studi Kasus: PT WOOLU AKSARA MAYA YOGYAKARTA</t>
  </si>
  <si>
    <t>https://drive.google.com/open?id=1UhWKqo2npTWUqjxUeTFhcZhaXeclchZV</t>
  </si>
  <si>
    <t>Muhammad Satya Adhi</t>
  </si>
  <si>
    <t>muhammad1900016100@webmail.uad.ac.id</t>
  </si>
  <si>
    <t>081352012197</t>
  </si>
  <si>
    <t>Audit Sistem Informasi Banking Training Center di PT. Simpul Reka Citra Menggunakan Framework COBIT 5</t>
  </si>
  <si>
    <t>https://drive.google.com/open?id=1tXDezEl0pKYIVt6t-TEKdJeFN_cPhjrK</t>
  </si>
  <si>
    <t>ARINI PUTRI ANWAR</t>
  </si>
  <si>
    <t>Arini1900016110@webmail.uad.ac.id</t>
  </si>
  <si>
    <t>081326016187</t>
  </si>
  <si>
    <t>Analisis Sentimen Untuk Mengukur Domain Kualitas Pelayanan Pada Customer Satisfaction Index</t>
  </si>
  <si>
    <t>https://drive.google.com/open?id=1eQ735L_tytQ1VkH1W_1O7bm0jzwlx9US</t>
  </si>
  <si>
    <t>Muhammad Fanny Andreawan</t>
  </si>
  <si>
    <t>Muhammad1900016179@webmail.uad.ac.id</t>
  </si>
  <si>
    <t>081226877495</t>
  </si>
  <si>
    <t>PERANCANGAN PROTOTYPE GAMIFIKASI IQRO MENGGUNAKAN PLAYER CENTERED DESIGN</t>
  </si>
  <si>
    <t>https://drive.google.com/open?id=1Vl36SzUXX-m4VS6_daf8hU1dhHqIhoms</t>
  </si>
  <si>
    <t>Lab Mul</t>
  </si>
  <si>
    <t>Kunia Aji Prastya</t>
  </si>
  <si>
    <t>kurnia1900016147@webmail.uad.ac.id</t>
  </si>
  <si>
    <t>085260029954</t>
  </si>
  <si>
    <t>ANALISIS PENILAIAN RISIKO TEKNOLOGI INFORMASI MENGGUNAKAN FRAMEWORK ISO 31000</t>
  </si>
  <si>
    <t>https://drive.google.com/open?id=1ACpyhzP_wROsOxcNPAlNHYyT0omCKcKo</t>
  </si>
  <si>
    <t>Ruang Ekspresi</t>
  </si>
  <si>
    <t>Arga Zahrana Naufal</t>
  </si>
  <si>
    <t>arga1900016060@webmail.uad.ac.id</t>
  </si>
  <si>
    <t>082134955263</t>
  </si>
  <si>
    <t>Analisis Sentimen  untuk Pengukruan kepuasan pengguna berdasarkan freamwork pieces pada domain Economics</t>
  </si>
  <si>
    <t>https://drive.google.com/open?id=1BpKpFP2OWYShjHpajuH2iA8WbQGHyKJM</t>
  </si>
  <si>
    <t>Rafikah Eka Srilestari</t>
  </si>
  <si>
    <t xml:space="preserve">rafikah1900016150@webmail.uad.ac.id </t>
  </si>
  <si>
    <t>wa.me/+6285600387715</t>
  </si>
  <si>
    <t>Sentimen Analisis Pada Pengukuran Domain Content dan Format Pada Framework EUCS</t>
  </si>
  <si>
    <t>https://drive.google.com/open?id=1jpy2QMg2Az85gwuprRaQlzxu0KTLfU2o</t>
  </si>
  <si>
    <t>Attoriq Nurohman Soleh</t>
  </si>
  <si>
    <t>attoriq1900016116@webmail.uad.ac.id</t>
  </si>
  <si>
    <t>wa.me/+628974102936</t>
  </si>
  <si>
    <t>Perancangan UI/UX Sistem Informasi Penerbitan Buku Bintang Semesta Media Menggunakan Metode User Centered Design</t>
  </si>
  <si>
    <t xml:space="preserve">10.00 - 11.00 </t>
  </si>
  <si>
    <t>https://drive.google.com/open?id=1VMR0t4I0VL7kpc2qWx30ouQijj5P9iXX</t>
  </si>
  <si>
    <t>Achmad Maulana Rifki</t>
  </si>
  <si>
    <t>Achmad1900016079@webmail.uad.ac.id</t>
  </si>
  <si>
    <t>087770275409</t>
  </si>
  <si>
    <t>Analisis Sentimen untuk pengukuran kepuasan pengguna berdasarkan Pieces Framework Pada Domain Information Data</t>
  </si>
  <si>
    <t>https://drive.google.com/open?id=1JwRqX1lPvFYi-jrGaWSEfuc4HJ01ZlHd</t>
  </si>
  <si>
    <t>Mukhlis Irsyadurrahman</t>
  </si>
  <si>
    <t>mukhlis1900016120@webmail.uad.ac.id</t>
  </si>
  <si>
    <t>081330217821</t>
  </si>
  <si>
    <t>Analisis dan Perbaikan Proses Bisnis pada layanan PPDB Di Yayasan Sekolah Darul Ma’Arif Menggunakan Business Process Improvement (BPI)</t>
  </si>
  <si>
    <t>https://drive.google.com/open?id=190ryPrietjptlMxG3wNVBOBisUolAGkM</t>
  </si>
  <si>
    <t>Olivia Khoirunnisa Maulid</t>
  </si>
  <si>
    <t>olivia1900016027@webmail.uad.ac.id</t>
  </si>
  <si>
    <t>081327418139</t>
  </si>
  <si>
    <t>Perancangan Ulang Antarmuka Website Sekolahskill.com Menggunakan Metode Design Thinking</t>
  </si>
  <si>
    <t>https://drive.google.com/open?id=13Q0tZ-7BPcpxnDcCG2KXR6L3J4Ijn69n</t>
  </si>
  <si>
    <t>Aisya Fitria Nafiani</t>
  </si>
  <si>
    <t>aisya1900016020@webmail.uad.ac.id</t>
  </si>
  <si>
    <t>085280639339</t>
  </si>
  <si>
    <t>Perancangan Ulang Desain User Interface dan User Experience pada Aplikasi Perpustakaan Digital iJogja Dengan Metode Design Thinking</t>
  </si>
  <si>
    <t>https://drive.google.com/open?id=1OxJKXpHGxCF7ur0mLnbxelAmHk1RFcxX</t>
  </si>
  <si>
    <t>Hani Ayuning Tyas</t>
  </si>
  <si>
    <t>Hani1800016041@webmail.uad.ac.id</t>
  </si>
  <si>
    <t>081216140506</t>
  </si>
  <si>
    <t>Analisis Kesuksesan Aplikasi iPiring Kota Yogyakarta dengan Pendekatan Model Delone dan McLean</t>
  </si>
  <si>
    <t>Fajar Agustina Rahmah</t>
  </si>
  <si>
    <t>rahmah1900016180@webmail.uad.ac.id</t>
  </si>
  <si>
    <t>088235762884</t>
  </si>
  <si>
    <t>Perancangan User Interface (UI) &amp; User Experience (UX) Aplikasi Donasi Pakaian  dengan Metode Design Thinking</t>
  </si>
  <si>
    <t>https://drive.google.com/open?id=1XLhEA8QujvA524c7xcIXO2Bpsk7sep4u</t>
  </si>
  <si>
    <t>Sari Aminatul Muslimah</t>
  </si>
  <si>
    <t>sari1900016145@webmail.uad.ac.id</t>
  </si>
  <si>
    <t>08176942097</t>
  </si>
  <si>
    <t>Sistem Pendukung Keputusan Pemilihan Karyawan Terbaik Menggunakan Metode Simple Additive Weighting (Studi Kasus Yatai Tori)</t>
  </si>
  <si>
    <t>09.30 - 10.30 WIB</t>
  </si>
  <si>
    <t>https://drive.google.com/open?id=1VGGER9M2K8_lDr4rMtm9ov-W9_hpm3FP</t>
  </si>
  <si>
    <t>Dina Widyastuti</t>
  </si>
  <si>
    <t>Dina1800016068@webmail.uad.ac.id</t>
  </si>
  <si>
    <t>6285326059113</t>
  </si>
  <si>
    <t>Analisis Kepuasan Pengguna SIAKAD Universitas Halu Oleo (UHO) dalam Kegiatan Akademik Mahasiswa dengan Metode End-User Computing Satisfaction (EUCS)</t>
  </si>
  <si>
    <t>Muhammad Arkaan Ridwansyah</t>
  </si>
  <si>
    <t>muhammad1700016072@webmail.uad.ac.id</t>
  </si>
  <si>
    <t>089618475958</t>
  </si>
  <si>
    <t>Pemodelan Proses Bisnis pada Layanan Pengajuan Dana di BIMAWA UAD Menggunakan Bussines Process Improvement (BPI)</t>
  </si>
  <si>
    <t>Armi Nuriyanti</t>
  </si>
  <si>
    <t>armi1900016153@webmail.uad.ac.id</t>
  </si>
  <si>
    <t>085607205633</t>
  </si>
  <si>
    <t>ANALISIS PENILAIAN RISIKO PADA SISTEM PENDATAAN HAMIL MENGGUNAKAN FRAMEWORK COBIT 5</t>
  </si>
  <si>
    <t>Senin. 4 Agustus 2022</t>
  </si>
  <si>
    <t>https://drive.google.com/open?id=12w2QFqqNBmBP0JizrC32tjFCT1e6kBJI</t>
  </si>
  <si>
    <t>Rayyan Hartawan</t>
  </si>
  <si>
    <t>rayyan1900016052@webmail.uad.ac.id</t>
  </si>
  <si>
    <t>085157911301</t>
  </si>
  <si>
    <t>Analisis Penilaian Risiko Sistem Informasi Puskesmas dengan Menggunakan Framework COBIT 5</t>
  </si>
  <si>
    <t>https://drive.google.com/open?id=1lqHhTGowW5ly0Usdz0zliyQbKeVWzakS</t>
  </si>
  <si>
    <t>TASYA DIMA TAURI</t>
  </si>
  <si>
    <t>tasya1900016039@webmail.uad.ac.id</t>
  </si>
  <si>
    <t>081329281514</t>
  </si>
  <si>
    <t>ANALISIS KUALITAS WEBSITE KPU KOTA YOGYAKARTA DENGAN MENGGUNAKAN METODE WEBQUAL 4.0</t>
  </si>
  <si>
    <t>Iwan Tri Riyadi Yanto, M.IT, Ph.D. Ph.D.</t>
  </si>
  <si>
    <t>https://drive.google.com/open?id=1RutrJac1XXIC4d3xBVGg9eRWx5mFbp0F</t>
  </si>
  <si>
    <t>Chania Trysica Nafulani</t>
  </si>
  <si>
    <t>0895806402737</t>
  </si>
  <si>
    <t>Pembuatan Back-End Aplikasi Presensi Peserta Magang dengan Arsitektur REST</t>
  </si>
  <si>
    <t>https://drive.google.com/open?id=1j8_2HssHshh2TMPWPLysymi2CNWqeYj2</t>
  </si>
  <si>
    <t>https://drive.google.com/open?id=1qW7rUYMMx48m8CB6u6NKfMsG74P-MS7k</t>
  </si>
  <si>
    <t>https://drive.google.com/open?id=1Mf4lnhpc7QYAXnxc7uLW1_kEsilpATJ3</t>
  </si>
  <si>
    <t>resa kurniawan</t>
  </si>
  <si>
    <t>085806274393</t>
  </si>
  <si>
    <t>Perancangan Ulang User Interface Aplikasi MySf Menggunakan Metode Design Thingking</t>
  </si>
  <si>
    <t>https://drive.google.com/open?id=1PR7lMKa-u0y0JRbSswnJhjPRvcvyDMUc</t>
  </si>
  <si>
    <t>https://drive.google.com/open?id=1ne_btk-op5yTgTYulEGW-YZGyEAEPKOX</t>
  </si>
  <si>
    <t>https://drive.google.com/open?id=1VSX4VjrqZIdPBbofU_bL1yJkmtDYbvg0</t>
  </si>
  <si>
    <t>Ayang fhiru syang ghege</t>
  </si>
  <si>
    <t>082159823576</t>
  </si>
  <si>
    <t>Visualisasi Tingkat Kepadatan Penduduk di Wilayah Kelurahan Kertek Berbasis WebGIS</t>
  </si>
  <si>
    <t>https://drive.google.com/open?id=1BBPTRfdeUhx0tJOYvYUO08RZpHSkrH10</t>
  </si>
  <si>
    <t>https://drive.google.com/open?id=1G1-G22UlvBvO3yfVVuwEa47ZJE9of0vj</t>
  </si>
  <si>
    <t>https://drive.google.com/open?id=1_WLI239bTfo_yn_dgOgkOA2n-Esn_jrT</t>
  </si>
  <si>
    <t xml:space="preserve">Yazied Pranajaya Rezqyta </t>
  </si>
  <si>
    <t>yazied1900016165@webmail.uad.ac.id</t>
  </si>
  <si>
    <t>https://drive.google.com/open?id=1XFyKbTyATBDtTDyT0Yv7A9tjoyoX-qGH</t>
  </si>
  <si>
    <t>Lab. Multimedia</t>
  </si>
  <si>
    <t>Dimas Rizki Novyadi</t>
  </si>
  <si>
    <t>dimas1900016071@webmail.uad.ac.id</t>
  </si>
  <si>
    <t>Pemetaan Persebaran dan Kepadatan Penduduk di Kelurahan Kertek Berbasis WebGIS</t>
  </si>
  <si>
    <t xml:space="preserve">13.00 - 14.00 </t>
  </si>
  <si>
    <t>https://drive.google.com/open?id=1FyGNy_5G2sNeRkZGMsHF6gP0KKLLzIPb</t>
  </si>
  <si>
    <t>R. Sidang Lab</t>
  </si>
  <si>
    <t>Achmad Adib Muaddy</t>
  </si>
  <si>
    <t>achmad1900016142@webmail.uad.ac.id</t>
  </si>
  <si>
    <t>0895392656477</t>
  </si>
  <si>
    <t>Analisis Kebutuhan Sistem Informasi Manajemen Barang Pada Paguyuban Batik Tulis Giriloyo</t>
  </si>
  <si>
    <t>https://drive.google.com/open?id=1rv-5Cgco09tScbuXIDXliNpZNHX2z6E2</t>
  </si>
  <si>
    <t>Catur Wahyu Nugroho</t>
  </si>
  <si>
    <t>catur1800016079@webmail.uad.ac.id</t>
  </si>
  <si>
    <t>081225195778</t>
  </si>
  <si>
    <t>Perancangan Ulang User Interface dan User Experience pada Website Kelurahan Desa Bojong dengan Metode  Design Thinking</t>
  </si>
  <si>
    <t>Falah Maulana Ferdian</t>
  </si>
  <si>
    <t>falah1900016046@webmail.uad.ac.id</t>
  </si>
  <si>
    <t>082159486193</t>
  </si>
  <si>
    <t>Pemetaan Wilayah Rawan Banjir Desa Samu Jaya Dengan Memanfaatkan Sistem INformasi Geografis Berbasis WebGIS</t>
  </si>
  <si>
    <t>9:00 – 10:00</t>
  </si>
  <si>
    <t>https://drive.google.com/open?id=1ferxoKXI5xesfBWKsGr5o2aMPzEC3Xbs</t>
  </si>
  <si>
    <t>Nurul Ishmah Aiman</t>
  </si>
  <si>
    <t>nurul1700016047@webmail.uad.ac.id</t>
  </si>
  <si>
    <t>082393941213</t>
  </si>
  <si>
    <t>Evaluasi Tata Kelola TI Penerimaan Mahasiswa Baru di Universitas Ahmad Dahlan Menggunakan Framework COBIT 5</t>
  </si>
  <si>
    <t xml:space="preserve">Sastra Gunawan </t>
  </si>
  <si>
    <t>sastra1700016055@webmail.uad.ac.id</t>
  </si>
  <si>
    <t>089519101691</t>
  </si>
  <si>
    <t>Penilaian Tingkat Kematangan Sistem Informasi dan Sumber Daya Manusia Pada Badan  Penjaminan Mutu Universitas Ahmad Dahlan Menggunakan Kerangka Kerja COBIT 5</t>
  </si>
  <si>
    <t>Farahdian Rasidtha Najli</t>
  </si>
  <si>
    <t>farahdian1900016168@webmail.uad.ac.id</t>
  </si>
  <si>
    <t>‪+62 813‑2728‑1314‬</t>
  </si>
  <si>
    <t>Analisis Kualitas Aplikasi Berbasis Web “SIMKATMUDA” Menggunakan Metode Webqual 4.0</t>
  </si>
  <si>
    <t>12.30 - 13.00</t>
  </si>
  <si>
    <t>https://drive.google.com/open?id=1CnHb1fAVRkSeOAl7EGABKvXFpHDnoLDQ</t>
  </si>
  <si>
    <t>octaviya dewi lestari</t>
  </si>
  <si>
    <t>octaviya1900016166@webmail.uad.ac.id</t>
  </si>
  <si>
    <t>089672837900</t>
  </si>
  <si>
    <t>Analisis Kepuasan Pengguna Sistem Informasi pada website peminjaman buku di perpustakaan Kota Madiun menggunakan metode pieces</t>
  </si>
  <si>
    <t>https://drive.google.com/open?id=12iGYO-NGQ-cjUw9zzrTXj1kyItH4Vu2N</t>
  </si>
  <si>
    <t>Hendrawan Kartiko</t>
  </si>
  <si>
    <t>hendrawan1700016037@webmail.uad.ac.id</t>
  </si>
  <si>
    <t>081327577689</t>
  </si>
  <si>
    <t xml:space="preserve">Penilaian Keamanan Informasi pada Perpustakaan Universitas Ahmad Dahlan Menggunakan Indeks KAMI 4.2 </t>
  </si>
  <si>
    <t>Niken Tiara Nita</t>
  </si>
  <si>
    <t>niken1900016178@webmail.uad.ac.id</t>
  </si>
  <si>
    <t>089624693342</t>
  </si>
  <si>
    <t>Analisis Kualitas Website Prima Freshmart Terhadap Pengguna di Yogyakarta Menggunakan Metode Webqual 4.0</t>
  </si>
  <si>
    <t xml:space="preserve">13.30 - 14.00 </t>
  </si>
  <si>
    <t>https://drive.google.com/open?id=1VVh3bWqkou_v2isn2-wnp0M60xIeJsEg</t>
  </si>
  <si>
    <t>Rahmad Daud Ibrahim</t>
  </si>
  <si>
    <t>rahmad1800016128@webmail.uad.ac.id</t>
  </si>
  <si>
    <t>085751545980</t>
  </si>
  <si>
    <t>SISTEM INFORMASI GEOGRAFIS DESA SAMURANGAU BERBASIS WEB</t>
  </si>
  <si>
    <t>11,00 - 12,00</t>
  </si>
  <si>
    <t>Diah Permata Ningtias</t>
  </si>
  <si>
    <t>diah1900016084@webmail.uad.ac.id</t>
  </si>
  <si>
    <t>091339609403</t>
  </si>
  <si>
    <t>Analisis Penilaian Risiko Pada Layanan OPAC Menggunakan ISO 31000</t>
  </si>
  <si>
    <t>https://drive.google.com/open?id=1KfsjWeuEiVTccREB7a1pjk8-Xebr-8KQ</t>
  </si>
  <si>
    <t>Suryahardi Ramadhan</t>
  </si>
  <si>
    <t>082199255314</t>
  </si>
  <si>
    <t>Analisis Penilaian Risiko Teknologi Informasi Pada Inlis Versi 3.2 Menggunakan FRAMEWORK COBIT 5</t>
  </si>
  <si>
    <t>https://drive.google.com/open?id=14gB6K4bwjjvqX4C4VpiT2RkrpVmp3mOH</t>
  </si>
  <si>
    <t>Nanda Junizar Rahmadani</t>
  </si>
  <si>
    <t>nanda1900016131@webmail.uad.ac.id</t>
  </si>
  <si>
    <t>081273207517</t>
  </si>
  <si>
    <t>Prototipe Sistem Informasi Manajemen Pakan Udang Vannamei Studi Kasus CV Citra Brother Sukamara</t>
  </si>
  <si>
    <t>https://drive.google.com/open?id=18Nyqw2NcD936sMDQYeelUF4Ha-ifsFnK</t>
  </si>
  <si>
    <t>Amelia Putri Supendi</t>
  </si>
  <si>
    <t>amelia1900016162@webmail.uad.ac.id</t>
  </si>
  <si>
    <t>082295402486</t>
  </si>
  <si>
    <t>Desain Model Layanan Administrasi Pemerintah Menggunakan Framework ITIL V3
Studi Kasus Desa Ciherang Banjarsari Ciamis Jawa Barat</t>
  </si>
  <si>
    <t>08.00 - 08.45</t>
  </si>
  <si>
    <t>https://drive.google.com/open?id=1SjhTVAaYUzv7oANoYZelmCq_DI-EeKID</t>
  </si>
  <si>
    <t>Salsabila Ika Yani</t>
  </si>
  <si>
    <t>salsabila1900016092@webmail.com</t>
  </si>
  <si>
    <t>082329410919</t>
  </si>
  <si>
    <t>Perancangan Ulang Design UI/UX Website Kampung Batik Giriloyo Menggunakan Metode Design Thinking</t>
  </si>
  <si>
    <t>https://drive.google.com/open?id=1RZfkBdyoXpG5kivRRPlkYyw3gM_OvG0U</t>
  </si>
  <si>
    <t>Mia Asriyani Hasanah</t>
  </si>
  <si>
    <t>mia1800016011@webmail.uad.ac.id</t>
  </si>
  <si>
    <t>087720316403</t>
  </si>
  <si>
    <t>PERANCANGAN ULANG UI/UX SITUS E-LEARNING UAD DENGAN METODE DESIGN THINKING</t>
  </si>
  <si>
    <t>Reza Mahendra</t>
  </si>
  <si>
    <t>Reza1900016196@webmail.uad.ac.id</t>
  </si>
  <si>
    <t>08974526699</t>
  </si>
  <si>
    <t>Klasifikasi Mentall Illnes Berdasarkan Kriteria DASS Pada Media Sosial Facebook Menggunakan KNN (K-Nearest Neighbor)</t>
  </si>
  <si>
    <t>https://drive.google.com/open?id=1U7nruMOgb2Q-pBGjfFsRES25uoHQV8gS</t>
  </si>
  <si>
    <t>Muhammad Aqshal Miftah Rizki</t>
  </si>
  <si>
    <t>muhammad1900016037@webmail.uad.ac.id</t>
  </si>
  <si>
    <t>082342042271</t>
  </si>
  <si>
    <t>Perancangan Gamified UI/UX pada Aplikasi Pelaporan Kerusakan Fasilitas Umum Menggunakan Metode Prototype Studi Kasus di Biro Sarana dan Prasarana (BSP) UAD</t>
  </si>
  <si>
    <t>https://drive.google.com/open?id=1zrXiCvfXe6-halcb_-_LTI11B_LBZ4bz</t>
  </si>
  <si>
    <t xml:space="preserve">Amiftha Salsabila Flancio </t>
  </si>
  <si>
    <t>amiftha1900016009@webmail.uad.ac.id</t>
  </si>
  <si>
    <t>081383846367</t>
  </si>
  <si>
    <t xml:space="preserve">Analisis Kebutuhan pada Sistem Marketplace Pasar Tradisional Bibit Ikan Cangkringan Menggunakan Metode A Requirement Development process Framework </t>
  </si>
  <si>
    <t>https://drive.google.com/open?id=1rRxdtQJJQCgvkD4W0c242ymzlKP-fmn3</t>
  </si>
  <si>
    <t>MUHAMMAD ZULKIPLI FAHRULLIANSYAH</t>
  </si>
  <si>
    <t>fahrulliansyah1800016127@webmail.uad.ac.id</t>
  </si>
  <si>
    <t>081254996112</t>
  </si>
  <si>
    <t>Sistem Informasi Penyewaan Mobil dan Penjualan Paket Wisata Berbasis Website Menggunakan Metode Prototype Studi Kasus: CV. Jogja Star Travelindo</t>
  </si>
  <si>
    <t>Salsabiella Ramadhana</t>
  </si>
  <si>
    <t>salsabiella1800016031@webmail.uad.ac.id</t>
  </si>
  <si>
    <t>089665533997</t>
  </si>
  <si>
    <t>Perancangan Ulang Desain User Interface pada Website Perumdam Tirta Jungporo</t>
  </si>
  <si>
    <t>Dimas aziz prasetyo</t>
  </si>
  <si>
    <t>Dimas1900016130@webmail.uad.ac.id</t>
  </si>
  <si>
    <t>081247735492</t>
  </si>
  <si>
    <t>Analisis Kebutuhan IT untuk Mendukung Enterprise Goals Berdasarkan Capability Level Sistem Informasi Manajemen Puskesmas Menggunakan Framework COBIT 5.0</t>
  </si>
  <si>
    <t>https://drive.google.com/open?id=1WOcyDer6g_ooRjAMoZpKcgtET3YYspUp</t>
  </si>
  <si>
    <t>Hernan Dwi Anindita</t>
  </si>
  <si>
    <t>hernan1900016167@webmail.uad.ac.id</t>
  </si>
  <si>
    <t>081466712053</t>
  </si>
  <si>
    <t>Perancangan Ulang User Interface pada Aplikasi MyTelkomsel Menggunakan Metode Design Thinking</t>
  </si>
  <si>
    <t>10.00 - 10.45</t>
  </si>
  <si>
    <t>https://drive.google.com/open?id=1GOu-HfqYGZ8MQ9D_ZVwHQzItkuK-7ZFv</t>
  </si>
  <si>
    <t>Bayu pratama</t>
  </si>
  <si>
    <t>Bayu1900016174@webmail.uad.ac.id</t>
  </si>
  <si>
    <t>081935676685</t>
  </si>
  <si>
    <t>Perancangan Ulang User Interface Pada Aplikasi Access By KAI Menggunakan Metode Design Thinking</t>
  </si>
  <si>
    <t>https://drive.google.com/open?id=1or8qZsaPnMWMT2GunSfpQhne9rvLtYe6</t>
  </si>
  <si>
    <t>Asriani Muhdar</t>
  </si>
  <si>
    <t>asriani1700016058@webmail.uad.ac.id</t>
  </si>
  <si>
    <t>082157408098</t>
  </si>
  <si>
    <t>Analisis Kualitas Layanan Senayan Library Management System (SLiMS) Menggunakan Framework ITIL V4 Di Perpustakaan Kota Perak(Studi Kasus SMP Muhammadiyah 7 Yogyakarta)</t>
  </si>
  <si>
    <t>Kurnia Aji Prastya</t>
  </si>
  <si>
    <t>kurnia1900016147@wembail.uad.ac.id</t>
  </si>
  <si>
    <t>Analisis Faktor Pengaruh Penerimaan Sistem Access by KAI Menggunakan Framework Technology Acceptance Model</t>
  </si>
  <si>
    <t>https://drive.google.com/open?id=1cM6c-BdJ3emIJX9f4Uw5NrI8S-zefiR0</t>
  </si>
  <si>
    <t>suryahardi1900016112@webmail.uad.ac.id</t>
  </si>
  <si>
    <t>ANALISIS PENILAIAN RISIKO TEKNOLOGI INFORMASI PADA INLISLite VERSI 3.1 MENGGUNAKAN FRAMEWORK ITIL V4</t>
  </si>
  <si>
    <t>https://drive.google.com/open?id=1Mzv3X1DQ7PV7MuCgDp8l9EWTuSW0LeHY</t>
  </si>
  <si>
    <t>Ihsan Janu Rohman</t>
  </si>
  <si>
    <t>ihsan1915016132@webmail.uad.ac.id</t>
  </si>
  <si>
    <t>089636465453</t>
  </si>
  <si>
    <t>Perancangan Ulang User Interface Aplikasi iPusnas dengan Metode Design Thinking</t>
  </si>
  <si>
    <t>12.30 - 13.15</t>
  </si>
  <si>
    <t>https://drive.google.com/open?id=1MBTZCp5jCSgDa3jNk7VfcXnYhhIqCrLQ</t>
  </si>
  <si>
    <t>Irsa Fitrawan Rayes</t>
  </si>
  <si>
    <t>irsa1900016118@webmail.uad.ac.id</t>
  </si>
  <si>
    <t>085244005724</t>
  </si>
  <si>
    <t>Mitigasi Risiko Pada Sistem Informasi Stok Barang Menggunakan Framework COBIT 5</t>
  </si>
  <si>
    <t>https://drive.google.com/open?id=1d6_OgGfeaH1CvdvBriUgLx3ke4d0rO1p</t>
  </si>
  <si>
    <t>Sri Rahmanda Sinatrya</t>
  </si>
  <si>
    <t>sri1900016028@webmail.uad.ac.id</t>
  </si>
  <si>
    <t>082278600417</t>
  </si>
  <si>
    <t>Perancangan Ulang User Interface Aplikasi Si Pelawan Menggunakan Metode Design Thinking</t>
  </si>
  <si>
    <t>09.00 - 09.45</t>
  </si>
  <si>
    <t>https://drive.google.com/open?id=1anVpg3Q4QCyITvl36PQSBlwruOUjnb0G</t>
  </si>
  <si>
    <t>Badliah Mahmud</t>
  </si>
  <si>
    <t>badliah1800016039@webmail.uad.ac.id</t>
  </si>
  <si>
    <t>081288541464</t>
  </si>
  <si>
    <t>Evaluasi Tata Kelola Teknologi Informasi menggunakan Framework COBIT 5  (Studi Kasus: SDIT Hidayatullah Yogyakarta)</t>
  </si>
  <si>
    <t>Zulhan Ristantyo</t>
  </si>
  <si>
    <t>zulhan1900016124@webmail.uad.ac.id</t>
  </si>
  <si>
    <t>081249885674</t>
  </si>
  <si>
    <t>Analisis Penilaian Risiko Sistem Informasi Desa pada Kalurahan Ambarketawang Menggunakan Framework COBIT 5</t>
  </si>
  <si>
    <t>09.45 - 10.30</t>
  </si>
  <si>
    <t>https://drive.google.com/open?id=1LAllAlCS5O_zYQLYmpg84JX51zVjS4s1</t>
  </si>
  <si>
    <t>Muhamad Bagus Sajiwo</t>
  </si>
  <si>
    <t>muhamad1900016012@webmail.uad.ac.id</t>
  </si>
  <si>
    <t>082213222210</t>
  </si>
  <si>
    <t>Analisis Kualitas Website Sistem Informasi Desa /Kalurahan Palbapang Kapanewon Bantul Menggunakan Metode Webqual 4.0 dan Importance Performance Analysis</t>
  </si>
  <si>
    <t>https://drive.google.com/open?id=16ZWUBEizkwb1Z0rxyJolRWQNhe6P9R6T</t>
  </si>
  <si>
    <t>Fitra Sari Indah</t>
  </si>
  <si>
    <t>fitra1700016118@webmail.uad.ac.id</t>
  </si>
  <si>
    <t>082285045536</t>
  </si>
  <si>
    <t>Analisis Pola Pembelian Pelanggan di Toko Online Bukik Lontiak Menggunakan Association Rules Mining</t>
  </si>
  <si>
    <t>081339609403</t>
  </si>
  <si>
    <t>Analisis Penilaian Risiko Pada Sistem Informasi Desa Menggunakan OCTAVE Allegro</t>
  </si>
  <si>
    <t>https://drive.google.com/open?id=1fnxXkD90CRVAG5QQBXihQTeYNT094M_l</t>
  </si>
  <si>
    <t>Samuryati1700016023@webmailuad.ac.id</t>
  </si>
  <si>
    <t>Perancangan UI/UX pada Website Penerbit Sambocandinda Group Menggunakan Metode User Centered Design</t>
  </si>
  <si>
    <t>13.15 - 14.00</t>
  </si>
  <si>
    <t>Andrian Pratista Amarta</t>
  </si>
  <si>
    <t>andrian1900016099@webmail.uad.ac.id</t>
  </si>
  <si>
    <t>082135446046</t>
  </si>
  <si>
    <t>SISTEM INFORMASI PEMESANAN MINUMAN HERBAL TRADISIONAL BERBASIS WEB Studi Kasus UMKM Yoga Djaya</t>
  </si>
  <si>
    <t>Arif Rahman, S.Kom., M.T.</t>
  </si>
  <si>
    <t>https://drive.google.com/open?id=1YT6QJpEf0_Q2iSQepN8LNeE-lJN03hWh</t>
  </si>
  <si>
    <t>Wahyu tri mahesa</t>
  </si>
  <si>
    <t>Wahyu1800016142@webmail.uad.ac.id</t>
  </si>
  <si>
    <t>082189050655</t>
  </si>
  <si>
    <t>Analisis Kebutuhan Sisitem Manajemen Magang Mahasiswa menggunakan Pendekatan PORE (Procurement-Oriented Requirement Engineering)</t>
  </si>
  <si>
    <t>AGUNG DARMAWAN</t>
  </si>
  <si>
    <t>Agung1900016135@webmail.uad.ac.id</t>
  </si>
  <si>
    <t>085963036841</t>
  </si>
  <si>
    <t>Opinion Mining Suraloka Interactive Zoo pada Ulasan Google Maps Menggunakan Latent Dirichlet Allocation (LDA)</t>
  </si>
  <si>
    <t>Arif R</t>
  </si>
  <si>
    <t>Agung Darmawan - AGUNG DARMAWAN.pdf</t>
  </si>
  <si>
    <t>Ahmad Nursodik</t>
  </si>
  <si>
    <t>ahmad1900016136@webmail.uad.ac.id</t>
  </si>
  <si>
    <t>085950248458</t>
  </si>
  <si>
    <t>Opinion Mining Grhatama Pustaka Pada Ulasan Google Maps Menggunakan Latent Dirichlet Allocation (LDA)</t>
  </si>
  <si>
    <t>https://drive.google.com/open?id=1zfjHDXqayo9K2D_fsQIOORQKz2pes2fT</t>
  </si>
  <si>
    <t>Rizki gusnando</t>
  </si>
  <si>
    <t>Rizki1900016091@webmail.uad.ac.id</t>
  </si>
  <si>
    <t>087713804653</t>
  </si>
  <si>
    <t>Opinion minnning Caffe Bento Pada Ulasan Google Maps menggunakan metode latent dirichlet allocation (LDA)</t>
  </si>
  <si>
    <t>10.30 - 11.15</t>
  </si>
  <si>
    <t>https://drive.google.com/open?id=1iJ3XZ6cniq16PxlPeqpPqVwdGM6VNxej</t>
  </si>
  <si>
    <t>Muhammad Fachri Hasan</t>
  </si>
  <si>
    <t>muhammad1900016015@webmail.uad.ac.id</t>
  </si>
  <si>
    <t>085601112507</t>
  </si>
  <si>
    <t>PERANCANGAN ULANG DESAIN UI/UX DASHBOARD APLIKASI NIDC PADA PT FATAHILLAH ANUGERAH NIBRAS</t>
  </si>
  <si>
    <t>https://drive.google.com/open?id=1vWNyU01EJk9GnAwla1cF2C0SvR4duexE</t>
  </si>
  <si>
    <t>ruang prodi</t>
  </si>
  <si>
    <t>Alieffia Cantika Putri</t>
  </si>
  <si>
    <t>alieffia1900016038@webmail.uad.ac.id</t>
  </si>
  <si>
    <t>081246454717</t>
  </si>
  <si>
    <t>PERANCANGAN ARSITEKTUR SPBE (SISTEM PEMERINTAHAN BERBASIS ELEKTRONIK) 
KABUPATEN LAMANDAU</t>
  </si>
  <si>
    <t>https://drive.google.com/open?id=1MSOlUiHH-5gvL6LQvcDNmuFqYKAv1H2C</t>
  </si>
  <si>
    <t>Analisis Sentimen untuk Pengukuran Kepuasan Pengguna Berdasarkan PIECES Framework pada Domain Information Data</t>
  </si>
  <si>
    <t>buku pink - Maulana Rifkii.pdf</t>
  </si>
  <si>
    <t>Muhammad Aqshal Alkoon</t>
  </si>
  <si>
    <t>muhammad1900016067@webmail.uad.ac.id</t>
  </si>
  <si>
    <t>081337259070</t>
  </si>
  <si>
    <t>Evaluasi Tata Kelola Teknologi Informasi Menggunakan Framework COBIT 5 di SMPN 4 Banguntapan</t>
  </si>
  <si>
    <t>08.00 - 09.45</t>
  </si>
  <si>
    <t>https://drive.google.com/open?id=10HatvQSgc2FXylF_ddziDqfUQ_Q4SiHN</t>
  </si>
  <si>
    <t>Ersa Puspita</t>
  </si>
  <si>
    <t>ersa2000016093@webmail.uad.ac.id</t>
  </si>
  <si>
    <t>087867321171</t>
  </si>
  <si>
    <t>Implementasi Sistem Sewa Kios di Kalurahan Menggunakan Konsep Enterprise Resource Planning (ERP) Studi Kasus : Kalurahan Banguntapan</t>
  </si>
  <si>
    <t>13.00 - 13.20</t>
  </si>
  <si>
    <t>https://drive.google.com/open?id=1BipJs5T00kDYEHXHanZjNheHSISDwt3R</t>
  </si>
  <si>
    <t>Ruang Prodi</t>
  </si>
  <si>
    <t>Fitriani Imran</t>
  </si>
  <si>
    <t>fitriani2000016082@webmail.uad.ac.id</t>
  </si>
  <si>
    <t>081238295816</t>
  </si>
  <si>
    <t>Implementasi Sistem Sewa Tanah di Kalurahan Tamanan Menggunakan Konsep Enterprise Resource Planning (ERP)</t>
  </si>
  <si>
    <t>13.20 - 13.40</t>
  </si>
  <si>
    <t>https://drive.google.com/open?id=19phHrcx2_S_S5KIeO6Ca3Z4YsW8mLpNw</t>
  </si>
  <si>
    <t>Habib Al Huda</t>
  </si>
  <si>
    <t>habib1900016199@webmail.uad.ac.id</t>
  </si>
  <si>
    <t>0895360927053</t>
  </si>
  <si>
    <t>Analisis dan Desain Sistem Informasi Pengelolaan Kegiatan di Asrama Mahasiswa Kalimantan Barat Yogyakarta Menggunakan Metode UCD</t>
  </si>
  <si>
    <t>13.40 - 14.00</t>
  </si>
  <si>
    <t>https://drive.google.com/open?id=1mYrk1dcEy_TIFpBbDhZjtxcfDHe8nozX</t>
  </si>
  <si>
    <t>Nur Anisatun Azizah</t>
  </si>
  <si>
    <t>nur2000016135@webmail.uad.ac.id</t>
  </si>
  <si>
    <t>088221338108</t>
  </si>
  <si>
    <t>Klasifikasi Cyberbullying dengan Metode Long Short Term Memory</t>
  </si>
  <si>
    <t>14.20 - 15.00</t>
  </si>
  <si>
    <t>https://drive.google.com/open?id=1tDTCejF37dyig57azudLfZVYHLvn49Gh</t>
  </si>
  <si>
    <t>Retno Wulan Sari</t>
  </si>
  <si>
    <t>retno2000016083@webmail.uad.ac.id</t>
  </si>
  <si>
    <t>082353171960</t>
  </si>
  <si>
    <t>Preferensi Masyarakat Terhadap Perubahan Kebijakan TikTok Shop dengan Text Mining</t>
  </si>
  <si>
    <t>08.00 - 08.20</t>
  </si>
  <si>
    <t>https://drive.google.com/open?id=1n3HBrGA7OMzM2zHMrMldCuWvtpaT-i3I</t>
  </si>
  <si>
    <t>Adelia Tresnani</t>
  </si>
  <si>
    <t>adelia2000016077@webmail.uad.ac.id</t>
  </si>
  <si>
    <t>085853878030</t>
  </si>
  <si>
    <t>Analisis Preferensi Pengguna Media Sosial X (Twitter) terhadap Calon Presiden dan Wakil Presiden Indonesia Tahun 2024 Menggunakan Text Mining</t>
  </si>
  <si>
    <t>08.20 - 08.40</t>
  </si>
  <si>
    <t>https://drive.google.com/open?id=1rFgj3H_I7hs4cdvVpLvPFTIYep_ciz_v</t>
  </si>
  <si>
    <t>Syaiful Ihsan</t>
  </si>
  <si>
    <t>Syaiful2000016012@webmail.uad.ac.id</t>
  </si>
  <si>
    <t>085727442718</t>
  </si>
  <si>
    <t>Perancangan Sistem Informasi Pertanian Berbasis Website untuk Meningkatkan Produktivitas Kelompok Tani Tunas Siaga di Papua Barat</t>
  </si>
  <si>
    <t>08.40 - 09.00</t>
  </si>
  <si>
    <t>https://drive.google.com/open?id=1RLakwJJl0zcndO9nz4sIv5VhuVDMfH7h</t>
  </si>
  <si>
    <t>lab multimedia</t>
  </si>
  <si>
    <t>Hidayah Ramadani</t>
  </si>
  <si>
    <t>hidayah2015016056@webmail.uad.ac.id</t>
  </si>
  <si>
    <t>081548692036</t>
  </si>
  <si>
    <t>Perencanaan Kebutuhan Teknologi Informasi pada Rental Medis Menggunakan Togaf ADM</t>
  </si>
  <si>
    <t>14.20 - 14.40</t>
  </si>
  <si>
    <t>https://drive.google.com/open?id=1wNaICQfauI3UDGmsPyyvj41YcWYozdAM</t>
  </si>
  <si>
    <t xml:space="preserve">Hahan Nur Rizky </t>
  </si>
  <si>
    <t>hahan2000016038@webmail.uad.ac.id</t>
  </si>
  <si>
    <t>085845232631</t>
  </si>
  <si>
    <t>Analisis Kualitias Layanan Aplikasi iPusnas Berdasarkan Ulasan Pengguna Dengan Text Mining dan Fishbone Diagram</t>
  </si>
  <si>
    <t>https://drive.google.com/open?id=1LrMWMhpvZnQRaSebtVZNVoFN-p0Kgdi4</t>
  </si>
  <si>
    <t>Khalda Hafizhah Arina Wafa</t>
  </si>
  <si>
    <t>khalda2000016149@webmail.uad.ac.id</t>
  </si>
  <si>
    <t>088221449164</t>
  </si>
  <si>
    <t>Pengembangan Sistem Antrean Pendaftaran Rumah Sakit Condong Catur Berbasis Website Menggunakan Framework PHP</t>
  </si>
  <si>
    <t>https://drive.google.com/open?id=13MBjbFqER8nkBrNdtw982ldWrbt77WPh</t>
  </si>
  <si>
    <t>Naufal Firoos Asy Syarif</t>
  </si>
  <si>
    <t>naufal2000016069@webmail.uad.ac.id</t>
  </si>
  <si>
    <t>081225368970</t>
  </si>
  <si>
    <t>Pengembangan Sistem Manajemen Praktikum Berbasis Mobile Menggunakan Metode Prototype</t>
  </si>
  <si>
    <t>https://drive.google.com/open?id=19zj4LtDrPYOMSbAQWx0VBuH2YOCprkrI</t>
  </si>
  <si>
    <t xml:space="preserve">Retno Ayu Wulandari </t>
  </si>
  <si>
    <t>retno2000016063@webmail.uad.ac.id</t>
  </si>
  <si>
    <t>082256079188</t>
  </si>
  <si>
    <t>Pengembangan Sistem Laporan Kegiatan Berbasis Website (Studi Kasus Dinas Komunikasi, Informatika dan Persandian Kabupaten Barito Utara)</t>
  </si>
  <si>
    <t>Mursid</t>
  </si>
  <si>
    <t>11.20 - 11.40</t>
  </si>
  <si>
    <t>https://drive.google.com/open?id=175_zJjrujzm-rzvXwLKZ6b4wgA_Gie4X</t>
  </si>
  <si>
    <t>Dewi Nur Apriliyani</t>
  </si>
  <si>
    <t>dewi2000016042@webmail.uad.ac.id</t>
  </si>
  <si>
    <t>08993837223</t>
  </si>
  <si>
    <t>Analisis Kualitas Website LokerSolo.Id Menggunakan Metode WebQual 4.0</t>
  </si>
  <si>
    <t>https://drive.google.com/open?id=1pQ8sRVXzQmt82PL4oYr8t18o-m7o14iC</t>
  </si>
  <si>
    <t>Hanis Fitriya Da'watus Sholihah</t>
  </si>
  <si>
    <t>hanis2000016040@webmail.uad.ac.id</t>
  </si>
  <si>
    <t>085877140414</t>
  </si>
  <si>
    <t>Analisis Tingkat Kepuasan Pengguna Dalam Penggunaan Aplikasi NEWSAKPOLE Menggunakan Metode PIECES</t>
  </si>
  <si>
    <t>09.00 - 09.20</t>
  </si>
  <si>
    <t>https://drive.google.com/open?id=1AQh7NsOzKERwb4kHVPVBpyy7ry1WAvl4</t>
  </si>
  <si>
    <t xml:space="preserve">Weni Sepriani </t>
  </si>
  <si>
    <t>weni2000016134@webmail.uad.ac.id</t>
  </si>
  <si>
    <t>081393204478</t>
  </si>
  <si>
    <t>Rancang Bangun Sistem Informasi Desa berbasis website (Studi Kasus Desa Kota Agung)</t>
  </si>
  <si>
    <t>https://drive.google.com/open?id=1thN7GYbRr12ZFjQq1_EgbE4UfQvRQIxF</t>
  </si>
  <si>
    <t>Panji Satria Taqwa Putra Purnama</t>
  </si>
  <si>
    <t>panji2000016045@webmail.uad.ac.id</t>
  </si>
  <si>
    <t>081387206453</t>
  </si>
  <si>
    <t xml:space="preserve">PERANCANGAN APLIKASI BERBASIS WEB UNTUKSURVEI KEPUASAN PESERTAPELATIHAN DENGANMETODE AGILE SCRUM DI BPSDMP KOMINFOYOGYAKARTA </t>
  </si>
  <si>
    <t>09.20 - 09.40</t>
  </si>
  <si>
    <t>https://drive.google.com/open?id=1ESxzLa2o2HI9z2-5RKfsxFhdXRlt3FUL</t>
  </si>
  <si>
    <t xml:space="preserve">Laila Nur Arahmadhani </t>
  </si>
  <si>
    <t>laila2000016087@webmail.uad.ac.id</t>
  </si>
  <si>
    <t>082384676185</t>
  </si>
  <si>
    <t xml:space="preserve">Visualisasi Dashboard Tableau dan Peramalan Jumlah Kasus HIV/AIDS di Kota Yogyakarta Menggunakan Metode ARIMA </t>
  </si>
  <si>
    <t>https://drive.google.com/open?id=1j1Gfbvm7NpKmML39lHXv5gbbeYEBjCBX</t>
  </si>
  <si>
    <t>Muhammad Fiandra Badia</t>
  </si>
  <si>
    <t>muhammad2000016132@webmail.uad.ac.id</t>
  </si>
  <si>
    <t>081934654304</t>
  </si>
  <si>
    <t>PENGEMBANGAN SISTEM INFORMASI PENJUALAN BERBASIS WEB(STUDI KASUS INDUSTRI GENTENG WINONG MAGETAN)</t>
  </si>
  <si>
    <t>09.40 - 10.00</t>
  </si>
  <si>
    <t>https://drive.google.com/open?id=10N7BpQQYvxCBF_Tv--IHEiKDfO7sXq9J</t>
  </si>
  <si>
    <t xml:space="preserve">Zaydan Aymar Luthfy </t>
  </si>
  <si>
    <t>zaydan2000016020@webmail.uad.ac.id</t>
  </si>
  <si>
    <t>085921783833</t>
  </si>
  <si>
    <t>Sistem Informasi Manajemen Rumah Kost Berbasis Web (Studi Kasus Pada Kost Putri SCI)</t>
  </si>
  <si>
    <t>10.00 - 10.20</t>
  </si>
  <si>
    <t>https://drive.google.com/open?id=1P9xUBX3yekq5vlgjg2MzDuozIgEg95gy</t>
  </si>
  <si>
    <t>Aditya Atallah</t>
  </si>
  <si>
    <t>aditya2000016097@webmail.uad.ac.id</t>
  </si>
  <si>
    <t>081226530042</t>
  </si>
  <si>
    <t>Penerapan Face Recognition dengan Metode FaceNet untuk Sistem Kehadiran Studi Kasus Sistem Kehadiran Kuliah Lab. Sistem Informasi Universitas Ahmad Dahlan</t>
  </si>
  <si>
    <t>https://drive.google.com/open?id=1Rhe04_87B9lFTOoZkdj30WmLfDbcOxum</t>
  </si>
  <si>
    <t>10.20 - 10.40</t>
  </si>
  <si>
    <t>https://drive.google.com/open?id=1n6V8T2JgPq5BoC75h8BbfvgxvBnfjZoQ</t>
  </si>
  <si>
    <t>Apridan Husaeni Muharam</t>
  </si>
  <si>
    <t>apridan2000016001@webmail.uad.ac.id</t>
  </si>
  <si>
    <t>081220134103</t>
  </si>
  <si>
    <t>Orkestrasi Layanan Aplikasi Berbasis Web Menggunakan Docker dan Kubernetes</t>
  </si>
  <si>
    <t>https://drive.google.com/open?id=1uW8IZ24R8XG657krV-eWzGR4aDzDJvRL</t>
  </si>
  <si>
    <t>AULA ZAHRA</t>
  </si>
  <si>
    <t xml:space="preserve">aula2000016016@webmail.uad.ac.id </t>
  </si>
  <si>
    <t>081349750460</t>
  </si>
  <si>
    <t>Desain Proses Bisnis Pelayanan Publik Dinas Pemuda dan Olahraga Menggunakan Business Process Improvement Studi Kasus Kotawaringin Barat</t>
  </si>
  <si>
    <t>14.40 - 15.00</t>
  </si>
  <si>
    <t>https://drive.google.com/open?id=1KCxlCIfSB1wTygF8xMIAVOyCIRVKLkve</t>
  </si>
  <si>
    <t>Herdian Aziz Qurnia Muharam</t>
  </si>
  <si>
    <t>herdian2000016019@webmail.uad.ac.id</t>
  </si>
  <si>
    <t>08887051140</t>
  </si>
  <si>
    <t>Penilaian Risiko Sistem Informasi pada Website Jogja Smart Service Menggunakan ISO 31000</t>
  </si>
  <si>
    <t>14.00 - 14.20</t>
  </si>
  <si>
    <t>https://drive.google.com/open?id=1bay9YJXEVIsZjClEcf2j8ey9liGPTHJ4</t>
  </si>
  <si>
    <t>Filhafirah Pratiwi</t>
  </si>
  <si>
    <t>filhafirah2000016071@webmail.uad.ac.id</t>
  </si>
  <si>
    <t>087886262356</t>
  </si>
  <si>
    <t>Penilaian Risiko Sistem Informasi Jogja Istimewa Menggunakan COBIT 5</t>
  </si>
  <si>
    <t>https://drive.google.com/open?id=1GfLHf6KjHF5rkVYMSOb7v36SE1yXE7VD</t>
  </si>
  <si>
    <t>Cantika Juandy Putri Katiandagho</t>
  </si>
  <si>
    <t>cantika2000016146@webmail.uad.ac.id</t>
  </si>
  <si>
    <t>082225118125</t>
  </si>
  <si>
    <t>Penilaian Resiko pada Layanan Sistem Informasi Desa Berdaya Menggunakan OCTAVE Allegro</t>
  </si>
  <si>
    <t>https://drive.google.com/open?id=1UJhYkRbCroSOaAhJgm5XDaXfd0QCNXwL</t>
  </si>
  <si>
    <t>Indah purwati</t>
  </si>
  <si>
    <t>indah2000016049@webmail.uad.ac.id</t>
  </si>
  <si>
    <t>082288996890</t>
  </si>
  <si>
    <t>Perbaikan Proses Bisnis Layanan Administrasi Desa Menggunakan Business Proces Improvement (BPI) di Kalurahan Tamanan</t>
  </si>
  <si>
    <t>15.00 - 15.20</t>
  </si>
  <si>
    <t>https://drive.google.com/open?id=1W6tTPE3gUGrV_iEPvYAFcNT9MPAI2st3</t>
  </si>
  <si>
    <t>Muhammad Ridho Hillabi Madhani</t>
  </si>
  <si>
    <t xml:space="preserve">muhammad2000016110@webmail.uad.ac.id </t>
  </si>
  <si>
    <t>85380544417</t>
  </si>
  <si>
    <t xml:space="preserve">Penilaian Risiko Informasi pada Platform Digital Menggunakan ISO 31000 </t>
  </si>
  <si>
    <t>https://drive.google.com/open?id=1O960betA8k1HMdjOr7tM9ooIAp0FDImP</t>
  </si>
  <si>
    <t>Ade Ilma Hasanah</t>
  </si>
  <si>
    <t xml:space="preserve">ade2000016085@webmail.uad.ac.id </t>
  </si>
  <si>
    <t>085256593709</t>
  </si>
  <si>
    <t xml:space="preserve">Perangkingan Layanan Dompet Digital Berdasarkan Ulasan Google Play Menggunakan Metode Text Mining dan Simple Additive Weighting (SAW) </t>
  </si>
  <si>
    <t>https://drive.google.com/open?id=15Y7SWg6pcqu-o68IE90DKPrBGhGejbHY</t>
  </si>
  <si>
    <t>Yanuar Imam Prakoso</t>
  </si>
  <si>
    <t>yanuar2000016084@webmail.uad.ac.id</t>
  </si>
  <si>
    <t>085878776110</t>
  </si>
  <si>
    <t>Pengembangan Sistem Informasi Akademik tingkat Organisasi Pelajar Pondok Modern (OPPM)</t>
  </si>
  <si>
    <t>https://drive.google.com/open?id=1XLeWdJENP_MT4BN9EuaHEbnZ4jhf6WdT</t>
  </si>
  <si>
    <t>Rifky Ramadhan</t>
  </si>
  <si>
    <t>rifky2000016002@webmail.uad.ac.id</t>
  </si>
  <si>
    <t>62895394477132</t>
  </si>
  <si>
    <t>Perancangan Sistem Informasi Laundry Berbasis Web Studi Kasus pada Amanah Laundry</t>
  </si>
  <si>
    <t>10.40 - 11.00</t>
  </si>
  <si>
    <t>https://drive.google.com/open?id=1HQVru9mJrmPV1cOv8QdKZIcSOLltGzl9</t>
  </si>
  <si>
    <t>Widi Pinastika Istirofah</t>
  </si>
  <si>
    <t>widi2000016007@webmail.uad.ac.id</t>
  </si>
  <si>
    <t>082338327419</t>
  </si>
  <si>
    <t>Pengembangan Game Edukasi Pengenalan Bahan Pembuatan Kuliner Nusantara Anak Usia 3-5 Tahun dengan Metode Prototyping</t>
  </si>
  <si>
    <t>https://drive.google.com/open?id=1zFl7Sue6hZBmvk1SYJOBpkRUGmYJYFpz</t>
  </si>
  <si>
    <t>Bonas Lutfiansyah</t>
  </si>
  <si>
    <t>bonas2000016114@webmail.uad.ac.id</t>
  </si>
  <si>
    <t>0895614619499</t>
  </si>
  <si>
    <t>Penilaian Resiko Pada Website Diskominfo Jogja Prov Menggunakan ISO 31000</t>
  </si>
  <si>
    <t>https://drive.google.com/open?id=1wArFbAkWODiV_B_MuHj_zFbQonfaCkpa</t>
  </si>
  <si>
    <t>Nafissa Al Abida</t>
  </si>
  <si>
    <t>nafissa2000016116@webmail.uad.ac.id</t>
  </si>
  <si>
    <t>082325412481</t>
  </si>
  <si>
    <t>Pengembangan Aplikasi Penerapan Growth Mindset dengan Teknik Cognitive Behavioral Therapy (CBT) Berbasis Android</t>
  </si>
  <si>
    <t>https://drive.google.com/open?id=1tdxOCEjoowxkP305UBnF_E1RUYciP6_R</t>
  </si>
  <si>
    <t>Syawal Saputra</t>
  </si>
  <si>
    <t>syawal2011016065@webmail.uad.ac.id</t>
  </si>
  <si>
    <t>085215</t>
  </si>
  <si>
    <t xml:space="preserve">Pengembangan Game edukasi tentang Pengolahan Makanan Kuliner Nusantara Anak Usia 3-5 Tahun dengan Metode Prototyping </t>
  </si>
  <si>
    <t>https://drive.google.com/open?id=1FKKML1PhL58bJls_U-sILsQGXVt8nOF0</t>
  </si>
  <si>
    <t>Anhar Suryadi</t>
  </si>
  <si>
    <t>anhar2011016061@webmail.uad.ac.id</t>
  </si>
  <si>
    <t>081231852726</t>
  </si>
  <si>
    <t>Desain Proses Bisnis Pelayanan Pariwisata Pada Kampung Wisata Purbayan menggunakan Business Process Modelling Notation (BPMN)</t>
  </si>
  <si>
    <t>https://drive.google.com/open?id=1hEF8rqPFLv6KdeUJiP4upPe2qWTCw8w-</t>
  </si>
  <si>
    <t>Gilang Damar Maulana</t>
  </si>
  <si>
    <t>gilang2000016018@webmail.uad.ac.id</t>
  </si>
  <si>
    <t>082269359365</t>
  </si>
  <si>
    <t>Analisis Kepuasan Pengguna Dalam Penggunaan Aplikasi MyYOGYA Menggunakan Metode EUCS</t>
  </si>
  <si>
    <t>https://drive.google.com/open?id=12QWj0jejdb11Zt7iydWSh2VlvZGFk9BM</t>
  </si>
  <si>
    <t>Muhammad Dzulfadhlil Muiz</t>
  </si>
  <si>
    <t>muhammad2000016030@webmail.uad.ac.id</t>
  </si>
  <si>
    <t>085161715720</t>
  </si>
  <si>
    <t>Sistem Informasi Alumni Balai Perlindungan dan Rehabilitas Sosial Wanita Berbasis Website Menggunakan Metode Waterfall</t>
  </si>
  <si>
    <t>11.00 - 11.20</t>
  </si>
  <si>
    <t>https://drive.google.com/open?id=1C0mUz-N1UAiZwuXPZLC9KCfepcwVhTgF</t>
  </si>
  <si>
    <t>Taris Styaningrum</t>
  </si>
  <si>
    <t>taris2000016122@webmail.uad.ac.id</t>
  </si>
  <si>
    <t>081266592725</t>
  </si>
  <si>
    <t>Penilaian Risiko Sistem Informasi pada Website Menggunakan OCTAVE Allegro (Studi kasus Woolu PT.Aksaramaya)</t>
  </si>
  <si>
    <t>Iwan</t>
  </si>
  <si>
    <t>https://drive.google.com/open?id=11lZPYuYqJxqrkPTVIWLzpkt9wbfLWZhx</t>
  </si>
  <si>
    <t>Arsyad Atpi Sidiq</t>
  </si>
  <si>
    <t>arsyad2000016010@webmail.uad.ac.id</t>
  </si>
  <si>
    <t>085246361415</t>
  </si>
  <si>
    <t>Penilaian Risiko Sistem Informasi pada Website Publikasi Digital Menggunakan COBIT 5</t>
  </si>
  <si>
    <t>https://drive.google.com/open?id=1qpbg3E3UwmEcJt6u9e0-oemNoNSbA4D3</t>
  </si>
  <si>
    <t>Andrea Tiara Suparmadi</t>
  </si>
  <si>
    <t>andrea2000016115@webmail.uad.ac.id</t>
  </si>
  <si>
    <t>081286072821</t>
  </si>
  <si>
    <t>Rancangan Layanan Teknologi Informasi di Klinik Pratama Kalasan Sehat Menggunakan ITIL V4</t>
  </si>
  <si>
    <t>https://drive.google.com/open?id=1Cen03S-pbO-1K-pPoUURfv2uDrUaNJt5</t>
  </si>
  <si>
    <t>Ridhorrohim Daulay</t>
  </si>
  <si>
    <t>ridhorrohim1900016149@webmail.uad.ac.id</t>
  </si>
  <si>
    <t>081262909061</t>
  </si>
  <si>
    <t>Analisis Penilaian Risiko Sistem Informasi Pada Layanan Jogja Smart Service Menggunakan COBIT 5.0</t>
  </si>
  <si>
    <t>https://drive.google.com/open?id=1zwARxgstEPlHpuz1g97Bua-bXLE_vDWJ</t>
  </si>
  <si>
    <t>Wardah Asifa</t>
  </si>
  <si>
    <t xml:space="preserve">wardah2000016037@webmail.uad.ac.id </t>
  </si>
  <si>
    <t>082259292628</t>
  </si>
  <si>
    <t>Perencanaan Tata Kelola Teknologi Informasi Sumber Daya Manusia menggunakan framework COBIT 5 Studi Kasus Biro Sistem Informasi Universitas Ahmad Dahlan</t>
  </si>
  <si>
    <t>https://drive.google.com/open?id=1jgdKIXYWFCYjRtDIAM_n5LZinto-PzAT</t>
  </si>
  <si>
    <t>Maulidya Ika Fahrani</t>
  </si>
  <si>
    <t>maulidya2000016105@webmail.uad.ac.id</t>
  </si>
  <si>
    <t>082130632427</t>
  </si>
  <si>
    <t>Evaluasi dan Analisis Kesiapan Transformasi Digital BSI UAD dengan Framework DTRA (Digital Transformation Readiness Assessment)</t>
  </si>
  <si>
    <t>https://drive.google.com/open?id=1Ys8CeMgomVSWzUXsAipn_mBa9DkKIzLT</t>
  </si>
  <si>
    <t>Ratemawati</t>
  </si>
  <si>
    <t>ratemawati2000016048@webmail.uad.ac.id</t>
  </si>
  <si>
    <t>082280531742</t>
  </si>
  <si>
    <t>Perbaikan Antarmuka Media Pembelajaran Berbasis IT Pada Balai Teknologi Komunikasi Pendidikan Daerah Istimewa Yogyakarta Menggunakan User Centered Design (UCD)</t>
  </si>
  <si>
    <t>https://drive.google.com/open?id=1Nxw6mCJyRecKyHceooWat0TsHH9PrGpq</t>
  </si>
  <si>
    <t>Lab Multimedia</t>
  </si>
  <si>
    <t>Cicilia Putri</t>
  </si>
  <si>
    <t>cicilia2000016041@webmail.uad.ac.id</t>
  </si>
  <si>
    <t>081907577297</t>
  </si>
  <si>
    <t>Perancangan UI/UX  Layanan Lab Fisika UAD Sisi Laboran Menggunakan Metode Design Thinking</t>
  </si>
  <si>
    <t>https://drive.google.com/open?id=13VdEX5qvAGqL7kQAz15NDMAfzt6fe5P3</t>
  </si>
  <si>
    <t>lab Multimedia</t>
  </si>
  <si>
    <t>Habib Aditiya Julianto</t>
  </si>
  <si>
    <t>habib2000016047@webmail.uad.ac.id</t>
  </si>
  <si>
    <t>085874030544</t>
  </si>
  <si>
    <t>Evaluasi Keamanan Informasi Pada Layanan Perpustakaan Digital Menggunakan Indeks KAMI 5.0</t>
  </si>
  <si>
    <t>https://drive.google.com/open?id=1iJCASnD4AALm7hPJ_ujcIkGipgVD0o3E</t>
  </si>
  <si>
    <t>NUR HIDAYAH</t>
  </si>
  <si>
    <t>nur2000016141@webmail.uad.ac.id</t>
  </si>
  <si>
    <t>085238055278</t>
  </si>
  <si>
    <t>INTEGRASI SISTEM INFORMASI DESA DENGAN PLATFORM MEDIA SOSIAL UNTUK MEMPERKUAT PENGELOLAAN INFORMASI (STUDI KASUS : DESA JAGALAN)</t>
  </si>
  <si>
    <t>https://drive.google.com/open?id=1g0YRAIPrkr3fFFBOEHygC9PHfvpmN9sM</t>
  </si>
  <si>
    <t>Akbar Pratama Suryamin</t>
  </si>
  <si>
    <t>akbar2000016129@webmail.uad.ac.id</t>
  </si>
  <si>
    <t>085266690013</t>
  </si>
  <si>
    <t>Pengembangan Sistem Layanan Lab Berbasis Web Dengan Menggunakan Metode Rapid Application Development</t>
  </si>
  <si>
    <t>https://drive.google.com/open?id=1j0vX2SD0tFWFp0y209TZP3TXJY6_PvES</t>
  </si>
  <si>
    <t xml:space="preserve">Miranda Diah Adisti </t>
  </si>
  <si>
    <t>miranda2015016057@webmail.uad.ac.id</t>
  </si>
  <si>
    <t>088227768128</t>
  </si>
  <si>
    <t>Perancangan UI/UX Sistem Layanan Lab Fisika UAD Sisi Mahasiswa Menggunakan Metode Design Thinking 
Studi Kasus Program Studi Fisika UAD</t>
  </si>
  <si>
    <t>https://drive.google.com/open?id=10NrF5JpKoIS3J5UGZxTBcK9IeePJ4FIz</t>
  </si>
  <si>
    <t>Jihan Fatimah Az-zahra</t>
  </si>
  <si>
    <t>jihan2011016062@webmail.uad.ac.id</t>
  </si>
  <si>
    <t>085866310014</t>
  </si>
  <si>
    <t>Perancangan User Interface Website Monitoring Program Tahfidz SMA Muhammadiyah Kalasan</t>
  </si>
  <si>
    <t>https://drive.google.com/open?id=1N3IRKhHpmtGxuLFvWhm7Hg7UqQBta4QF</t>
  </si>
  <si>
    <t>Ruang Sidang Multimedia</t>
  </si>
  <si>
    <t>Mukti Candela</t>
  </si>
  <si>
    <t>mukti2000016026@webmail.uad.ac.id</t>
  </si>
  <si>
    <t>081277857566</t>
  </si>
  <si>
    <t>Perancangan Ulang User Interface Aplikasi iJogja Menggunakan Metode Design Thinking</t>
  </si>
  <si>
    <t>https://drive.google.com/open?id=1agvdApYenxu3R3eubKA6C_QBiwOq8kYT</t>
  </si>
  <si>
    <t>Rengganis Pentagona Pertiwi</t>
  </si>
  <si>
    <t>rengganis2000016121@webmail.uad.ac.id</t>
  </si>
  <si>
    <t>082137676272</t>
  </si>
  <si>
    <t>Perancangan UI/UX Sistem Pelayanan Manajemen Praktikum Sistem Informasi Berbasis Mobile Menggunakan Metode Design Thinking</t>
  </si>
  <si>
    <t>https://drive.google.com/open?id=1o4r5jv1jFvar9YEnKHUV5_a-absnJ4p3</t>
  </si>
  <si>
    <t>Riki Rasuli</t>
  </si>
  <si>
    <t>riki2000016059@webmail.uad.ac.id</t>
  </si>
  <si>
    <t>0895348747864</t>
  </si>
  <si>
    <t>Perancangan UI/UX Pengelolaan Praktikum Pada Laboratorium ' SILAB ' Menggunakan Metode Design Thinking</t>
  </si>
  <si>
    <t>https://drive.google.com/open?id=1NzNf0aLwO2WHCaJCMm5FjcwDdn0b0Npi</t>
  </si>
  <si>
    <t>Devi Triana Suci</t>
  </si>
  <si>
    <t>devi2000016124@webmail.uad.ac.id</t>
  </si>
  <si>
    <t>0895392139136</t>
  </si>
  <si>
    <t>Perancangan UI UX Aplikasi Pemesanan Baju pada UKM Koperasi Mahasiswa UAD Menggunakan Metode Design Thinking.</t>
  </si>
  <si>
    <t>https://drive.google.com/open?id=1FyZakKRWn6CQl1J6NRDcuZNehm0slXkK</t>
  </si>
  <si>
    <t>Muhammad Syafiqurrahman</t>
  </si>
  <si>
    <t>muhammad2000016136@webmail.uad.ac.id</t>
  </si>
  <si>
    <t>085333117711</t>
  </si>
  <si>
    <t>Perancangan User Interface Desain Aplikasi Informasi Publik Menggunakan Metode Design Thinking</t>
  </si>
  <si>
    <t xml:space="preserve">Ferman Alfiansyah </t>
  </si>
  <si>
    <t>ferman2000016074@webmail.uad.ac.id</t>
  </si>
  <si>
    <t>087853431650</t>
  </si>
  <si>
    <t>Perancangan Ulang Fitur Tryout Berbasis User Interface (UI) dan User Experience (UX) Menggunakan Metode Design Thinking. 
Studi Kasus Website E-learning Bimbingan Belajar Citra Bagus Grup Untuk Meningkatkan Kepuasan Siswa</t>
  </si>
  <si>
    <t>https://drive.google.com/open?id=1ym0emjJVym-C72x7JiXGlwGDsguhUk8h</t>
  </si>
  <si>
    <t>Bunga Putri Tatwo</t>
  </si>
  <si>
    <t>bunga2015016055@webmail.uad.ac.id</t>
  </si>
  <si>
    <t>088233220357</t>
  </si>
  <si>
    <t xml:space="preserve">Perancangan UI/UX Fitur Layanan Pasien Dengan Metode Design Thinking
Studi Kasus Website Rumah Sakit Happy Land Yogyakarta </t>
  </si>
  <si>
    <t>11.20 - 11,40</t>
  </si>
  <si>
    <t>https://drive.google.com/open?id=1BCWOA3cK6jxc9p1TgyA0zRySWF89fpWu</t>
  </si>
  <si>
    <t>Mohammad Jindan Dubbay Al Faresh</t>
  </si>
  <si>
    <t>mohammad2000016101@uad.ac.id</t>
  </si>
  <si>
    <t>085314074917</t>
  </si>
  <si>
    <t>Pengembangan Sistem Informasi Desa Grogol Berbasis Web</t>
  </si>
  <si>
    <t>https://drive.google.com/open?id=1pmEVKU35j9vkwTVOgH-Ld9IgQRIIlWP1</t>
  </si>
  <si>
    <t>Muhammad Jordan Bramada</t>
  </si>
  <si>
    <t>muhammad2000016123@webmail.uad.ac.id</t>
  </si>
  <si>
    <t>089648569411</t>
  </si>
  <si>
    <t>PENGEMBANGAN SISTEM PRESENSI PRAKTIKUM MENGGUNAKAN METODE PROTOTYPE</t>
  </si>
  <si>
    <t>https://drive.google.com/open?id=16z4fcWUmy4A4jAchwbmNqV0LDcd_InZy</t>
  </si>
  <si>
    <t>Muhammad Daffa Nuradi</t>
  </si>
  <si>
    <t>muhammad2000016127@webmail.uad.ac.id</t>
  </si>
  <si>
    <t>088806215277</t>
  </si>
  <si>
    <t>Penilaian Risiko Sistem Informasi pada Website Dinas Pariwisata Kota Yogyakarta menggunakan ISO 31000</t>
  </si>
  <si>
    <t xml:space="preserve">14.00 - 14.20 </t>
  </si>
  <si>
    <t>https://drive.google.com/open?id=1VZUP5tW1QAZdK18ykS2MPRqHcmbmeDh9</t>
  </si>
  <si>
    <t xml:space="preserve">amelia putri </t>
  </si>
  <si>
    <t>amelia2000016139@webmail.uad.ac.id</t>
  </si>
  <si>
    <t>082124049727</t>
  </si>
  <si>
    <t>analisis risiko sistem informasi pada profil website menggunakan octave allegro</t>
  </si>
  <si>
    <t>https://drive.google.com/open?id=1Ww7hrCKqDsBTGNlyS4AQkQ1kNVIrbtAK</t>
  </si>
  <si>
    <t>Sisca Nur Arafah Febriyanti</t>
  </si>
  <si>
    <t>sisca2000016076@webmail.uad.ac.id</t>
  </si>
  <si>
    <t>086871012624</t>
  </si>
  <si>
    <t>Perancangan UI / UX Sistem Informasi Ekstrakurikuler (ExtracuricuLink) Menggunakan Metode Design Thinking
Studi Kasus SMA Negeri 1 Kasihan</t>
  </si>
  <si>
    <t>https://drive.google.com/open?id=153c7ftljezTc7feJObw9-Fd86-qW1iR4</t>
  </si>
  <si>
    <t>Addini Nurul Aisyah</t>
  </si>
  <si>
    <t>addini2000016078@webmail.uad.ac.id</t>
  </si>
  <si>
    <t>081584512809</t>
  </si>
  <si>
    <t>Perancangan UI/UX Model Gamifikasi pada Sistem Presensi Siswa di SMAN 1 Kasihan menggunakan Metode Design Thinking</t>
  </si>
  <si>
    <t>https://drive.google.com/open?id=175q9uvmBehGSjNM59O5-NQDz-oJHJNLY</t>
  </si>
  <si>
    <t>Faishal Umar Al-Amin</t>
  </si>
  <si>
    <t>faishal2011016067@webmail.uad.ac.id</t>
  </si>
  <si>
    <t>081224703313</t>
  </si>
  <si>
    <t>Rancangan Kebutuhan Sistem Fitur Relawan pada Website Lazismu DIY</t>
  </si>
  <si>
    <t>https://drive.google.com/open?id=1DZJ8PIYIs1HH-JvU5XaJDBTP2g1sp7sy</t>
  </si>
  <si>
    <t>Muhammad Daffa Nazhirul Haq</t>
  </si>
  <si>
    <t>muhammad2000016125@webmail.uad.ac.id</t>
  </si>
  <si>
    <t>087859896579</t>
  </si>
  <si>
    <t>Optimasi SEO untuk Meningkatkan Visibilitas dan Trafik Website E-Commerce.</t>
  </si>
  <si>
    <t>https://drive.google.com/open?id=1qpUfIC4RkTMeBKVrf7V66YAS0uAOvzib</t>
  </si>
  <si>
    <t>Ruang Sidamg Multimedia</t>
  </si>
  <si>
    <t>Wahyu Hidayat</t>
  </si>
  <si>
    <t>wahyu2000016025@webmail.uad.ac.id</t>
  </si>
  <si>
    <t>081274071236</t>
  </si>
  <si>
    <t>Penialaian Keamanan Informasi Pada Layanan Sistem Informasi Desa Menggunakan Indeks KAMI 5.0</t>
  </si>
  <si>
    <t>https://drive.google.com/open?id=1TBXzyOnzge2lLZ1poB4lrWvW7jQDmcE6</t>
  </si>
  <si>
    <t>Tri Tanjung Arindra</t>
  </si>
  <si>
    <t>tri2000016075@webmail.uad.ac.id</t>
  </si>
  <si>
    <t>082242059366</t>
  </si>
  <si>
    <t>Pengembangan Jaringan Komputer pada RT/RW Net Menggunakan Metode Network Development Life Cycle</t>
  </si>
  <si>
    <t xml:space="preserve">14.40 - 15.00 </t>
  </si>
  <si>
    <t>https://drive.google.com/open?id=1a-79nwrD9crsRLDE3us1XQNx4edtCgGY</t>
  </si>
  <si>
    <t>Sheila Deswita Ariyanto</t>
  </si>
  <si>
    <t>sheila2000016102@webmail.uad.ac.id</t>
  </si>
  <si>
    <t>085759460875</t>
  </si>
  <si>
    <t>Evaluasi Media Digital Application Delima DOC menggunakan Model HOT (Human-OrganizationTechnology) Fit 
(Studi Kasus di PT Cipta Sedaya Digital Indonesia)</t>
  </si>
  <si>
    <t>https://drive.google.com/open?id=10-o2-bEWI53eQ_p8_RkhsqL6V-IlBjpe</t>
  </si>
  <si>
    <t>Mhd Rizky Akbar</t>
  </si>
  <si>
    <t>mhd2000016081@webmail.uad.ac.id</t>
  </si>
  <si>
    <t>083168459045</t>
  </si>
  <si>
    <t xml:space="preserve">Perancangan Desain UI/UX pada Aplikasi Destinasi Wisata dan Tempat Kuliner Menggunakan Metode Design Thinking </t>
  </si>
  <si>
    <t>https://drive.google.com/open?id=18hOpT9EVeGGLvoVnIHTvoUL8ER810fr0</t>
  </si>
  <si>
    <t>An Syafarino Armawahyudi</t>
  </si>
  <si>
    <t>an2000016080@webmail.uad.ac.id</t>
  </si>
  <si>
    <t>087872789599</t>
  </si>
  <si>
    <t xml:space="preserve">Pengujian Aplikasi OPIBOX dengan ISO 25010 pada Proyek PT Qatros Teknologi Nusantara </t>
  </si>
  <si>
    <t>https://drive.google.com/open?id=1d783XKibRIOXTmmrxRWRh8Z2bxR2tpSG</t>
  </si>
  <si>
    <t>Aldy Amrullah</t>
  </si>
  <si>
    <t>aldy2000016011@webmail.uad.ac.id</t>
  </si>
  <si>
    <t>085337937044</t>
  </si>
  <si>
    <t xml:space="preserve">Perancangan UI/UX Aplikasi Pembelajaran Matematika Untuk Sekolah Dasar Menggunakan Metode Design Thinking
Studi Kasus Kelas 1,2,3
</t>
  </si>
  <si>
    <t>11.40 - 12.00</t>
  </si>
  <si>
    <t>https://drive.google.com/open?id=1GMtnJ7GudeNtj9a6oyz4Zd4yMgDsYn9N</t>
  </si>
  <si>
    <t>Rohadatul Aisy</t>
  </si>
  <si>
    <t xml:space="preserve">rohadatul2000016109@webmail.uad.ac.id </t>
  </si>
  <si>
    <t>081230001294</t>
  </si>
  <si>
    <t>Evaluasi Kualitas Website dengan Metode WebQual 4.0 dan Importance Performance Analysis (IPA) : Implementasi E-Commerce Berbasis Wordpress
Studi Kasus Website Museum Batik</t>
  </si>
  <si>
    <t>https://drive.google.com/open?id=1NQpsfIprGuwXoOYY-f03ZxLZvNDu4B9H</t>
  </si>
  <si>
    <t>Niluh Sekar Zulfa Umardhani</t>
  </si>
  <si>
    <t>niluh2000016131@webmail.uad.ac.id</t>
  </si>
  <si>
    <t>082132320019</t>
  </si>
  <si>
    <t>Model Mitigasi Risiko Infrastruktur Biro Sistem Informasi Menggunakan Framework COBIT 5</t>
  </si>
  <si>
    <t>https://drive.google.com/open?id=1i-rYzt73WsIyKnP45rwoRpfCZCPSSf0R</t>
  </si>
  <si>
    <t>Pradika fajar rillo pambudi</t>
  </si>
  <si>
    <t>pradika1900016029@webmail.uad.ac.id</t>
  </si>
  <si>
    <t>085786947244</t>
  </si>
  <si>
    <t>Sistem Informasi Inventory  Berbasis Website Pada Toko Kue Dua Saudara Dengan Metode Waterfall</t>
  </si>
  <si>
    <t>https://drive.google.com/open?id=10f1WucoeHa1PiJUqZcXpDQf9hE5F9MnA</t>
  </si>
  <si>
    <t>Teguh Dwi Cahya Kusuma</t>
  </si>
  <si>
    <t>teguh2000016015@webmail.uad.ac.id</t>
  </si>
  <si>
    <t>085751080434</t>
  </si>
  <si>
    <t>Pengembangan Aplikasi Multimedia untuk Pembelajaran Anak dengan Model Multimedia Development Life Cycle</t>
  </si>
  <si>
    <t>https://drive.google.com/open?id=1NVGRKcdRmuTxM6-Tu1_TLq20gtePO4F-</t>
  </si>
  <si>
    <t>Firdaus Syam</t>
  </si>
  <si>
    <t xml:space="preserve">firdaus1900016026@webmail.uad.ac.id </t>
  </si>
  <si>
    <t>089661382675</t>
  </si>
  <si>
    <t>Kostumisasi Produk Secara 3D Pada Situs Web  UMKM UD Laris</t>
  </si>
  <si>
    <t>Mursid Wahyu Hananto, S.Si., M.Kom.</t>
  </si>
  <si>
    <t>https://drive.google.com/open?id=1Ko4ahPjj2KFyn_DxhGH-BmqGS1FPluAZ</t>
  </si>
  <si>
    <t>Muhammad Fadhil Hasbi</t>
  </si>
  <si>
    <t>muhammad1900016050@webmail.uad.ac.id</t>
  </si>
  <si>
    <t>081248941409</t>
  </si>
  <si>
    <t>Pengembangan Web Penjualan Produk UMKM UD Laris Menggunakan Laravel</t>
  </si>
  <si>
    <t>https://drive.google.com/open?id=1yId4laGMvNuuxqETrN9HhF5UoS0MYjmb</t>
  </si>
  <si>
    <t>Muhammad Andre Pratama</t>
  </si>
  <si>
    <t>muhammad1900016034@webmail.uad.ac.id</t>
  </si>
  <si>
    <t>085171611785</t>
  </si>
  <si>
    <t>Perancangan Gamifikasi pada Aktivitas Pembelajaran Bahasa Inggris untuk Siswa Menengah Pertama Menggunakan Framework Octalysis</t>
  </si>
  <si>
    <t>https://drive.google.com/open?id=1QiSxmc43GopoSWERuUJz0NI4LfURnv24</t>
  </si>
  <si>
    <t>Akmal Hanif Nugroho</t>
  </si>
  <si>
    <t>akmal1900016081@webmail.uad.ac.id</t>
  </si>
  <si>
    <t>081578878839</t>
  </si>
  <si>
    <t>Analisis Penilaian Risiko Menggunakan Framework  NIST SP 800-30 ,Studi Kasus Laboratorium SMK Muhammadiyah 2 Bantul</t>
  </si>
  <si>
    <t>https://drive.google.com/open?id=1us0PCMrs2W_We8uyFvc3mNrLpwrwOBC_</t>
  </si>
  <si>
    <t>Kukuh Dwi Cahyono</t>
  </si>
  <si>
    <t>kukuh1800016088@webmail.uad.ac.id</t>
  </si>
  <si>
    <t>0895637855384</t>
  </si>
  <si>
    <t>IMPLEMENTASI CHATBOT UNTUK CUSTOMER RELATIONSHIP MANAGEMENT DI PERGURUAN TINGGI: STUDI KASUS FAKULTAS SAINS &amp; TEKNOLOGI TERAPAN UAD</t>
  </si>
  <si>
    <t>https://drive.google.com/open?id=14S1g2TNzbSXy6OJAkOTv0IfCpHJoDMlk</t>
  </si>
  <si>
    <t>Bima Respati Kurniawan</t>
  </si>
  <si>
    <t>bima1800016154@webmail.uad.ac.id</t>
  </si>
  <si>
    <t>081266443825</t>
  </si>
  <si>
    <t>Sistem Informasi Pemesanan Makanan Berbasis Web Danau Raja Cafe Rengat</t>
  </si>
  <si>
    <t>Penilaian Keamanan Informasi pada Perpustakaan Universitas Ahmad Dahlan Menggunakan Indeks KAMI 4.2</t>
  </si>
  <si>
    <t>Dr. H. Imam Riadi, S.Pd., M.Kom.</t>
  </si>
  <si>
    <t>Iwan Tri Riyadi Yanto, S.Si., M.IT., P.hd.</t>
  </si>
  <si>
    <t>Putra Louroung Alkautsar</t>
  </si>
  <si>
    <t>putra1700016054@webmail.uad.ac.id</t>
  </si>
  <si>
    <t>081327112447</t>
  </si>
  <si>
    <t>Analisis Penilaian Risiko Layanan Zakat Dompet Dhuafa DIY Menggunakan Framework COBIT 5</t>
  </si>
  <si>
    <t>Muhammad Dirfas Haidar</t>
  </si>
  <si>
    <t>muhammad1800016019@webmail.uad.ac.id</t>
  </si>
  <si>
    <t>082297236251</t>
  </si>
  <si>
    <t>Sistem Informasi Pemetaan Penduduk Kepek II Berbasis WebGIS dengan Pendekatan Metode Waterfall</t>
  </si>
  <si>
    <t>https://drive.google.com/open?id=1tPgXiOWxfl0PdkyNI6-3UsggVo1I7Qde</t>
  </si>
  <si>
    <t>Moh.Andrey Fan Afandi</t>
  </si>
  <si>
    <t>moh1800016108@webmail.uad.ac.id</t>
  </si>
  <si>
    <t>085788374164</t>
  </si>
  <si>
    <t>Sistem Informasi Pemetaan Penduduk Desa Sumber Batikan Berbasis Web</t>
  </si>
  <si>
    <t>https://drive.google.com/open?id=11ecuirhVyVzyi0YKUOTGhus-s7uN1Hbn</t>
  </si>
  <si>
    <t xml:space="preserve">Dimas Abimanyu </t>
  </si>
  <si>
    <t>dimas1900016191@webmail.uad.ac.id</t>
  </si>
  <si>
    <t>085740249383</t>
  </si>
  <si>
    <t>Perancangan User Interface Pada Aplikasi Hidroponik Geh Menggunakan Design Thinking</t>
  </si>
  <si>
    <t>Selasa. 28 Mei 2024</t>
  </si>
  <si>
    <t>https://drive.google.com/open?id=1PeHSthEwo9ppR4YchoPqna0J1D2Yqb4X</t>
  </si>
  <si>
    <t>Arief Maulana</t>
  </si>
  <si>
    <t>arief1900016010@webmail.uad.ac.id</t>
  </si>
  <si>
    <t>085741184110</t>
  </si>
  <si>
    <t>Perancangan UI/UX Aplikasi Pembelajaran Bahasa Inggris Berbasis Gamifikasi Menggunakan Metode Design Thinking</t>
  </si>
  <si>
    <t>https://drive.google.com/open?id=1XV0pvLBbzSpt8FdBXYEoDYzb97gKK1t1</t>
  </si>
  <si>
    <t>Oskha Rafida Muadz</t>
  </si>
  <si>
    <t>oskha1800016087@webmail.uad.ac.id</t>
  </si>
  <si>
    <t>082241834507</t>
  </si>
  <si>
    <t>Penggunaan Framework PIECES Dalam Menganalisis Tingkat Kepuasan Pengguna Sistem Informasi Manajemen Rumah Sakit Bagian Rawat Jalan Rumah Sakit Pratama Kota Yogyakarta</t>
  </si>
  <si>
    <t>https://drive.google.com/open?id=1DKBWIS91Y6SxVYxbwVrW7iKf7ZzqK1Mh</t>
  </si>
  <si>
    <t>Rama Wijaya</t>
  </si>
  <si>
    <t>ramawijayaa69@gmail.com</t>
  </si>
  <si>
    <t>082169067903</t>
  </si>
  <si>
    <t>Rancang Bangun Sistem Informasi Manajemen Peserta Magang Oemah Website Berbasis Website Menggunakan Metode Waterfall</t>
  </si>
  <si>
    <t>12.30 - 13.45</t>
  </si>
  <si>
    <t>https://drive.google.com/open?id=1qc332XfajHA1UTQDSvElsmMDrUEhyYyi</t>
  </si>
  <si>
    <t xml:space="preserve">Gawa Bika Bikhoirin Untung </t>
  </si>
  <si>
    <t>gawa1700016120@webmail.uad.ac.id</t>
  </si>
  <si>
    <t>082288339680</t>
  </si>
  <si>
    <t>Manajemen Proyek Event Menggunakan
Project Management Body Of Knowledge di
CV. Syakaa Organizer</t>
  </si>
  <si>
    <t>Romano Fajar Ikhsan</t>
  </si>
  <si>
    <t>romano2000016053@webmail.uad.ac.id</t>
  </si>
  <si>
    <t>081382627496</t>
  </si>
  <si>
    <t>Sistem Informasi Geografis Pemetaan Penduduk Padukuhan Jogodayoh Berbasis Webgis</t>
  </si>
  <si>
    <t>Nanda Ardianto</t>
  </si>
  <si>
    <t>nanda2000016100@webmail.uad.ac.id</t>
  </si>
  <si>
    <t>081280641757</t>
  </si>
  <si>
    <t>Pemetaan Lahan Sawah dan Kelompok Tani dengan Sistem Informasi Geografis Berbasis Website
Studi Kasus Kapanewon Kasihan</t>
  </si>
  <si>
    <t>Muhammad Faisal Supriansyah</t>
  </si>
  <si>
    <t>muhammad1700016083@webmail.uad.ac.id</t>
  </si>
  <si>
    <t>081225709750</t>
  </si>
  <si>
    <t>Analisis Keamanan sistem informasi menggunakan frame Open Web Application Security Project (OWASP)</t>
  </si>
  <si>
    <t>Prayogo Bambang Sudarminto</t>
  </si>
  <si>
    <t>prayogo1800016077@webmail.uad.ac.id</t>
  </si>
  <si>
    <t>089623260253</t>
  </si>
  <si>
    <t>EVALUASI USER EXPERIENCE (UX) APLIKASI MY SIMOKA MENGGUNAKAN USABILITY TESTING</t>
  </si>
  <si>
    <t>Dian Agung Rahmawan</t>
  </si>
  <si>
    <t>dian1900016123@webmail.uad.ac.id</t>
  </si>
  <si>
    <t>085392077539</t>
  </si>
  <si>
    <t>Analisis dan Visualisasi Data Penjualan Sambierjo Mart Menggunakan Exploratory Data Analysis (EDA)</t>
  </si>
  <si>
    <t xml:space="preserve">Galing Susilo </t>
  </si>
  <si>
    <t>galing1900016190@webmail.uad.ac.id</t>
  </si>
  <si>
    <t>085888577619</t>
  </si>
  <si>
    <t xml:space="preserve">Perbaikan Website Sevendomu Berdasarkan Hasil Pengujian Usability Testing Dengan Menggunakan Metode Design Thinking </t>
  </si>
  <si>
    <t>Reissa Pradhita Healtha Pramudya</t>
  </si>
  <si>
    <t>reissa1900016129@webmail.uad.ac.id</t>
  </si>
  <si>
    <t>0895397629758</t>
  </si>
  <si>
    <t>Analisis Penilaian Risiko Teknologi Informasi pada Dinas Perpustakaan dan Arsip Daerah DIY Menggunakan Framework COBIT 5</t>
  </si>
  <si>
    <t>08.00 - 09,00</t>
  </si>
  <si>
    <t>hamim fajar alabid</t>
  </si>
  <si>
    <t>hamim1900016094@webmail.uad.ac.id</t>
  </si>
  <si>
    <t>08970471019</t>
  </si>
  <si>
    <t>pengembangan sistem transaksi pada situs web 3d umkm ud laris</t>
  </si>
  <si>
    <t>yanfriardana</t>
  </si>
  <si>
    <t>yanfriardana1900016058@webmail.uad.ac.id</t>
  </si>
  <si>
    <t>085643823998</t>
  </si>
  <si>
    <t>Perancangan Desain UI/UX Menu Digital Dummin Coffe Menggunakan Figma Dengan Metode Human Centered Design (HCD)</t>
  </si>
  <si>
    <t>Faisal Abdul Ghaffar Munir</t>
  </si>
  <si>
    <t>faisal1900016014@webmail.uad.ac.id</t>
  </si>
  <si>
    <t>0895421193177</t>
  </si>
  <si>
    <t>Perancangan Sistem Keuangan Berbasis Website Pada UMKM Magu-Magu Fried Chicken Dengan Metode Waterfall</t>
  </si>
  <si>
    <t>Indra Wahyu Mei Trisna</t>
  </si>
  <si>
    <t>indra2000016107@webmail.uad.ac.id</t>
  </si>
  <si>
    <t>085729212707</t>
  </si>
  <si>
    <t>Sistem Informasi Geografis Pemetaan Daerah Pariwisata di Desa Wukirsari Berbasis WebGis</t>
  </si>
  <si>
    <t>Widya Wulan Sari</t>
  </si>
  <si>
    <t>widya1900016139@webmail.uad.ac.id</t>
  </si>
  <si>
    <t>082286347194</t>
  </si>
  <si>
    <t>Perancangan Ulang Antarmuka Aplikasi Aksara Jawa Menggunakan Metode User Centered Design</t>
  </si>
  <si>
    <t xml:space="preserve">10,00 - 11,00 </t>
  </si>
  <si>
    <t>Model Mitigasi Risiko Data Center Biro Sistem Informasi Menggunakan Framework SNI 8799 Studi Kasus Biro Sistem Informasi Universitas Ahmad Dahlan</t>
  </si>
  <si>
    <t>Endro Putro</t>
  </si>
  <si>
    <t>endro1900016164@webmail.uad.ac.id</t>
  </si>
  <si>
    <t>089614487700</t>
  </si>
  <si>
    <t>Perancangan User Interface E-Katalog UMKM Binaan
UGM dengan Menggunakan Metode Design Thinking</t>
  </si>
  <si>
    <t xml:space="preserve">Renanda Aprilia Nurjanah </t>
  </si>
  <si>
    <t>renanda2000016142@webmail.uad.ac.id</t>
  </si>
  <si>
    <t>85695029055</t>
  </si>
  <si>
    <t>Pengukuran Capability Level Tata Kelola Teknologi Informasi menggunakan framework
COBIT 5 Studi Kasus Pusat Data Biro Sistem Informasi UAD</t>
  </si>
  <si>
    <t>Elsy Yolanda</t>
  </si>
  <si>
    <t>elsy1900016085@webmail.uad.ac.id</t>
  </si>
  <si>
    <t>081256705281</t>
  </si>
  <si>
    <t>Perancangan User Interface Dan User Experience Website PPDB SMKN 1 Sandai Menggunakan Metode Design Thinking</t>
  </si>
  <si>
    <t xml:space="preserve">Alfya Maharani Julzyan </t>
  </si>
  <si>
    <t>alfya1900016103@webmail.uad.ac.id</t>
  </si>
  <si>
    <t>082283042448</t>
  </si>
  <si>
    <t xml:space="preserve">Perancangan UI/UX Sistem Untuk Identifikasi Jenis Udang Berbasis Website Menggunakan Metode Desain Thinking </t>
  </si>
  <si>
    <t>Alif Fajar</t>
  </si>
  <si>
    <t>alif2000016003@webmail.uad.ac.id</t>
  </si>
  <si>
    <t>08979331544</t>
  </si>
  <si>
    <t>Webgis Sebaran Penduduk Padukuhan Munggi</t>
  </si>
  <si>
    <t>07.30 - 09.00</t>
  </si>
  <si>
    <t>Anggi Sariani</t>
  </si>
  <si>
    <t>anggi1800016037@webmail.uad.ac.id</t>
  </si>
  <si>
    <t>082238137456</t>
  </si>
  <si>
    <t xml:space="preserve">Audit Proses Bisnis Stock Opname Pada Minimarket Gedemart Menggunakan Framework COBIT 5 </t>
  </si>
  <si>
    <t>bayu ramadhan</t>
  </si>
  <si>
    <t>bayu1900016143@webmail.uad.ac.id</t>
  </si>
  <si>
    <t>081438053852</t>
  </si>
  <si>
    <t>Perangkingan Industri Jasa Layanan Internet Wi-Fi Menggunakan Metode SAW (Simple Additive Weighting)</t>
  </si>
  <si>
    <t>14.15 - 15.15</t>
  </si>
  <si>
    <t>Iqbaal Izzulhaq</t>
  </si>
  <si>
    <t>iqbaal2000016106@webmail.uad.ac.id</t>
  </si>
  <si>
    <t>085174156785</t>
  </si>
  <si>
    <t>PENGARUH KUALITAS PRODUK DAN KUALITAS LAYANAN TERHADAP KEPUASAN KONSUMEN STUDI KASUS OMA OPA CAKERY AMBARUKMO YOGYAKARTA</t>
  </si>
  <si>
    <t>Analisis Penilaian Risiko Layanan Wayang Jogja Night Carnival Menggunakan Framework COBIT 5</t>
  </si>
  <si>
    <t>15.15 - 16.00</t>
  </si>
  <si>
    <t>Rizky Ramaddhon Teza</t>
  </si>
  <si>
    <t>rizky1900016104@webmail.uad.ac.id</t>
  </si>
  <si>
    <t>082190278651</t>
  </si>
  <si>
    <t>Perancangan Enterprise Architecture di Perusahaan Areakerja Menggunakan Framework Zachman</t>
  </si>
  <si>
    <t>Ayu Kusuma Astuti</t>
  </si>
  <si>
    <t>ayu1800016044@webmail.uad.ac.id</t>
  </si>
  <si>
    <t>081392055707</t>
  </si>
  <si>
    <t>Analisis Dan Perbaikan Proses Bisnis Pada Layanan Customer Service Menggunakan Framework ITIL (Studi Kasus DIBELUI DIGITAL)</t>
  </si>
  <si>
    <t>Putri Andriyani</t>
  </si>
  <si>
    <t>putri1800016032@webmail.uad.ac.id</t>
  </si>
  <si>
    <t>085715258076</t>
  </si>
  <si>
    <t>Evaluasi dan Penilaian Indeks SPBE Nasional pada Tingkat Kematangan Kapabilitas Proses dan Kapabilitas Layanan di Kominfo Purworejo</t>
  </si>
  <si>
    <t>Nurul Hidayah Furu</t>
  </si>
  <si>
    <t>nurul1800016114@webmail.uad.ac.id</t>
  </si>
  <si>
    <t>081344674664</t>
  </si>
  <si>
    <t>Analisis Kualitas Aplikasi BPDDIY Mobile Menggunakan Standar ISO 25010</t>
  </si>
  <si>
    <t>FERLI SYAHRUL GUNAWAN</t>
  </si>
  <si>
    <t>ferli1900016007@webmail.uad.ac.id</t>
  </si>
  <si>
    <t>082274478836</t>
  </si>
  <si>
    <t>Audit Sistem Informasi Manajemen Konten Digital Menggunakan COBIT 5 
(Studi Kasus : TVMU Yogyakarta)</t>
  </si>
  <si>
    <t>Akhlika Elsa Gamilla</t>
  </si>
  <si>
    <t>akhlika1800016057@webmail.uad.ac.id</t>
  </si>
  <si>
    <t>+62 831-8133-6315</t>
  </si>
  <si>
    <t>Analisis Kepuasan Pengguna Pada Portal MyBiznet Menggunakan Metode EUCS</t>
  </si>
  <si>
    <t>07.00 - 08.00</t>
  </si>
  <si>
    <t>Muammar Aqsha</t>
  </si>
  <si>
    <t>muammar1900016156@webmail.uad.ac.id</t>
  </si>
  <si>
    <t>088214234265</t>
  </si>
  <si>
    <t>Perancangan Sistem Informasi Rental Mobil Berbasis Website</t>
  </si>
  <si>
    <t>Weny Novita Sari</t>
  </si>
  <si>
    <t>weny1800016050@webmail.uad.ac.id</t>
  </si>
  <si>
    <t>08562599724</t>
  </si>
  <si>
    <t>ANALISIS PERFORMA WEBSITE LAZISMU MENGGUNAKAN METODE PIECES (STUDI KASUS: LAZISMU DAERAH ISTIMEWA YOGYAKARTA)</t>
  </si>
  <si>
    <t>Umi Febriyanti Lulang</t>
  </si>
  <si>
    <t>umi1800016082@webmail.uad.ac.id</t>
  </si>
  <si>
    <t>+62 823-3403-2664</t>
  </si>
  <si>
    <t>Business Process Reengineering untuk Mengurangi Tingkat Keluhan Pelanggan Studi Kasus Kafe Nilu</t>
  </si>
  <si>
    <t xml:space="preserve">Dian Anita </t>
  </si>
  <si>
    <t>dian1800016051@webmail.uad.ac.id</t>
  </si>
  <si>
    <t>082324983182</t>
  </si>
  <si>
    <t xml:space="preserve">Analisis kebutuhan pengembangan sistem informasi pembayaran SPP di SMK Piri 1 Yogyakarta </t>
  </si>
  <si>
    <t>M Febryan Pramudya</t>
  </si>
  <si>
    <t>m2000016070@webmail.uad.ac.id</t>
  </si>
  <si>
    <t>085227459171</t>
  </si>
  <si>
    <t>Penilaian Risiko Layanan Ruang Guru
Menggunakan Metode ISO 31000</t>
  </si>
  <si>
    <t>Tawar, S.Si., M.Kom</t>
  </si>
  <si>
    <t>QOLBI ROKHIS</t>
  </si>
  <si>
    <t>qolbi2000016147@webmail.uad.ac.id</t>
  </si>
  <si>
    <t>081356975155</t>
  </si>
  <si>
    <t>Penilaian Manajemen Risiko pada Website Pemerintahan Kabupaten Muara Enim Menggunakan Metode ISO 31000</t>
  </si>
  <si>
    <t>07.30 - 08.00</t>
  </si>
  <si>
    <t xml:space="preserve">Rahmat Ilham Murni </t>
  </si>
  <si>
    <t>rahmat2000016043@webmail.uad.ac.id</t>
  </si>
  <si>
    <t>085376785813</t>
  </si>
  <si>
    <t>Penilaian Tingkat Keamanan Informasi Layanan Sistem Informasi Desa Menggunakan Indeks KAMI 5.2</t>
  </si>
  <si>
    <t>Muhammad Rivaldo</t>
  </si>
  <si>
    <t>muhammad2000016036@webmail.uad.ac.id</t>
  </si>
  <si>
    <t>083179127156</t>
  </si>
  <si>
    <t>Penilaian Risiko Keamanan Sistem Informasi Desa Menggunakan Metode Octave Allegro</t>
  </si>
  <si>
    <t>M. Rezky Septiodimas Halen</t>
  </si>
  <si>
    <t>m2000016046@webmail.uad.ac.id</t>
  </si>
  <si>
    <t>082386130166</t>
  </si>
  <si>
    <t>Analisis Penilaian Risiko Pada Siatem Informasi Kearsipan (SIKS) Menggunakan Metode Octave Allegro</t>
  </si>
  <si>
    <t>Balqis Hikmatullah</t>
  </si>
  <si>
    <t>balqis2115016108@webmail.uad.ac.id</t>
  </si>
  <si>
    <t>081359216755</t>
  </si>
  <si>
    <t>Tingkat Kesadaran Masyarakat Terhadap Kebersihan Lingkungan Menggunakan Metode RFM Berdasarkan Peranan Media Sosial X</t>
  </si>
  <si>
    <t>Yuliana</t>
  </si>
  <si>
    <t>yuliana2100016009@webmail.uad.ac.id</t>
  </si>
  <si>
    <t>082157041196</t>
  </si>
  <si>
    <t>Analisis Sentimen Tren Fashion Thrift Shopping di Media Sosial X</t>
  </si>
  <si>
    <t>Aninda Putri Ardhana</t>
  </si>
  <si>
    <t>aninda2100016042@webmail.uad.ac.id</t>
  </si>
  <si>
    <t>085372572705</t>
  </si>
  <si>
    <t>Pemilihan Beauty influencer Terbaik Berdasarkan Pengaruh Terhadap Minat Beli Produk Makeup di Instagram Menggunakan Metode ARAS</t>
  </si>
  <si>
    <t>09.20 - 10.00</t>
  </si>
  <si>
    <t>Helen Kayla Sabina Putri Mahendra</t>
  </si>
  <si>
    <t>helen2100016035@webmail.uad.ac.id</t>
  </si>
  <si>
    <t>082258296793</t>
  </si>
  <si>
    <t>Pengaruh Tipe Promosi dan Jenis Postingan Terhadap Engagement Rate dan Sentimen Pada Brand Skincare Skintific di Instagram</t>
  </si>
  <si>
    <t>Wibie Mahardhika Adi</t>
  </si>
  <si>
    <t>wibie2100016081@webmail.uad.ac.id</t>
  </si>
  <si>
    <t>085832630272</t>
  </si>
  <si>
    <t>Penggunaan Metode Additive Ratio Assessment (ARAS) untuk Menentukan Peringkat Aplikasi E-Commerce Berdasarkan Ulasan Pengguna di Google Play Store</t>
  </si>
  <si>
    <t>Salfanissa</t>
  </si>
  <si>
    <t>salfanissa2100016087@webmail.uad.ac.id</t>
  </si>
  <si>
    <t>081382728775</t>
  </si>
  <si>
    <t>Penilaian Risiko Portal Pemerintah Desa Menggunakan Metode OCTAVE Allegro (Studi Kasus: Desa Gembong)</t>
  </si>
  <si>
    <t>Ilham Jul Aiman</t>
  </si>
  <si>
    <t>ilham2111016057@webmail.uad.ac.id</t>
  </si>
  <si>
    <t>087839599254</t>
  </si>
  <si>
    <t>Pengembangan Back End Aplikasi Pelaporan Kerusakan Fasilitas Umum Menggunakan Metode Rapid Application Development Studi Kasus di Biro Sarana Prasarana (BSP) UAD</t>
  </si>
  <si>
    <t>Fhira Triana Maulani</t>
  </si>
  <si>
    <t>fhira2100016012@webmail.uad.ac.id</t>
  </si>
  <si>
    <t>085176700253</t>
  </si>
  <si>
    <t>Pengembangan Backend Sistem Penilaian Kinerja Karyawan di Bytelogic Menggunakan Metode Waterfall</t>
  </si>
  <si>
    <t>paras septa</t>
  </si>
  <si>
    <t>paras2100016017@webmail.uad.ac.id</t>
  </si>
  <si>
    <t>081270548334</t>
  </si>
  <si>
    <t>Penilaian Risiko Pada Layanan Sistem Informasi Manajemen Ruangan Menggunakan OCTAVE Allegro</t>
  </si>
  <si>
    <t>Ma'ruf Aliansyah Rumatiga</t>
  </si>
  <si>
    <t>maruf1900016193@webmail.uad.ac.id</t>
  </si>
  <si>
    <t>082220756913</t>
  </si>
  <si>
    <t>Pengembangan Aplikasi Kamus Bahasa Daerah Gorom-Indonesia Berbasis Mobile</t>
  </si>
  <si>
    <t>H. Suprihatin, S.Si., M.Kom</t>
  </si>
  <si>
    <t>Nicko Berli Pradio Utama</t>
  </si>
  <si>
    <t>nicko2100016097@webmail.uad.ac.id</t>
  </si>
  <si>
    <t>081273844809</t>
  </si>
  <si>
    <t>Segmentasi Pelanggan pada Bisnis Ritel Menggunakan Model RFM Studi Kasus Coffee Shop Threeone Indonesia</t>
  </si>
  <si>
    <t>Dr. Mursid Wahyu Hananto, S.Si., M.Kom.</t>
  </si>
  <si>
    <t>Krisna Harsya Saputra</t>
  </si>
  <si>
    <t>krisna2100016032@webmail.uad.ac.id</t>
  </si>
  <si>
    <t>088225420351</t>
  </si>
  <si>
    <t>Pengembangan Sistem Informasi Organisasi Kepemudaan Berbasis Web Menggunakan Metode Waterfall Studi Kasus: Pemuda-Pemudi Serba Guna (PPSG) Candisingo</t>
  </si>
  <si>
    <t>Gemilang Tirto Ismoyo Santoso</t>
  </si>
  <si>
    <t>gemilang2100016062@webmail.uad.ac.id</t>
  </si>
  <si>
    <t>081236888575</t>
  </si>
  <si>
    <t>Pengembangan Sistem Manajemen Tiket Online Terintegrasi dengan Payment Gateway Studi Kasus Taman Nasional Alas Purwo Banyuwangi</t>
  </si>
  <si>
    <t>NUR FADLILAH</t>
  </si>
  <si>
    <t>nur2111016052@webmail.uad.ac.id</t>
  </si>
  <si>
    <t>083114446594</t>
  </si>
  <si>
    <t>Redesign Sistem Informasi Manajemen Ruang (SIMERU) Universitas Ahmad Dahlan menggunakan metode Design Thinking</t>
  </si>
  <si>
    <t>Imam Azhari, S.Si., M.CS</t>
  </si>
  <si>
    <t>Dharu Aulia Rahman</t>
  </si>
  <si>
    <t>dharu2100016086@webmail.uad.ac.id</t>
  </si>
  <si>
    <t>085840342273</t>
  </si>
  <si>
    <t>Pengembangan Aplikasi Pengelolaan
Sampah Berbasis Android
Studi Kasus Bank Sampah Kalurahan Caturharjo Bantul</t>
  </si>
  <si>
    <t>Prof. Dr. Ir. H. Imam Riadi, M.Kom</t>
  </si>
  <si>
    <t>Muchen Kayam</t>
  </si>
  <si>
    <t>muchen2100016094@webmail.uad.ac.id</t>
  </si>
  <si>
    <t>085384036839</t>
  </si>
  <si>
    <t>Analisis Persepsi Masyarakat Melalui Media
Sosial X Terhadap Perpindahan Ibu Kota
Indonesia Menggunakan Text Mining</t>
  </si>
  <si>
    <t>Ferdiansyah Eka Putra</t>
  </si>
  <si>
    <t>ferdiansyah2100016113@webmail.uad.ac.id</t>
  </si>
  <si>
    <t>085156815476</t>
  </si>
  <si>
    <t xml:space="preserve">Literasi Masyarakat Terhadap Pinjaman Online ( PINJOL )
Studi Kasus Analisis Sentiment Masyarakat Terhadap Ketertarikan Pinjaman Online di Indonesia
</t>
  </si>
  <si>
    <t>Ilham Fahmi</t>
  </si>
  <si>
    <t>ilham2100016060@webmail.uad.ac.id</t>
  </si>
  <si>
    <t>082136954269</t>
  </si>
  <si>
    <t xml:space="preserve">Analisis Sentimen Masyarakat Terhadap Kebijakan Pembatasan Pembelian BBM Bersubsidi di Media Sosial Menggunakan Metode Text Mining </t>
  </si>
  <si>
    <t>Sekar Dewi Yunitasari</t>
  </si>
  <si>
    <t>sekar2100016107@webmail.uad.ac.id</t>
  </si>
  <si>
    <t>082115251906</t>
  </si>
  <si>
    <t>Analisis Persepsi Masyarakat terhadap
Penggunaan QRIS di Media Sosial X dengan
Pendekatan Text Mining: TextBlob dan Latent
Dirichlet Allocation (LDA)</t>
  </si>
  <si>
    <t>Lala Indriani Rahman</t>
  </si>
  <si>
    <t>lala2100016055@webmail.uad.ac.id</t>
  </si>
  <si>
    <t>082249024852</t>
  </si>
  <si>
    <t>Perancangan Prototipe UI/UX Sistem 
Informasi Penagihan Retribusi Berbasis Web 
dengan Metode Design Thinking
Studi Kasus: PD Pasar Lapulu</t>
  </si>
  <si>
    <t>Adelia Siska Ayu</t>
  </si>
  <si>
    <t>adelia2100016099@webmail.uad.ac.id</t>
  </si>
  <si>
    <t>085225046923</t>
  </si>
  <si>
    <t>Rancang Prototipe Aplikasi Repositori Tugas Akhir Berbasis Web Menggunakan Metode Design Thinking</t>
  </si>
  <si>
    <t>Nadia Aulia Haq</t>
  </si>
  <si>
    <t>nadia2100016061@webmail.uad.ac.id</t>
  </si>
  <si>
    <t>085738011281</t>
  </si>
  <si>
    <t>Analisis Manajemen Risiko pada Back Office Hotel Garrya Bianti Menggunakan ISO 31000</t>
  </si>
  <si>
    <t>Nur Wahyu Suci Rahayu</t>
  </si>
  <si>
    <t>nur2100016051@webmail.uad.ac.id</t>
  </si>
  <si>
    <t>083121596554</t>
  </si>
  <si>
    <t>Pengembangan Frontend Sistem Penilaian Kinerja Karyawan di Perusahaan Bytelogic Menggunakan Metode Waterfall</t>
  </si>
  <si>
    <t>Muhammad Alfi Muharom</t>
  </si>
  <si>
    <t>muhammad2100016033@webmail.uad.ac.id</t>
  </si>
  <si>
    <t>0815-4112-9987</t>
  </si>
  <si>
    <t>Analisis Penerimaan Pengguna dan Tingkat Kepuasan Masyarakat Terhadap Sistem Informasi Desa pada Website Daya Asri Menggunakan Technology Acceptance Model (TAM).</t>
  </si>
  <si>
    <t>Iwan Tri Riyadi Yanto, S.Si., M.I.T., Ph.D</t>
  </si>
  <si>
    <t>Junda Jagad Alkahfi</t>
  </si>
  <si>
    <t>junda2100016126@webmail.uad.ac.id</t>
  </si>
  <si>
    <t>081391639636</t>
  </si>
  <si>
    <t>Rancangan Sistem Informasi Pengelolaan Peternakan Sapi Berbasis Object Oriented Analysis and Design (OOAD) Studi Kasus Peternakan Sapi Jagad Tani Barokah</t>
  </si>
  <si>
    <t>SYAFRILLAH NAJJAR</t>
  </si>
  <si>
    <t>syafrillah2115016112@webmail.uad.ac.id</t>
  </si>
  <si>
    <t>085394264723</t>
  </si>
  <si>
    <t>Perbaikan Desain Proses Bisnis Manajemen Layanan Keuangan Fakultas Menggunakan Metode Business Process Improvement (BPI) Studi Kasus Fakultas Sains dan Teknologi Terapan-UAD</t>
  </si>
  <si>
    <t>Aidil saputra</t>
  </si>
  <si>
    <t>aidil2100016010@webmail.uad.ac.id</t>
  </si>
  <si>
    <t>081356705695</t>
  </si>
  <si>
    <t>Perancangan UI/UX Aplikasi Rentalize Untuk Manajemen Persewaan Multiguna</t>
  </si>
  <si>
    <t>Jefri Andriansah</t>
  </si>
  <si>
    <t>jefri2111016046@webmail.uad.ac.id</t>
  </si>
  <si>
    <t>081325472698</t>
  </si>
  <si>
    <t>Analisis Sentimen Ulasan Pengguna Aplikasi QuranMu dengan Pendekatan Text Mining Pada Sosial Media Muhammadiyah dan Google Play Store</t>
  </si>
  <si>
    <t>Anna Maulina</t>
  </si>
  <si>
    <t>anna2111016050@webmail.uad.ac.id</t>
  </si>
  <si>
    <t>085727667367</t>
  </si>
  <si>
    <t xml:space="preserve">Perancangan Aplikasi Pembelajaran Adaptif Berbasis Large Language Model (LLM) 
Studi Kasus Pelajaran Bahasa Inggris Sekolah Menengah Pertama
</t>
  </si>
  <si>
    <t>Zulfan Faizun Najib</t>
  </si>
  <si>
    <t>zulfan2100016096@webmail.uad.ac.id</t>
  </si>
  <si>
    <t>0895355547722</t>
  </si>
  <si>
    <t>Pengembangan Aplikasi Mobile untuk Deteksi Dini Anemia Berbasis Convolutional Neural Network dengan Input Citra Telapak Tangan</t>
  </si>
  <si>
    <t>VERRA ANTON PUTRI</t>
  </si>
  <si>
    <t>verra2100016106@webmail.uad.ac.id</t>
  </si>
  <si>
    <t>085640513920</t>
  </si>
  <si>
    <t xml:space="preserve">Sistem Pendukung Keputusan Untuk Pemilihan 
Strategi Pemasaran di Usaha Kecil dan 
Menengah
</t>
  </si>
  <si>
    <t>Anisa Nurohmah</t>
  </si>
  <si>
    <t>anisa2100016021@webmail.uad.ac.id</t>
  </si>
  <si>
    <t>085822522586</t>
  </si>
  <si>
    <t>Redesign Sistem Penerimaan Mahasiswa Baru dengan Pendekatan User-Centered Design</t>
  </si>
  <si>
    <t>Fadli Muzaki</t>
  </si>
  <si>
    <t>fadli2111016048@webmail.uad.ac.id</t>
  </si>
  <si>
    <t>0859175514456</t>
  </si>
  <si>
    <t>Pengembangan Sistem Informasi Pelayanan Administratif Berbasis Web Studi Kasus Desa Keji</t>
  </si>
  <si>
    <t>Wahyu Yudha Saputra</t>
  </si>
  <si>
    <t>wahyu2100016044@webmail.uad.ac.id</t>
  </si>
  <si>
    <t>082162124110</t>
  </si>
  <si>
    <t>Pengembangan Sistem Informasi Manajemen
Laundry Sepatu</t>
  </si>
  <si>
    <t>Mukhlisa Kamran Gomang</t>
  </si>
  <si>
    <t>muklisah2000016034@webmail.uad.ac.id</t>
  </si>
  <si>
    <t>081353012228</t>
  </si>
  <si>
    <t xml:space="preserve">Sistem Informasi Geografis untuk Pemetaan
Potensi Wisata Di Kabupaten Alor
Berbasis Web
</t>
  </si>
  <si>
    <t>Ega Saputra</t>
  </si>
  <si>
    <t>ega2100016067@webmail.uad.ac.id</t>
  </si>
  <si>
    <t>6282221494798</t>
  </si>
  <si>
    <t xml:space="preserve">Pengembangan Aplikasi Virtual Art Therapy and Counseling Menggunakan Metode Prototyping </t>
  </si>
  <si>
    <t xml:space="preserve">Prima Willa Samudra </t>
  </si>
  <si>
    <t>prima2100016041@webmail.uad.ac.id</t>
  </si>
  <si>
    <t>08816528145</t>
  </si>
  <si>
    <t xml:space="preserve">Pengembangan Sistem Informasi Manajemen 
Stok Berbasis Web Menggunakan Metode 
Waterfall 
</t>
  </si>
  <si>
    <t>Annisa Nur Pratiwi</t>
  </si>
  <si>
    <t>annisa2100016016@webmail.uad.ac.id</t>
  </si>
  <si>
    <t>082118211033</t>
  </si>
  <si>
    <t>Analisis Penilaian Risiko Sistem Bebas Pustaka Menggunakan Framework ISO 31000 Studi Kasus Balai Layanan Perpustakaan DI Yogyakarta</t>
  </si>
  <si>
    <t>Tri Handaru Arif Priambodho</t>
  </si>
  <si>
    <t>trihandaru2100016058@webmail.uad.ac.id</t>
  </si>
  <si>
    <t>081248829563</t>
  </si>
  <si>
    <t>Komparasi Metode Penyediaan dan Optimalisasi Model 3D Menggunakan Metode Fotogrametri Untuk Media Penjualan Online UMKMKomparasi Metode Penyediaan dan Optimalisasi Model 3D Menggunakan Metode Fotogrametri Untuk Media Penjualan Online UMKM</t>
  </si>
  <si>
    <t>Reza Cahya Sanjaya</t>
  </si>
  <si>
    <t>reza2100016066@webmail.uad.ac.id</t>
  </si>
  <si>
    <t>081350214948</t>
  </si>
  <si>
    <t>Persepsi Masyarakat Terhadap Dukungan
Boikot Produk Israel Menggunakan Metode
Latent Dirichlet Allocation</t>
  </si>
  <si>
    <t xml:space="preserve">Aditya Yoga Kurniawan </t>
  </si>
  <si>
    <t>aditya2100016069@webmail.uad.ac.id</t>
  </si>
  <si>
    <t>081358827442</t>
  </si>
  <si>
    <t>Perancangan UI/UX Website Penilaian Kinerja Karyawan Menggunakan Metode Design Thinking</t>
  </si>
  <si>
    <t>M ALI MAHSUN</t>
  </si>
  <si>
    <t>m2100016045@webmail.uad.ac.id</t>
  </si>
  <si>
    <t>082282808892</t>
  </si>
  <si>
    <t>Komparasi Metode Penyediaan dan Optimalisasi Model 3D Menggunakan Metode 3D Scanner Untuk Media Penjualan Online UMKM</t>
  </si>
  <si>
    <t>Muhammad Arif Putra Wibowo</t>
  </si>
  <si>
    <t>muhammad2000016138@webmail.uad.ac.id</t>
  </si>
  <si>
    <t>089676575531</t>
  </si>
  <si>
    <t>Analisis Keamanan Informasi Terhadap Serangan SQL Injection Pada Layanan Website</t>
  </si>
  <si>
    <t>Fikri Ariansyah</t>
  </si>
  <si>
    <t>fikri2100016082@webmail.uad.ac.id</t>
  </si>
  <si>
    <t>081395929399</t>
  </si>
  <si>
    <t>Analisis Pengelompokan Gempa Bumi Menggunakan Metode Clustering K-Means 
(Studi Kasus Wilayah Jawa Barat dan Banten)</t>
  </si>
  <si>
    <t>07.00 - 07.45</t>
  </si>
  <si>
    <t>A. Romadhon</t>
  </si>
  <si>
    <t>a2100016014@webmail.uad.ac.id</t>
  </si>
  <si>
    <t>083802496394</t>
  </si>
  <si>
    <t>Analisis Preferensi Metode Pembayaran Shopee Menggunakan Metode Additive Ratio Assessment (ARAS)</t>
  </si>
  <si>
    <t>07.45 - 08.30</t>
  </si>
  <si>
    <t>Deka Marella</t>
  </si>
  <si>
    <t>deka2100016088@webmail.uad.ac.id</t>
  </si>
  <si>
    <t>087874442693</t>
  </si>
  <si>
    <t>Penerapan Latent Dirichlet Allocation pada Opinion Mining Pengguna X terhadap Program Makan Bergizi Gratis</t>
  </si>
  <si>
    <t>08.30 - 09.15</t>
  </si>
  <si>
    <t>Muhammad Abduh</t>
  </si>
  <si>
    <t>muhammad2100016008@webmail.uad.ac.id</t>
  </si>
  <si>
    <t>082186069178</t>
  </si>
  <si>
    <t>Pengembangan Aplikasi Diskusi Berbasis Kutipan Buku dengan Teknologi MERN Stack</t>
  </si>
  <si>
    <t>Zayyan Maysa Dacionna</t>
  </si>
  <si>
    <t>zayyan2100016120@webmail.uad.ac.id</t>
  </si>
  <si>
    <t>085921048716</t>
  </si>
  <si>
    <t>Analisis Prioritas Redesain Fitur Aplikasi M-Banking Berdasarkan Ulasan dengan TF-IDF</t>
  </si>
  <si>
    <t xml:space="preserve">Adista Putra Suyatno </t>
  </si>
  <si>
    <t>adista2000016140@webmail.uad.ac.id</t>
  </si>
  <si>
    <t>081223931090</t>
  </si>
  <si>
    <t xml:space="preserve">Redesign User Interface dan User Experience Aplikasi E-Coklit </t>
  </si>
  <si>
    <t>Raihan Afif Ihsan Mahendra</t>
  </si>
  <si>
    <t>raihan2100016039@webmail.uad.ac.id</t>
  </si>
  <si>
    <t>085728520605</t>
  </si>
  <si>
    <t>Rancangan Sumber Daya TI pada Layanan Rawat Jalan Rumah Sakit dengan Metode Information Technology Infrastructure Library (ITIL) V4</t>
  </si>
  <si>
    <t>07.15 - 08.00</t>
  </si>
  <si>
    <t>Dila Erisma Septiana</t>
  </si>
  <si>
    <t>dila2100016001@webmail.uad.ac.id</t>
  </si>
  <si>
    <t>088271492791</t>
  </si>
  <si>
    <t>Perancangan Kebutuhan Sumber Daya Teknologi Informasi Menggunakan Metode  Information Technology Infrastructure Library (ITIL) V4
Studi Kasus Rawat Inap di Rumah Sakit Umum Rajawali Citra</t>
  </si>
  <si>
    <t>Muslim Safiq</t>
  </si>
  <si>
    <t>muslim2100016074@webmail.uad.ac.id</t>
  </si>
  <si>
    <t>082297348485</t>
  </si>
  <si>
    <t>Komparasi Metode Penyediaan Model 3D Menggunakan Alat Bantu Pemodelan 3D Untuk Media Penjualan Online UMKM</t>
  </si>
  <si>
    <t>08.45 - 09.30</t>
  </si>
  <si>
    <t>Nur Afi Ardiansyah</t>
  </si>
  <si>
    <t>nur2100016071@webmail.uad.ac.id</t>
  </si>
  <si>
    <t>08985244501</t>
  </si>
  <si>
    <t xml:space="preserve">Perancangan UI/UX Situs Web Wisata Religi Menggunakan Metode User Centered Design
Studi Kasus Lereng Sentono Pleret Bantul
</t>
  </si>
  <si>
    <t>Muhammad Ibnu Athoillah</t>
  </si>
  <si>
    <t>muhammad2100016028@webmail.uad.ac.id</t>
  </si>
  <si>
    <t>085148394263</t>
  </si>
  <si>
    <t>Eksplorasi Moodle Global Log Learning Management System Universitas Ahmad Dahlan Menggunakan Pendekatan Process Mining</t>
  </si>
  <si>
    <t>Alfian Dwi Prihantara</t>
  </si>
  <si>
    <t>alfian2100016070@webmail.uad.ac.id</t>
  </si>
  <si>
    <t>0882006360430</t>
  </si>
  <si>
    <t>Rancangan Strategi SI/TI untuk Mendukung Bisnis Perusahaan Menggunakan Metode Ward and Peppard pada PT. Krisna</t>
  </si>
  <si>
    <t>Ema Septian Hakim</t>
  </si>
  <si>
    <t>ema2100016114@webmail.uad.ac.id</t>
  </si>
  <si>
    <t>089531925091</t>
  </si>
  <si>
    <t>Rancangan Tata Kelola TI Pemberdayaan Kampung Wisata di Kelurahan Prenggan menggunakan Pendekatan COBIT 5</t>
  </si>
  <si>
    <t>Muhammad Faqih Mukhtar</t>
  </si>
  <si>
    <t>muhammad2111016054@webmail.uad.ac.id</t>
  </si>
  <si>
    <t>085158153302</t>
  </si>
  <si>
    <t>Analisis dan Perancangan Proses Bisnis pada Lembaga Bimbingan Ibadah Haji dan Umroh
Studi Kasus pada Lembaga Pembinaan Haji dan Umroh (LPHU) PDM Kota Yogyakarta</t>
  </si>
  <si>
    <t>Sri Handayaningsih, S.T., M.T.</t>
  </si>
  <si>
    <t>Azis Nurrahman Septian</t>
  </si>
  <si>
    <t>azis2100016101@webmail.uad.ac.id</t>
  </si>
  <si>
    <t>0895080945478</t>
  </si>
  <si>
    <t>Pengembangan Aplikasi Mobile Pharmacogenetic Card (PgCard) untuk Mendukung Pengobatan Presisi pada Pasien Diabetes Melitus Tipe 2</t>
  </si>
  <si>
    <t>Zahra Putri Azizah</t>
  </si>
  <si>
    <t>zahra2111016053@webmail.uad.ac.id</t>
  </si>
  <si>
    <t>081223610361</t>
  </si>
  <si>
    <t>Desain User Interface dari Sistem Customer Relationships Management (CRM) pada kegiatan KKN UAD menggunakan Metode User Centered Design (UCD)
Studi Kasus Portal Akademik Mahasiswa UAD</t>
  </si>
  <si>
    <t xml:space="preserve">Thoriqin Maulana Ishaq </t>
  </si>
  <si>
    <t>thoriqin2111016049@webmail.uad.ac.id</t>
  </si>
  <si>
    <t>08953268441313</t>
  </si>
  <si>
    <t xml:space="preserve">Analisis Pengaruh Sistem Informasi terhadap Tingkat Kepuasan Pengunjung Museum Muhammadiyah menggunakan metode Servqual (Service Quality)
Studi Kasus Museum Muhammadiyah </t>
  </si>
  <si>
    <t>hardicka faturrahman nugradiono</t>
  </si>
  <si>
    <t>hardicka2100016084@webmail.uad.ac.id</t>
  </si>
  <si>
    <t>08988828873</t>
  </si>
  <si>
    <t>Analisis Persepsi Pasien terhadap Sistem Pendaftaran Online di RSKIA PKU Kotagede: Pendekatan Model TAM</t>
  </si>
  <si>
    <t>Sania Wati</t>
  </si>
  <si>
    <t>sania2100016116@webmail.uad.ac.id</t>
  </si>
  <si>
    <t>085239120674</t>
  </si>
  <si>
    <t>Perancangan UI/UX Sistem Layanan Rumah Singgah Pasien Muhammadiyah (RSPM) DIY Menggunakan Metode Design Thinking</t>
  </si>
  <si>
    <t>Giga Jundan Al Huda</t>
  </si>
  <si>
    <t>giga2100016020@webmail.uad.ac.id</t>
  </si>
  <si>
    <t>082137723755</t>
  </si>
  <si>
    <t>Perbandingan Algoritma Neural Collaborative, Content-Based dan Hybrid Filtering untuk Sistem Rekomendasi Bantuan Sosial Desa</t>
  </si>
  <si>
    <t>09.15 -10.00</t>
  </si>
  <si>
    <t>Rivan Alamsyah Suherman</t>
  </si>
  <si>
    <t>rivan2100016103@webmail.uad.ac.id</t>
  </si>
  <si>
    <t>085591142923</t>
  </si>
  <si>
    <t>Pengembangan Dashboard Interaktif untuk Klasifikasi Kelulusan Tepat Waktu dengan Algoritma Support Vector Machine</t>
  </si>
  <si>
    <t>Nuriyah Syarifah</t>
  </si>
  <si>
    <t>nuriyah2100016030@webmail.uad.ac.id</t>
  </si>
  <si>
    <t>081238259367</t>
  </si>
  <si>
    <t>Perancangan Tata Kelola TI Menggunakan COBIT 5 pada Museum Muhammadiyah</t>
  </si>
  <si>
    <t>WULAN AJIANTI</t>
  </si>
  <si>
    <t>wulan2100016119@webmail.uad.ac.id</t>
  </si>
  <si>
    <t>085788187214</t>
  </si>
  <si>
    <t>Perancangan Aplikasi Mobile Sistem Informasi Pesantren Mahasiswa Kyai Haji Ahmad Dahlan menggunakan metode Design Thinking</t>
  </si>
  <si>
    <t>Siska Anggita</t>
  </si>
  <si>
    <t>siska2100016091@webmail.uad.ac.id</t>
  </si>
  <si>
    <t>088706658331</t>
  </si>
  <si>
    <t>Analisis Penerimaan dan Evaluasi Aplikasi Si-KPT Menggunakan Technology Acceptance Model (TAM) untuk Peningkatan Layanan di Kantor Pemerintah Terpadu Pemkab Brebes</t>
  </si>
  <si>
    <t>Dinda Dyah Puspita</t>
  </si>
  <si>
    <t>dinda2100016076@webmail.uad.ac.id</t>
  </si>
  <si>
    <t>087791713040</t>
  </si>
  <si>
    <t>Analisis Penerimaan Teknologi Aksesibilitas Talkback dalam Pendidikan Tunanetra Menggunakan Technology Acceptance Model (TAM)</t>
  </si>
  <si>
    <t>Hasna Dhiya Azzahra</t>
  </si>
  <si>
    <t>hasna2100016075@webmail.uad.ac.id</t>
  </si>
  <si>
    <t>083843710698</t>
  </si>
  <si>
    <t>Analisis Penerimaan Teknologi Aplikasi Point of Sale (POS) pada Restoran Cepat Saji XYZ Menggunakan Metode Technology Acceptance Model (TAM)</t>
  </si>
  <si>
    <t>m alfarizi sidiq rizki</t>
  </si>
  <si>
    <t>m2100016127@webmail.uad.ac.id</t>
  </si>
  <si>
    <t>089639222715</t>
  </si>
  <si>
    <t>perancangan sistem e-ticketing pada teater wejang dengan metode user centered design (ucd)</t>
  </si>
  <si>
    <t>Ego Abror Rahsando</t>
  </si>
  <si>
    <t>ego2100016090@webmail.uad.ac.id</t>
  </si>
  <si>
    <t>083863308958</t>
  </si>
  <si>
    <t xml:space="preserve">Rancangan Kebutuhan Sumber Daya TI Pada Proses Supply Chain Management (SCM) Menggunakan Metode Cobit-19 </t>
  </si>
  <si>
    <t>Abiyan Athur Satrio</t>
  </si>
  <si>
    <t>abiyan2100016026@webmail.uad.ac.id</t>
  </si>
  <si>
    <t>081292538622</t>
  </si>
  <si>
    <t>Perancangan proses customer relationship management (CRM) berbasis Information Technology (IT) menggunakan metode Business Process Analysis (BPA) pada studi kasus Ailen Coffee</t>
  </si>
  <si>
    <t>Regina Oksa</t>
  </si>
  <si>
    <t>regina2100016083@webmail.uad.ac.id</t>
  </si>
  <si>
    <t>081383233756</t>
  </si>
  <si>
    <t>Analisis dan Desain Sistem Pengelolaan Panti Asuhan Menggunakan User-Centered Design (UCD)</t>
  </si>
  <si>
    <t>Sanchia Nabilah Saraswati</t>
  </si>
  <si>
    <t>sanchia2100016005@webmail.uad.ac.id</t>
  </si>
  <si>
    <t>085641346475</t>
  </si>
  <si>
    <t>Analisis dan Desain Sistem Informasi Barbershop Berbasis Website Menggunakan Metode UCD</t>
  </si>
  <si>
    <t>Yustia Muhamad Iqbal</t>
  </si>
  <si>
    <t>yustia2100016006@webmail.uad.ac.id</t>
  </si>
  <si>
    <t>085155374499</t>
  </si>
  <si>
    <t>ANALISIS TINGKAT KEPUASAN MASYARAKAT TERHADAP LAYANAN PUBLIK PEMERINTAHAN YOGYAKARTA DENGAN MENGGUNAKAN METODE E-SERVICE QUALITY
Studi Kasus JOGJA SMART SERVICE (JSS)</t>
  </si>
  <si>
    <t>RAFLI JAMAL PURNAMA</t>
  </si>
  <si>
    <t>rafli2000016094@webmail.uad.ac.id</t>
  </si>
  <si>
    <t>081902786493</t>
  </si>
  <si>
    <t>Perancangan Sistem Informasi Unit Kegiatan Mahasiswa Fotografi Lensa UAD Berbasis Website</t>
  </si>
  <si>
    <t>07.30 - 08.15</t>
  </si>
  <si>
    <t xml:space="preserve">Raihan firdaus willi </t>
  </si>
  <si>
    <t>raihan2011016066@webmail.uad.ac.id</t>
  </si>
  <si>
    <t>‪0822‑2703‑0641‬</t>
  </si>
  <si>
    <t xml:space="preserve">Implementasi Teknologi Website dalam Sistem pengelolaan Stock Barang di Gallery Ottilian Pearl </t>
  </si>
  <si>
    <t>08.15 - 09.15</t>
  </si>
  <si>
    <t>Ristian Daegal Fasholli</t>
  </si>
  <si>
    <t>ristian1800016043@webmail.uad.ac.id</t>
  </si>
  <si>
    <t>089668921046</t>
  </si>
  <si>
    <t>Perancangan Ulang Desain UI Pada Website Perpustakaan Daerah Kabupaten Bantul Dengan Metode Design Thinking</t>
  </si>
  <si>
    <t>Alvian Arya Putra</t>
  </si>
  <si>
    <t>alvian1900016076@webmail.uad.ac.id</t>
  </si>
  <si>
    <t>081353297470</t>
  </si>
  <si>
    <t>Sistem Informasi Pemesanan Produk Sepatu Berbasis Web Studi Kasus UMKM OAKTREES</t>
  </si>
  <si>
    <t>Nur Hidayah</t>
  </si>
  <si>
    <t>Perbaikan Desain SID untuk Meningkatkan Kematangan Layanan Menggunakan Pendekatan User Centered Design (Studi Kasus : Kalurahan Jagalan)</t>
  </si>
  <si>
    <t>Az Zahra Safira Arsyaputri</t>
  </si>
  <si>
    <t>az1900016033@webmail.uad.ac.id</t>
  </si>
  <si>
    <t>088239415208</t>
  </si>
  <si>
    <t>PERANCANGAN USER INTERFACE (UI) APLIKASI KOSKITA BERBASIS MOBILE</t>
  </si>
  <si>
    <t>Hanif Amrin Rasyada</t>
  </si>
  <si>
    <t>hanif2100016036@webmail.uad.ac.id</t>
  </si>
  <si>
    <t>087879249745</t>
  </si>
  <si>
    <t xml:space="preserve">Perancangan UI/UX Situs web Kalender Hijriah Global Tunggal Muhammadiyah Menggunakan Metode Design Thinking Studi Kasus Situs web falakmu.id </t>
  </si>
  <si>
    <t>Ahmad Bashori</t>
  </si>
  <si>
    <t>ahmad1900016042@webmail.uad.ac.id</t>
  </si>
  <si>
    <t>082248811367</t>
  </si>
  <si>
    <t>Analisis Penilaian Risiko E-SKM(Elektronik 
Survei Kepuasan Masyarakat) Kabupaten 
Magetan Menggunakan COBIT 5</t>
  </si>
  <si>
    <t>Prof. Ir. Dr. H. Imam Riadi, S.Pd., M.Kom.</t>
  </si>
  <si>
    <t>07.30 - 08.30</t>
  </si>
  <si>
    <t>Panji Atmojo</t>
  </si>
  <si>
    <t>panji1800016024@webmail.uad.ac.id</t>
  </si>
  <si>
    <t>082215055805</t>
  </si>
  <si>
    <t>PENGEMBANGAN BACK END 
APLIKASI PEMBELAJARAN ADAPTIF
BERBASIS LLM MENGGUNAKAN FRAMEWORK LANGCHAIN</t>
  </si>
  <si>
    <t>Farid Suryanto, S.Pd., MT.</t>
  </si>
  <si>
    <t>AULIA IRBAH SALSABILA</t>
  </si>
  <si>
    <t>aulia1800016089@webmail.uad.ac.id</t>
  </si>
  <si>
    <t>085821213735</t>
  </si>
  <si>
    <t>Analisis Penilaian Risiko Sistem Informasi Muamalat DIN Menggunakan Framework OCTAVE Allegro</t>
  </si>
  <si>
    <t>15.30-16.30</t>
  </si>
  <si>
    <t>Verra Anton Putri</t>
  </si>
  <si>
    <t>Sistem Pendukung Keputusan Evaluasi Karyawan Terbaik Berbasis Metode SAW DiCoffeeshop StarVillage</t>
  </si>
  <si>
    <t>Dinimuktine Berlian</t>
  </si>
  <si>
    <t>dinimuktine1800016045@webmail.uad.ac.id</t>
  </si>
  <si>
    <t>082112135959</t>
  </si>
  <si>
    <t>Perancangan Tampilan UI/UX Aplikasi Lembar Pemeriksaan Kereta Api Berbasis Mobile menggunakan Metode Design Thinking</t>
  </si>
  <si>
    <t>latifah nanda amelia</t>
  </si>
  <si>
    <t>latifah1811016122@webmail.uad.ac.id</t>
  </si>
  <si>
    <t>087742256426</t>
  </si>
  <si>
    <t>Analisis Keamanan Jaringan Dari Serangan Denial of Service Menggunakan Firewall Layer 7</t>
  </si>
  <si>
    <t>07.30 - 08.45</t>
  </si>
  <si>
    <t>penguji</t>
  </si>
  <si>
    <t>Tanggal mulai melaksanakan penelitian proposal Skripsi</t>
  </si>
  <si>
    <t>Tanggal Ujian Seminar Proposal</t>
  </si>
  <si>
    <t>/Penguji/Reviewer Seminar Proposal</t>
  </si>
  <si>
    <t>Naskah</t>
  </si>
  <si>
    <t>Scan Bukti Bebas SPP</t>
  </si>
  <si>
    <t>Scan Bukti Pembayaran Pendadaran</t>
  </si>
  <si>
    <t>Transkrip Nilai Sementara Acc Prodi</t>
  </si>
  <si>
    <t>Bukti Unggah SKPI</t>
  </si>
  <si>
    <t>keterangan</t>
  </si>
  <si>
    <t>Ketua Sidang</t>
  </si>
  <si>
    <t>Penguji 1</t>
  </si>
  <si>
    <t>Arif Rahman, Dr., S.Kom., M.T.</t>
  </si>
  <si>
    <t>hari ujian</t>
  </si>
  <si>
    <t>Tanggal ujian</t>
  </si>
  <si>
    <t>Yudhisium</t>
  </si>
  <si>
    <t>YES</t>
  </si>
  <si>
    <t>penguji1</t>
  </si>
  <si>
    <t>penguji2</t>
  </si>
  <si>
    <t>KRS Skripsi Semester Berjalan</t>
  </si>
  <si>
    <t>bukti unggah SKPI</t>
  </si>
  <si>
    <t>Penguji 2 - Saat Pendadaran</t>
  </si>
  <si>
    <t>Echia Wanoko Prasetyo</t>
  </si>
  <si>
    <t>echia1500016053@webmail.uad.ac.id</t>
  </si>
  <si>
    <t>081578847776</t>
  </si>
  <si>
    <t>Analisis Tingkat Keputusan Pengguna Sistem Pakar Untuk Meningkatkan Hasil Diagnosa Anak Autis Menggunakan Kerangka Pieces</t>
  </si>
  <si>
    <t>Septian Eko Yuwono</t>
  </si>
  <si>
    <t>septian1400016013@webmail.uad.ac.id</t>
  </si>
  <si>
    <t>089635222118</t>
  </si>
  <si>
    <t>Sistem Informasi Nilai Raport berbasis Web Studi Kasus SMK Kesehatan Cipta Bhakti Husada Yogyakarta</t>
  </si>
  <si>
    <t>Arif rahman</t>
  </si>
  <si>
    <t xml:space="preserve">M. Agus Setiawan </t>
  </si>
  <si>
    <t>m1500016010@webmail.uad.ac.id</t>
  </si>
  <si>
    <t>085934466566</t>
  </si>
  <si>
    <t xml:space="preserve">PERENCANAAN ARSITEKTUR ENTERPRISE UNTUK PENGEMBANGAN SISTEM INFORMASI DI APOTEK DENGAN MENGGUNAKAN KERANGKA ZACHMAN
(STUDI KASUS : APOTEK UAD)
</t>
  </si>
  <si>
    <t>Iwan Tri Yanto</t>
  </si>
  <si>
    <t>selasa jam 8</t>
  </si>
  <si>
    <t>Arif Hidayat</t>
  </si>
  <si>
    <t>arif@webmail.uad.ac.id</t>
  </si>
  <si>
    <t>082223312315</t>
  </si>
  <si>
    <t>Pengembangan Aplikasi Submit Berita Universitas Ahmad Dahlan Berbasis Framework CodeIgniter Dirancang untuk Administrator</t>
  </si>
  <si>
    <t>Muhammad Nur Fuad</t>
  </si>
  <si>
    <t>Muhammad1500016002@webmail.uad.ac.id</t>
  </si>
  <si>
    <t>0822-4361-9631</t>
  </si>
  <si>
    <t>Penilaian Manajemen Risiko Pada Layanan Teknologi Informasi SDM UAD Menggunakan Metode COBIT 5</t>
  </si>
  <si>
    <t>https://drive.google.com/open?id=1x81TO6JHtXrD01yLmxvyk6XD6UDcX6Lr</t>
  </si>
  <si>
    <t>Muhammad Anshar Sara</t>
  </si>
  <si>
    <t>muhammad1400016040@webmail.uad.ac.id</t>
  </si>
  <si>
    <t>081239992937</t>
  </si>
  <si>
    <t>Rancang Bangun Sistem Informasi Arsip Surat Berbasis Web Studi kasus MTs Negeri 1 Yogyakarta</t>
  </si>
  <si>
    <t>https://drive.google.com/open?id=1v3jf56-74510pt0OYP0UuvD77rokcixs</t>
  </si>
  <si>
    <t>jumat 8</t>
  </si>
  <si>
    <t>Perancangan Aplikasi Mobile Boardgame Edukasi Dengan Metode Digital Game Based Learning-Instruksional Design</t>
  </si>
  <si>
    <t>https://drive.google.com/open?id=190-SWa0-vhO95I_l_fr_5g0G5hvlalDr</t>
  </si>
  <si>
    <t>kamis '13</t>
  </si>
  <si>
    <t>Analisis dan Perancangan Aplikasi KoBi-App Berbasis Mobile Menggunakan Metode Unified Software Development Process (USDP)</t>
  </si>
  <si>
    <t>https://drive.google.com/open?id=1M4GyvU1YOM7xrEDFtU3pyPBSf9By1k8E</t>
  </si>
  <si>
    <t>jumat '13</t>
  </si>
  <si>
    <t>Revani Saputra</t>
  </si>
  <si>
    <t>Forensik Browser Pada Aplikasi Twitter Web</t>
  </si>
  <si>
    <t>Pratama Rahmandha Yunizahara</t>
  </si>
  <si>
    <t>Pratama1500016051@webmail.uad.ac.id</t>
  </si>
  <si>
    <t>081288028007</t>
  </si>
  <si>
    <t>Rancangan Service Catalogue Management Untuk Meningkatkan Layanan Nasabah (Studi Kasus Mini Bank Syariah Ar Rahman UAD)</t>
  </si>
  <si>
    <t>senin 7-10</t>
  </si>
  <si>
    <t>Alif Setiawan</t>
  </si>
  <si>
    <t>alif1500016018@webmail.uad.ac.id</t>
  </si>
  <si>
    <t>089657130051</t>
  </si>
  <si>
    <t>Pembangunan Sistem Informasi Reservasi Homestay Berbasis Android Menggunakan Metode USDP (Unified Software Development Process)</t>
  </si>
  <si>
    <t>senin 10-12</t>
  </si>
  <si>
    <t>Nur Indah Sari</t>
  </si>
  <si>
    <t>nur1500016025@webmail.uad.ac.id</t>
  </si>
  <si>
    <t>082341090333</t>
  </si>
  <si>
    <t>Pengaruh Tingkat Kepuasan Terhadap Frekuensi Kunjungan Terhadap E-learning menggunakan Metode End User Computing Satisfaction (EUCS)</t>
  </si>
  <si>
    <t>Iwan Tri Riyadi Yanto, S.Si., M.IT</t>
  </si>
  <si>
    <t>mursid</t>
  </si>
  <si>
    <t>selasa jam 10-12</t>
  </si>
  <si>
    <t>082352945389</t>
  </si>
  <si>
    <t>Sistem Informasi Persuratan Berbasis Web Menggunakan Framework Code Igniter</t>
  </si>
  <si>
    <t>selasa 10-12</t>
  </si>
  <si>
    <t>Dwi Nuryadi</t>
  </si>
  <si>
    <t>dwi1300016054@webmail.uad.ac.id</t>
  </si>
  <si>
    <t>085727651561</t>
  </si>
  <si>
    <t>Sistem Pendukung Keputusan Penerima Tunjangan Kinerja Menggunakan Metode Simple Multi Attribute Rating Technique (SMART) Studi Kasus di Kantor Kelurahan Desa Sidomulyo</t>
  </si>
  <si>
    <t>selasa 7-10</t>
  </si>
  <si>
    <t>Muklisatun Intik Kanah</t>
  </si>
  <si>
    <t>Muklisatun1300016035@webmail.uad.ac.id</t>
  </si>
  <si>
    <t>0858-0917-1667</t>
  </si>
  <si>
    <t>Analisis Kualitas Layanan Website Terhadap Kepuasan Pengguna Menggunakan Metode WebQual</t>
  </si>
  <si>
    <t>senin 13-15</t>
  </si>
  <si>
    <t>Analisis Penilaian Risiko pada Sistem Informasi Manajemen Pelayanan Terpadu Menggunakan Framework OCTAVE Allegro</t>
  </si>
  <si>
    <t>Pengembangan Aplikasi  “Kobi-App” berbasisMobile menggunakan Metode UnifiedDevelopment Software Process</t>
  </si>
  <si>
    <t>Forensik pada Web Browser Berbasis Desktop Menggunakan Metode Live Forensik</t>
  </si>
  <si>
    <t>081226719458</t>
  </si>
  <si>
    <t>Forensik Digital Layanan Facebook Messengger Berbasis Android</t>
  </si>
  <si>
    <t>082265447050</t>
  </si>
  <si>
    <t xml:space="preserve">Penerapan Data Mining Classification dengan Metode Support Vector Machine untuk Memprediksi Kelayakan Kredit Nasabah </t>
  </si>
  <si>
    <t>rabu jam 10-12</t>
  </si>
  <si>
    <t>Forensik Mobile Layanan Facebook Messengger Berbasis Android</t>
  </si>
  <si>
    <t>kamis jam 8-10</t>
  </si>
  <si>
    <t>kamis jam 10-12</t>
  </si>
  <si>
    <t>Tomi pandela</t>
  </si>
  <si>
    <t>Forensik Browser Pada Aplikasi Tiktok Berbasis Web</t>
  </si>
  <si>
    <t>kamis jam 13-15</t>
  </si>
  <si>
    <t>085155494343</t>
  </si>
  <si>
    <t>Rabu, 21 Oktober 2020, 08.00 WIB</t>
  </si>
  <si>
    <t>Eka Yulianti Rosa Putri</t>
  </si>
  <si>
    <t>Analisis Manajemen Risiko Layanan Pensiunan pada Kantor Pos Menggunakan Metode ITIL V3</t>
  </si>
  <si>
    <t>Jumat, 6 November 2020, 13.00 (WIB)</t>
  </si>
  <si>
    <t>oldy1600016106@webmail.uad.ac.id</t>
  </si>
  <si>
    <t>085156768934</t>
  </si>
  <si>
    <t xml:space="preserve">Analisis Forensik Router Terhadap Serangan Distributed Denial of Service (DDoS) </t>
  </si>
  <si>
    <t>Senin, 9 November 2020, 08.00 (WIB)</t>
  </si>
  <si>
    <t>Selasa, 10 November 2020, 13.00 (WIB)</t>
  </si>
  <si>
    <t>085232126724</t>
  </si>
  <si>
    <t>Analisis Penilaian Risiko pada Layanan Pos Corporate Menggunakan Framework OCTAVE Allegro</t>
  </si>
  <si>
    <t>Rabu, 11 November 2020, 13.00 (WIB)</t>
  </si>
  <si>
    <t>rhaka1600016048@webmail.uad.ac.id</t>
  </si>
  <si>
    <t>Kamis, 26 November 2020, 08.00 (WIB)</t>
  </si>
  <si>
    <t>Siti Nur Alwiyah</t>
  </si>
  <si>
    <t>siti1500016071@webmail.uad.ac.id</t>
  </si>
  <si>
    <t>085244119972</t>
  </si>
  <si>
    <t>Forensik Mobile Layanan Aplikasi LINE Messenger Berbasis Android</t>
  </si>
  <si>
    <t>Dr. Dr. Mursid Wahyu Hananto, M.Kom.</t>
  </si>
  <si>
    <t>Rabu, 25 November 2020, 08.00 (WIB)</t>
  </si>
  <si>
    <t>Forensik Browser pada Aplikasi Facebook Messenger</t>
  </si>
  <si>
    <t>Rabu, 25 November 2020, 10.00 (WIB)</t>
  </si>
  <si>
    <t>0878-6584-7446</t>
  </si>
  <si>
    <t>Forensik Mobile Pada Layanan IMO Messenger Berbasis Android untuk Mendapatkan Bukti Kejahatan Cybercrime</t>
  </si>
  <si>
    <t>Rabu, 16 Desember 2020, 08.00 (WIB)</t>
  </si>
  <si>
    <t>082277509394</t>
  </si>
  <si>
    <t>Forensik Mobile Layanan MiChat Messenger
Menggunakan Metode National Institute of
Standards and Technology (NIST)</t>
  </si>
  <si>
    <t>Rabu, 16 Desember 2020, 10.00 (WIB)</t>
  </si>
  <si>
    <t>UMMI LATIFAH</t>
  </si>
  <si>
    <t>ANALISIS FORENSIK MOBILE APLIKASI VIBER PADA SMARTPHONE BERBASIS ANDROID</t>
  </si>
  <si>
    <t>Sabtu, 2 Januari 2021 ( 08.00 WIB )</t>
  </si>
  <si>
    <t>MIRAWATI</t>
  </si>
  <si>
    <t>Sabtu, 2 Januari 2021 ( 10.00 WIB )</t>
  </si>
  <si>
    <t>Akhada Mukharomah</t>
  </si>
  <si>
    <t>akhada1500016052@webmail.uad.ac.id</t>
  </si>
  <si>
    <t>085728758623</t>
  </si>
  <si>
    <t>Forensik Mobile pada Aplikasi Facebook Messenger dan Facebook Messenger Lite Smartphone Berbasis Android</t>
  </si>
  <si>
    <t>Senin, 4 Januari 2021 ( 08.00 WIB )</t>
  </si>
  <si>
    <t xml:space="preserve"> renaldo1600016091@webmail.uad.ac.id</t>
  </si>
  <si>
    <t>Senin, 4 Januari 2021 ( 10.00 WIB )</t>
  </si>
  <si>
    <t>Analisis Risiko Sistem Informasi Manajemen Perpustakaan (SIMPUS) Menggunakan Framework Octave Allegro</t>
  </si>
  <si>
    <t>Rabu, 6 Januari 2021 ( 13.00 WIB )</t>
  </si>
  <si>
    <t>085225720009</t>
  </si>
  <si>
    <t>Analisis Penilaian Risiko pada Layanan Sistem Pengadaan Menggunakan Framework Octave Allegro</t>
  </si>
  <si>
    <t>Jumat, 19 Februari 2021 (13.00 WIB)</t>
  </si>
  <si>
    <t>Fitria Feranika</t>
  </si>
  <si>
    <t>fitria1400016014@webmail.uad.ac.id</t>
  </si>
  <si>
    <t>081330422499</t>
  </si>
  <si>
    <t>Rancangan Bangun Sistem Informasi Penjulan Pakaian Wanita Berbasis Web Menggunakan Framework CodeIgniter (Studi Kasus Pada Toko Rasikhak)</t>
  </si>
  <si>
    <t>Jumat, 19 Februari 2021 (08.00 WIB)</t>
  </si>
  <si>
    <t>Henny Anggraini</t>
  </si>
  <si>
    <t>henny1400016027@webmail.uad.ac.id</t>
  </si>
  <si>
    <t>081325661318</t>
  </si>
  <si>
    <t>Sistem Informasi Penggajian Guru dan Karyawan Studi Kasus SMP Muhammadiyah 9 Yogyakarta</t>
  </si>
  <si>
    <t>Sabtu, 27 Februari 2021 ( 13.00 WIB )</t>
  </si>
  <si>
    <t>eka1600016021webmail.uad.ac.id</t>
  </si>
  <si>
    <t>088238832871</t>
  </si>
  <si>
    <t>Selasa, 9 Maret 2021 ( 13.00 - 14.30 )</t>
  </si>
  <si>
    <t>Analisis Manajemen Risiko pada Layanan E-Layanan Sains (ELSA) Menggunakan Framework Octave Allegro</t>
  </si>
  <si>
    <t>Selasa, 9 Maret 2021 ( 14.30 - 15.30 )</t>
  </si>
  <si>
    <t>Analisis Penerimaan Sistem Informasi Manajemen Rumah Sakit (SIMRS) UAD Menggunakan  Technology Acceptance Model (TAM)</t>
  </si>
  <si>
    <t>Imam Riadi, S.Pd., M.Kom. Dr.</t>
  </si>
  <si>
    <t>Sabtu, 6 Maret 2021 ( 13.00 - 15.00 )</t>
  </si>
  <si>
    <t>Tri Rudiyanto</t>
  </si>
  <si>
    <t>tri1400016011@webmail.uad.ac.id</t>
  </si>
  <si>
    <t>085225069897</t>
  </si>
  <si>
    <t>Sistem Informasi Presensi Siswa Berbasis Perangkat Bergerak
Studi Kasus Madrasah Muallimin Muhammadiyah Yogyakarta</t>
  </si>
  <si>
    <t>Nadya Avanora Dewi</t>
  </si>
  <si>
    <t>nadya1400016007@webmail.uad.ac.id</t>
  </si>
  <si>
    <t>0851-5516-0603</t>
  </si>
  <si>
    <t>Sistem Informasi Penerimaan Siswa Baru Berbasis Web Menggunakan CodeIgniter Studi Kasus SD Muhammadiyah Pajangan 2</t>
  </si>
  <si>
    <t>Jum'at, 5 Maret 2021 ( 08.00 - 10.00 )</t>
  </si>
  <si>
    <t>Eldrinsyah Asrori</t>
  </si>
  <si>
    <t>eldrinsyah1400016033@webmail.uad.ac.id</t>
  </si>
  <si>
    <t>0822-3217-1715</t>
  </si>
  <si>
    <t>Sistem Informasi Penjualan Online Berbasis Web Studi Kasus Klinik Estetika Beautysky</t>
  </si>
  <si>
    <t>Jum'at, 5 Maret 2021 ( 13.00 - 15.00 )</t>
  </si>
  <si>
    <t>Penguji/Reviewer Seminar Proposal</t>
  </si>
  <si>
    <t>penguji 2</t>
  </si>
  <si>
    <t>0896-0469-6787</t>
  </si>
  <si>
    <t xml:space="preserve">Analisis Kualitas Layanan Portal Akademik Universitas Ahmad Dahlan Menggunakan Framework ISO 20000 </t>
  </si>
  <si>
    <t>https://drive.google.com/open?id=1IpN5NNiLc-ahRUUsQL1cLyUMYrlj5FlM</t>
  </si>
  <si>
    <t>Senin</t>
  </si>
  <si>
    <t>Perancangan dan Pembuatan Sistem Publikasi Artikel Online Berbasis Web</t>
  </si>
  <si>
    <t>https://drive.google.com/open?id=1ul8V52wOE6NIhHa5x3KKfKIOz95yprqF</t>
  </si>
  <si>
    <r>
      <rPr>
        <rFont val="Arial"/>
      </rPr>
      <t xml:space="preserve">Imam Azhari, </t>
    </r>
    <r>
      <rPr>
        <rFont val="Arial"/>
      </rPr>
      <t>S.Si</t>
    </r>
    <r>
      <rPr>
        <rFont val="Arial"/>
      </rPr>
      <t>., M.Cs.</t>
    </r>
  </si>
  <si>
    <t>Selasa</t>
  </si>
  <si>
    <t>Triyogi Guntoro Putra</t>
  </si>
  <si>
    <t>triyogi1400016049@webmail.uad.ac.id</t>
  </si>
  <si>
    <t>085810169867</t>
  </si>
  <si>
    <t>Sistem Informasi Akademik Sekolah Dasar Berbasis Web Menggunakan Metode USDP</t>
  </si>
  <si>
    <t>Web Based Academic Information System for Elementary School using USDP Method</t>
  </si>
  <si>
    <t>Suprihatin, S.Si., M.Kom.</t>
  </si>
  <si>
    <t>Sabtu</t>
  </si>
  <si>
    <t>Fauziyah1600016079@webmail.uad.ac.id</t>
  </si>
  <si>
    <t>Analisis Penilaian Manajemen Risiko Teknologi Informasi pada Sistem Informasi Akademik Menggunakan Framework Octave Allegro</t>
  </si>
  <si>
    <t>Risk Assessment Analysis on Academic Informaton System 
using OCTAVE Allegro Framework</t>
  </si>
  <si>
    <t>Rabu</t>
  </si>
  <si>
    <t>Putriayu1600016034@webmail.uad.ac.id</t>
  </si>
  <si>
    <t>Analisis Manajemen Risiko pada Layanan E- Layanan Sains (ELSA) Menggunakan Framework Octave Allegro</t>
  </si>
  <si>
    <t>Risk Management Analysis on Services E- Service Science (ELSA) Using Allegro's Octave Framework</t>
  </si>
  <si>
    <t>Iwan Tri Riyadi Yanto, S.Si., M.IT., Ph.D.</t>
  </si>
  <si>
    <t>Angga1600016017@webmail.uad.ac.id</t>
  </si>
  <si>
    <t>Sistem Reservasi Pembelian Tiket Bus
pada PO.Sinar Jaya</t>
  </si>
  <si>
    <t>Kamis</t>
  </si>
  <si>
    <t>Meirista Aswin Budiyati</t>
  </si>
  <si>
    <t>meirista1400016028@webmail.uad.ac.id</t>
  </si>
  <si>
    <t>081554508358</t>
  </si>
  <si>
    <t>Sistem Informasi Pembayaran SPP Menggunakan Metode Unified Software Development Process (USDP)
Studi Kasus SMP Muhammadiyah 9 Yogyakarta</t>
  </si>
  <si>
    <t>SPP Payment Information System Using Method Unified Software Development Process (USDP)
Case Study of Muhammadiyah Junior High School 9 Yogyakarta</t>
  </si>
  <si>
    <t>arif Rahman, S.Kom., M.T.</t>
  </si>
  <si>
    <t>9 Agust 2021</t>
  </si>
  <si>
    <t>Imam1500016048@webmail.uad.ac.id</t>
  </si>
  <si>
    <t>Image Marker Based Virtual Guide Development at the 
Muhammadiyah Museum</t>
  </si>
  <si>
    <t>Arif Rahman, S.Kom., M.T./Farid Suryanto, M.T.</t>
  </si>
  <si>
    <t>Mursid Wahyu Hananto, Dr., S.Si., M.Kom.</t>
  </si>
  <si>
    <t>088232328927</t>
  </si>
  <si>
    <t>User Interface Evaluation and Redesign The PesanAja Application Use Method User Centered Design</t>
  </si>
  <si>
    <t>Jum'at</t>
  </si>
  <si>
    <t>ANANG RIZA NUGROHO</t>
  </si>
  <si>
    <t>Anang1400016024@webmail.uad.ac.id</t>
  </si>
  <si>
    <t>081390397880</t>
  </si>
  <si>
    <t>Sistem Informasi Inventori dan Penjualan Kayu Berbasis Web Menggunakan Metode Unified Software Development Process (USDP)</t>
  </si>
  <si>
    <t>Web_based Lumber Inventory and Sales Information System Using Unified Software Development Process (USDP) Method</t>
  </si>
  <si>
    <t>faradila1600016077@webmail.uad.ac.id</t>
  </si>
  <si>
    <t>E-Office User Satisfaction Analysis using End-user Computing Satisfaction</t>
  </si>
  <si>
    <t>Imam Riadi, Dr., S.Pd., M.Kom.</t>
  </si>
  <si>
    <t>081215743120</t>
  </si>
  <si>
    <t>The Development of Laboratory Management Information System Back-end using Extreme Programming Method</t>
  </si>
  <si>
    <t>9 agus 2021</t>
  </si>
  <si>
    <t>Pengembangan User Interface Sistem Informasi Laboratorium Menggunakan Metode User Centered Design (UCD)
Studi Kasus Laboratorium Komputer Program Studi Sistem Informasi FAST-UAD</t>
  </si>
  <si>
    <t>User Interface Development of Laboratory Information System Using User Centered Design (UCD) Method
Computer Laboratory Study Program Information System in FAST-UAD Case Studies</t>
  </si>
  <si>
    <t>Aditya Bagus Rokhmana Putra</t>
  </si>
  <si>
    <t xml:space="preserve"> aditya1700016087@webmail.uad.ac.id</t>
  </si>
  <si>
    <t>Redesign and Usability Evaluation of Ahmad Dahlan University Rectorat Digital Guest Book Application with Usability Testing Method Reviewed from Internal Guests</t>
  </si>
  <si>
    <t>Slamet Riko Feriyanto</t>
  </si>
  <si>
    <t>slamet1400016017@webmail.uad.ac.id</t>
  </si>
  <si>
    <t>082183625607</t>
  </si>
  <si>
    <t>Pengembangan Sistem Informasi Persediaan Barang Nabnaf Kids Store Menggunakan  Unified Software Development Process (USDP)</t>
  </si>
  <si>
    <t>Development of Nabnaf Kids Store Inventory Information System Using Unified Software Development Process (USDP)</t>
  </si>
  <si>
    <t>Evaluasi Usability Website Arena.id Menggunakan Eight Golden Rules Principle</t>
  </si>
  <si>
    <t>Arena.id Website Usability Evaluation Using Eight Golden Rule Principles</t>
  </si>
  <si>
    <t>Pengimplementasian Metode Amaba dalam Perancangan User Interface Aplikasi Pembelajaran Al-Quran Berbasis Mobile Terhadap Disabilitas Tuna Rungu Menggunakan Metodologi User Centered Design</t>
  </si>
  <si>
    <t>Implementing the Amaba Method in Designing a Mobile-Based Al-Quran Learning Application User Interface Aplikasi To Deaf Disabilities Using User Centered Design Methodology</t>
  </si>
  <si>
    <t>28 Agust 2021</t>
  </si>
  <si>
    <t>VIONI RETNO GITA LERI</t>
  </si>
  <si>
    <t>Pencarian Data Penyebaran Konten Pornografi pada Layanan Twitter Berbasis Mobile</t>
  </si>
  <si>
    <t>Data Search for the Distribution of Pornographic Content on Based Twitter Services Mobile</t>
  </si>
  <si>
    <t>Jum'at, 13 Agustus 2021</t>
  </si>
  <si>
    <t>25 Sept 2021</t>
  </si>
  <si>
    <t>Analysis of Risk Management Assessment on Quality Control Services using Framework COBIT 5</t>
  </si>
  <si>
    <t>Perancangan Data dan Informasi untuk Sistem Informasi Eksekutif Menggunakan Kerangka Kerja Zachman</t>
  </si>
  <si>
    <t>Data and Information Design for Executive Information Systems Using The Zachman Framework</t>
  </si>
  <si>
    <t>081909979302</t>
  </si>
  <si>
    <t>Analisis Penilaian Risiko pada Sistem Informasi Desa (SID) Menggunakan Kerangka Kerja OCTAVE Allegro</t>
  </si>
  <si>
    <t>Risk Assessment Analysis on Village Information System (SID) Using OCTAVE Allegro Framework</t>
  </si>
  <si>
    <t>Jum'at, 10 September 2021</t>
  </si>
  <si>
    <t>Analisis Penilaian Risiko pada Sistem Informasi Perpustakaan INLISLite Versi 3.1 Menggunakan Framework OCTAVE Allegro</t>
  </si>
  <si>
    <t>Risk Assessment Analysis on Informaton System INLISLite Versi 3.1 using OCTAVE Allegro Framework</t>
  </si>
  <si>
    <t>INDRIYANTO</t>
  </si>
  <si>
    <t>Indriyanto1600016013@webmail.uad.ac.id</t>
  </si>
  <si>
    <t>Analisis Penilaian Risiko pada Sistem Informasi Canasoft Menggunakan Framework COBIT 5</t>
  </si>
  <si>
    <t>Analysis of Risk Assessment in Canasoft Information Systems Using the COBIT 5 Framework</t>
  </si>
  <si>
    <t>Service Risk Assessment Analysis of Jogja Smart Servoce Using COBIT 5 Framework</t>
  </si>
  <si>
    <t>DEVI ANZALI PUTRI</t>
  </si>
  <si>
    <t>Forensik Mobile Terhadap Kasus Pengancaman Melalui Layanan WhatsApp</t>
  </si>
  <si>
    <t>https://drive.google.com/open?id=17hXHyTFGXjyhEGSKlfFKSzUD9VJYc0sT</t>
  </si>
  <si>
    <t>Forensik Browser pada Layanan Line Messenger untuk Penanganan Cyberfraud</t>
  </si>
  <si>
    <t>https://drive.google.com/open?id=1NPdTMLXumVAJHETcJWxn3UyjUEuG2MCS</t>
  </si>
  <si>
    <t xml:space="preserve">cintia1700016127@webmail.uad.ac.id </t>
  </si>
  <si>
    <t>Forensik Browser Penyebaran Konten Hoax pada Layanan Facebook</t>
  </si>
  <si>
    <t>https://drive.google.com/open?id=17tcDdBOyvya4yXMWZdgDfzsqQ_3i7NmQ</t>
  </si>
  <si>
    <t xml:space="preserve">Analisis Strategi Promosi pada Media Sosial Twitter dan Instagram untuk Meningkatkan Penjualan menggunakan Metode Action Research
Studi Kasus di Toko Hayukorder 
</t>
  </si>
  <si>
    <t xml:space="preserve">Analysis of Promotional Strategies on Twitter and Instagram Social Media to Increase Sales using the Action Research Method
Case Studi at Hayukorder Store
</t>
  </si>
  <si>
    <t>Jum'at, 24 September 2021</t>
  </si>
  <si>
    <t>Manarul Islam</t>
  </si>
  <si>
    <t>manarul1500016047@webmail.uad.ac.id</t>
  </si>
  <si>
    <t>082335385939</t>
  </si>
  <si>
    <t>Perencangan Sistem Manajemen Pengelolaan Informasi dan Berita Berbasis Netizen Journalism Pada Website Mediamu.id</t>
  </si>
  <si>
    <t>Information Management System Design and news based on Netizen Journalism on the website Mediamu.id</t>
  </si>
  <si>
    <t>Sri Handayaningsih, ST., MT./Farid Suryanto, S.Si., M.T.</t>
  </si>
  <si>
    <t>Visualisasi Informasi Brosur Perumahan Menggunakan Teknologi Augmented Reality Studi Kasus Kirana Garden Residence</t>
  </si>
  <si>
    <t>Visualization of Residential Brochure Information Using Augmented Reality Technology Kirana Garden Residence Case Studies</t>
  </si>
  <si>
    <t>sri1700016043@webmail.uad.ac.id</t>
  </si>
  <si>
    <t>Analisis Forensik Layanan Facebook pada Kasus Harassment Berbasis Mobile</t>
  </si>
  <si>
    <t>https://drive.google.com/open?id=1hFz0KHIrXRUMlf8zHLH4a7_7orVKWzsj</t>
  </si>
  <si>
    <t>Analisis Forensik Mobile Layanan Line Messenger pada Kasus Transaksi Narkoba</t>
  </si>
  <si>
    <t>https://drive.google.com/open?id=1yJu-PnG2Ot8ppO1QYJPlbq7VEf42MJok</t>
  </si>
  <si>
    <t>Denny S. Afrizal Geha</t>
  </si>
  <si>
    <t>Analisis dan Desain Antarmuka Pengguna Sistem Informasi Kualitas Lingkungan Hidup Menggunakan Metode Heuristic Evaluation</t>
  </si>
  <si>
    <t>User Interface Analysis and Design Environmental Quality Information System using Heuristic Evaluation Method</t>
  </si>
  <si>
    <t>Pembuatan Sistem Informasi Manajemen Arsip Surat Berbasis Web Menggunakan Metode Unified Software Development Process (USDP) Sutdi Kasus Madrasah Mu’allimin Muhammadiyah Yogyakarta</t>
  </si>
  <si>
    <t>Developing Web-Based Infromation System Mail Archive Management Using the Unified Software Development Process (USDP) Method A Case Study of Mu'allimin Muhammadiyah Yogyakarta Madrasah</t>
  </si>
  <si>
    <t>Analisis dan Perbaikan Proses Bisnis dengan Metode Business Process Improvement (BPI) Studi Kasus Layanan Prestasi BIMAWA-UAD</t>
  </si>
  <si>
    <t>BusinessProcess Analysis and Improvement by Method Business Process Improvement (BPI) Achievement Service BIMAWA-UAD Case Studies</t>
  </si>
  <si>
    <t>FAIZ BAHARUDIN UMAR</t>
  </si>
  <si>
    <t>SISTEM INFORMASI GEOGRAFIS PERTANAHAN DESA GADINGSARI KECAMATAN SANDEN KABUPATEN BANTUL</t>
  </si>
  <si>
    <t>Land Geographic Information System Gadingsari Village Sanden District Bantul Regency</t>
  </si>
  <si>
    <t xml:space="preserve">Pencarian Data Transaksi Narkotika pada Layanan IMO Messengger Berbasis Mobile </t>
  </si>
  <si>
    <t>Drug Transaction Data Search on Based IMO Messenger Services Mobile</t>
  </si>
  <si>
    <t>https://drive.google.com/open?id=1hPli2QS-ZUKVRK-yllPENse3cMzWXHvx</t>
  </si>
  <si>
    <t>nurhayati1600016011@webmail.uad.ac.id</t>
  </si>
  <si>
    <t>Perancangan Enterprise Architecture Menggunakan Framework Togaf ADM pada Bidang Komunikasi Publik dan Diseminasi Informasi Diskominfostik Kabupaten Bima.</t>
  </si>
  <si>
    <t>https://drive.google.com/open?id=1CvXtuK2HcuBeDn_UxDCRZG8jBogU7HWF</t>
  </si>
  <si>
    <t xml:space="preserve">rizin1700016095@webmail.uad.ac.id </t>
  </si>
  <si>
    <t>Analisis dan Pemodelan Proses Bisnis Menggunakan Business Process Modelling Notation (BPMN) Studi Kasus Layanan Konseling BIMAWA-UAD</t>
  </si>
  <si>
    <t>https://drive.google.com/open?id=103TtCSmD3yL88Oen2V0_2A5VDpf2rgkz</t>
  </si>
  <si>
    <t>afif1700016102@webmail.uad.ac.id</t>
  </si>
  <si>
    <t>Forensik Mobile Kasus Drug Trafficking Pada Layanan WhatsApp</t>
  </si>
  <si>
    <t>https://drive.google.com/open?id=1rYrRSOee1znKyDjH72hJpvEGsp7x4CGw</t>
  </si>
  <si>
    <t>Pencarian Data Kasus Penipuan Jual Beli pada Layanan WhatsApp berbasis Mobile</t>
  </si>
  <si>
    <t>https://drive.google.com/open?id=10EDJzX5aWw9SgHW72pLWUrw-02YmHQTg</t>
  </si>
  <si>
    <t>Analisis Forensik Kasus Hate Speech pada Layanan Facebook Berbasis Web</t>
  </si>
  <si>
    <t>https://drive.google.com/open?id=1C-veQ2H6LSy1q0mnZtjWhXmxg7P81s-0</t>
  </si>
  <si>
    <t>cindy1700016013@webmail.uad.ac.id</t>
  </si>
  <si>
    <t>Pencarian Data Pemerasan Pada Layanan Whatsapp Berbasis Web</t>
  </si>
  <si>
    <t>https://drive.google.com/open?id=17j-9RkoUD6iY0DUJk-C5EQryHQurHGFT</t>
  </si>
  <si>
    <t>https://drive.google.com/open?id=1J2asDkQj6uZBbJTJdN6iQc9VPmi8FtaJ</t>
  </si>
  <si>
    <t>Regina Fitria</t>
  </si>
  <si>
    <t>0812 3076 9758</t>
  </si>
  <si>
    <t>Pengambilan Data Digital terhadap Layanan Facebook messenger Berbasis Mobile</t>
  </si>
  <si>
    <t>https://drive.google.com/open?id=1QABMjgGZrtTWuDIod7NufF7GDdDUl3Cd</t>
  </si>
  <si>
    <t>Pencarian Data Kasus Penipuan pada Layanan Facebook Messenger Berbasis Web</t>
  </si>
  <si>
    <t>https://drive.google.com/open?id=145L7-la_DZCT4O7VxxbNtnA5dS0YF_N_</t>
  </si>
  <si>
    <t>Perancangan User Interface Aplikasi (Smart Home) Berbasis Mobile guna Mengurangi Konsumsi Listrik Harian Menggunakan Metode Design Thinking</t>
  </si>
  <si>
    <t>https://drive.google.com/open?id=1BapQ_RrHZoNLU59ILM-PbJf4mau9wZNP</t>
  </si>
  <si>
    <t>Analisis dan Perbaikan Proses Bisnis dengan Metode Business Process Improvement (BPI) Studi Kasus Layanan Beasiswa BIMAWA-UAD</t>
  </si>
  <si>
    <t>https://drive.google.com/open?id=1HnZZM6vP5mhryeU5gDAH_4WaY489U00y</t>
  </si>
  <si>
    <t>Perancangan Prototipe Pencatatan Data Ayam untuk Pelaporan Plasma ke PPL dengan Metode User-Centered Design (Studi Kasus Plasma PT Ciomas Adisatwa Unit Region Bali 1 di Kecamatan Gerokgak)</t>
  </si>
  <si>
    <t>https://drive.google.com/open?id=173fcvelDCK1hzP0g6T1_6uWxmgrzsjaT</t>
  </si>
  <si>
    <t>Perancangan Ulang User Interface pada Aplikasi Balebelanja.id Menggunakan Metode User Centered Design</t>
  </si>
  <si>
    <t>https://drive.google.com/open?id=1ASyPZyQEPlYlunvtZvYQ1l8JtGQKmDXr</t>
  </si>
  <si>
    <t>085850346179</t>
  </si>
  <si>
    <t>Analisis Tingkat Kepuasan Pengguna Sistem E-Office dengan Menggunakan End-User Computing Satisfaction</t>
  </si>
  <si>
    <t>E-Office System User Satisfaction Analysis Using End-User Computing Satisfaction</t>
  </si>
  <si>
    <t>08.00 - 10.00 WIB</t>
  </si>
  <si>
    <t>Pengambilan Data Digital Layanan Facebook Pada Browser Chrome</t>
  </si>
  <si>
    <t>Facebook Service Digital Data Retrieval In Chrome Browser</t>
  </si>
  <si>
    <t>Klasifikasi dan Rekomendasi Hasil Evaluasi Studi dengan Menggunakan algortima Decision tree dan algoritma K-Nearest Neighbor</t>
  </si>
  <si>
    <t>Classification and Recommendation of Study Evaluation Results using Decision Tree Algorithm and K-Nearest Neighbor Algoritm</t>
  </si>
  <si>
    <t>selasa, 08.00-10 WIB</t>
  </si>
  <si>
    <t>Analisis Sentimen Data Twitter Covid-19 di Indonesia Menggunakan Metode Random Forest</t>
  </si>
  <si>
    <t>Sentiment Analysis of Covid-19 Twitter Data in Indonesia Using the Random Forest Method</t>
  </si>
  <si>
    <t>Selasa 10-12 WIB</t>
  </si>
  <si>
    <t>Web Based Inventory Information System Using Unified Software Development Process Case Study of Muallimin Muhammadiyah Yogyakarta School</t>
  </si>
  <si>
    <t>Analisis Penilaian Risiko Layanan Kredit Mahasiswa Menggunakan Framework COBIT 5</t>
  </si>
  <si>
    <t>Analysis of Risk Assessment on Student Credit Services using COBIT 5 Framework</t>
  </si>
  <si>
    <t>Pencarian Data Kasus Prostitusi Online pada Layanan Facebook Messenger Berbasis Web</t>
  </si>
  <si>
    <t>Searching Data for Online Prostitution on Web-Based Facebook Messenger Services</t>
  </si>
  <si>
    <t>Pencarian Data Penyebaran Konten Hate speech Pada Layanan Twitter Berbasis Web</t>
  </si>
  <si>
    <t>Data Search related to The Spread of  Content Containing Hate Speech on Web-based Twitter Services</t>
  </si>
  <si>
    <t>FARIDA MUSTIANINGSIH</t>
  </si>
  <si>
    <t>farida1500016009@webmail.uad.ac.id</t>
  </si>
  <si>
    <t>089610851417</t>
  </si>
  <si>
    <t>PERANCANGAN SISTEM EDUKATIF BERBASIS GAME UNTUK PENGENALAN BIOGRAFI TOKOH PENDIRI MUHAMMADIYAH MENGGUNAKAN FLOW THEORY</t>
  </si>
  <si>
    <t>DESIGN OF A GAME-BASED EDUCATIONAL SYSTEM FOR BIOGRAPHY INTRODUCTION TO THE FOUNDER OF MUHAMMADIYAH USING FLOW THEORY</t>
  </si>
  <si>
    <t>Tawar, S.Si., M.Kom./Farid Suryanto, M.T.</t>
  </si>
  <si>
    <t>Selasa 13-15</t>
  </si>
  <si>
    <t>erancangan User Interface Aplikasi Homecare
Untuk Lansia Berbasis Mobile Menggunakan
Metode Design Thinking</t>
  </si>
  <si>
    <t>Homecare Application User Interface Design
For Mobile-Based Elderly Using
Design Thinking Method</t>
  </si>
  <si>
    <t>Shandy Maulana</t>
  </si>
  <si>
    <t>Analisis dan Perbaikan Proses Bisnis Pada Layanan SKPI BIMAWA-UAD Menggunakan Business Process Improvement (BPI)</t>
  </si>
  <si>
    <t>Business Process Analysis and Improvement at Diploma Supplement Service BIMAWA-UAD Using Business Process Improvement (BPI)</t>
  </si>
  <si>
    <t>Mohamad Izam Ismail</t>
  </si>
  <si>
    <t>Analisis Kepuasan Pengguna Rex Regium Qeon (RRQ) Dengan Metode End User Computing Satisfaction (EUCS)</t>
  </si>
  <si>
    <t>Rex Regium Qeon (RRQ) Application User Satisfaction Analysis Using the End User Computing Satisfaction (EUCS)</t>
  </si>
  <si>
    <t>Klasifikasi Citra Spesies Bunga Di Indonesia Dengan Convolutional Neural Network Dan Transfer Learning</t>
  </si>
  <si>
    <t>Image Classification of Flower Species in Indonesia Using Convolutional Neural Network and Transfer Learning</t>
  </si>
  <si>
    <t>10.00-12.00</t>
  </si>
  <si>
    <t>Perancangan User Interface Aplikasi Pemetaan Relawan Bencana Berbasis Website Menggunakan Metode User Centered Design (UCD)</t>
  </si>
  <si>
    <t>User Interface Design of Website-Based Disaster Volunteer Mapping Application Using User Centered Design (UCD) Method</t>
  </si>
  <si>
    <t>13.00-15.00</t>
  </si>
  <si>
    <t>088291347585</t>
  </si>
  <si>
    <t>Pengujian Usability dan Perbaikan Antarmuka Transportasi Dalam Jaringan pada Aplikasi Maxim</t>
  </si>
  <si>
    <t>Usability Testing and Improvement of Online Transportation Interfaces on Maxim Applications</t>
  </si>
  <si>
    <t>Analisis Kinerja Jaringan Komputer Menggunakan Quality of Service (QoS) Pada Local Area Network (LAN)</t>
  </si>
  <si>
    <t>Analysis of Local Area Network Performance using Quality of Service</t>
  </si>
  <si>
    <t>08.00-10.00</t>
  </si>
  <si>
    <t>24 Sept 2022</t>
  </si>
  <si>
    <t>Dimas Amirul Mu'minin</t>
  </si>
  <si>
    <t>dimas1700016105@webmai.uad.ac.id</t>
  </si>
  <si>
    <t xml:space="preserve">Pencarian Data Penipuan Online pada Layanan MiChat Berbasis Mobile </t>
  </si>
  <si>
    <t>Online Fraud Case Data Search on Mobile Based MiChat Services</t>
  </si>
  <si>
    <t xml:space="preserve">Pencarian Data Prostitusi Online pada Layanan WhatsApp Berbasis Mobile </t>
  </si>
  <si>
    <t>Online Prostitution Data Search on Mobile Based WhatsApp Services</t>
  </si>
  <si>
    <t>Penilaian Risiko Layanan Learning Management System Menggunakan ISO 31000:2018/31010</t>
  </si>
  <si>
    <t>Service Risk Assessment Learning Management System Using ISO 31000:2018/31010</t>
  </si>
  <si>
    <t>08.00 - 10.00</t>
  </si>
  <si>
    <t>Pemanfaatan Web Server dalam Situs Web 3D untuk Meningkatkan Jangkauan Pengguna dan Kemudahan Pengelolaan
Studi Kasus Bangkit Craft Yogyakarta</t>
  </si>
  <si>
    <t>Utilization of Web Servers in 3D Websites to Increase User Reach and Ease of Management
Case Study Bangkit Craft Yogyakarta</t>
  </si>
  <si>
    <t>10.00 - 12.00</t>
  </si>
  <si>
    <t>Pemodelan Proses Bisnis Layanan Kewirausahaan Menggunakan Business Process Modelling Notation (BPMN) di BIMAWA-UAD</t>
  </si>
  <si>
    <t>Business Process Modeling for Entrepreneurship services Using Business Process Modelling Notation (BPMN) at BIMAWA-UAD</t>
  </si>
  <si>
    <t>Norlaili</t>
  </si>
  <si>
    <t>norlaili1703016117@webmail.uad.ac.id</t>
  </si>
  <si>
    <t>087734143751</t>
  </si>
  <si>
    <t>Analisis Penilaian Risiko pada Open Journal System (OJS) Menggunakan
Framework OCTAVE Allegro</t>
  </si>
  <si>
    <t>Risk Assessment Analysis in OJS Using the Allegro OCTAVE Framework</t>
  </si>
  <si>
    <t>DIKA ADHYTAMA SYAFRIANNUR</t>
  </si>
  <si>
    <t>Perancangan Dashboard Bidang Minat Mahasiswa Menggunakan Metode Lean UX Studi Kasus Program Studi Sistem Informasi FAST-UAD</t>
  </si>
  <si>
    <t>Designing Dashboard For Student Interest Using The Lean UX Method FAST-UAD information systems study program case studies</t>
  </si>
  <si>
    <t>13.00 - 15.00</t>
  </si>
  <si>
    <t>Penilaian Manajemen Risiko Layanan DISDUKCAPIL Smart Bantul  Menggunakan Framework COBIT 5</t>
  </si>
  <si>
    <t>Risk Assessment on Integrated Information Smart Service Using COBIT 5 Framework</t>
  </si>
  <si>
    <t>DENDI PAKERTI PRATAMA</t>
  </si>
  <si>
    <t>0812-2999-8463</t>
  </si>
  <si>
    <t>Analisis dan Perbaikan Proses Bisnis Pada Pelatihan Softskill BIMAWA-UAD Menggunakan Business Process Improvement (BPI)</t>
  </si>
  <si>
    <t>Business Process Analysis and Improvement in BIMAWA-UAD softskill Training Using Business Process Improvement (BPI)</t>
  </si>
  <si>
    <t>27 Agust 2022</t>
  </si>
  <si>
    <t>Cahyo1500016020@webmail.uad.ac.id</t>
  </si>
  <si>
    <t>081393991566</t>
  </si>
  <si>
    <t>Sistem Informasi Badan Usaha Milik Desa 
(BUMDes) Berbasis Web Menggunakan
Framework CodeIgniter
Studi Kasus BUMDes Karsa Mandiri, Kabupaten Cilacap</t>
  </si>
  <si>
    <t>Web-Based BUMDes Information System Using 
CodeignIgniter Framework
BUMDes Karsa Mandiri, District Cilacap Case Studies</t>
  </si>
  <si>
    <t>Pencarian Data Kasus Pornografi pada Instant Messenger Berbasis Android</t>
  </si>
  <si>
    <t>Search for Pornography Case Data on Android-Based Instant Messenger</t>
  </si>
  <si>
    <t>08.00 -10.00</t>
  </si>
  <si>
    <t>082171143633</t>
  </si>
  <si>
    <t>Analysis of Risk Assessment on Attendance Information Systems using COBIT 5 Framework</t>
  </si>
  <si>
    <t>10 Agust 2022</t>
  </si>
  <si>
    <t>a1800016040@webmail.uad.ac.id</t>
  </si>
  <si>
    <t xml:space="preserve"> Analisis Kepribadian MBTI Mengunakan Metode Klasifikasi Support Vector Machine </t>
  </si>
  <si>
    <t>MBTI Personality Analysis Using Support Vector Machine Classification Method</t>
  </si>
  <si>
    <t>Sistem Informasi Perpustakaan SD Muhammadiyah Bogor Playen Berbasis Web</t>
  </si>
  <si>
    <t>Web-Based SD Muhammadiyah Bogor Playen Library Information System</t>
  </si>
  <si>
    <t>Evaluation of the Application of AKKU Mobile Presence Using the HOT FIT Method</t>
  </si>
  <si>
    <t>Tawar, S.Si., M.Kom./Iwan Tri Riyadi Yanto, S.Si., M.IT</t>
  </si>
  <si>
    <t>Analisis Tingkat Kematangan Sistem Informasi Penelusuran Perkara menggunakan Framework COBIT 5</t>
  </si>
  <si>
    <t>Analysis a Maturity of Case Search Information Systems using Cobit 5 Framework</t>
  </si>
  <si>
    <t>Analisis Sentimen dan Visualisasi Pembelajaran Tatap Muka Menggunakan Pembobotan TF-IDF dan VDM (Visual Data Mining)</t>
  </si>
  <si>
    <t>09.00 - 11.00</t>
  </si>
  <si>
    <t xml:space="preserve">Sistem Parkir Menggunakan RFID (Radio Frequency Identification) </t>
  </si>
  <si>
    <t xml:space="preserve">Parking System Using RFID (Radio Frequency Identification) </t>
  </si>
  <si>
    <t>Penilaian Manajemen Risiko pada Sistem Informasi Penelusuran Perkara Menggunakan Framework COBIT 5</t>
  </si>
  <si>
    <t>Risk Management Assessment in Case Tracking Information Systems Using the COBIT 5 Framework</t>
  </si>
  <si>
    <t>Ariqah Adliana Siregar</t>
  </si>
  <si>
    <t>Penilaian Kesiapan Keamanan Informasi Pada Sistem Crowdfunding Menggunakan Indeks KAMI 4.2</t>
  </si>
  <si>
    <t>Assessment of Information Security Readiness At Crowdfunding System Using KAMI Index 4.2</t>
  </si>
  <si>
    <t>28 Agust 2022</t>
  </si>
  <si>
    <t>Improvement of the SiBakul Jogja Website Based on the Measurements Results of WebQual 4.0 And Importance Performance Analysis (IPA)</t>
  </si>
  <si>
    <t>Perancangan Game Edukasi Pakaian Adat Yogyakarta Menggunakan Metode ADDIE Studi kasus Taman Budaya Gunungkidul</t>
  </si>
  <si>
    <t>Designing Educational Games for Yogyakarta Traditional Clothing Using the ADDIE Method Case study of Gunungkidul Cultural Park</t>
  </si>
  <si>
    <t>UAD Digital Library Information System Quality Testing with ISO 9126</t>
  </si>
  <si>
    <t>27 agust 2022</t>
  </si>
  <si>
    <t>Analysis Risk Assessment on Hospital Management 
Information System using Octave Allegro Framework</t>
  </si>
  <si>
    <t>Visualization of Data Inventory Using Visual Data Mining (VDM) and Exploratory Data Analysis (EDA) Methods</t>
  </si>
  <si>
    <t>Perencanaan Kegiatan Pada Domain Layanan 
Aspek Layanan Publik Berbasis Elektronik di Pemerintah Kabupaten Pacitan</t>
  </si>
  <si>
    <t>Planning Activities in the Service Domain
Aspects of Electronic-Based Public Services in Pacitan Regency Government</t>
  </si>
  <si>
    <t xml:space="preserve">heby royan </t>
  </si>
  <si>
    <t>Decision Support System For Determining The Best Employees 
Using The Process Hierarchy Analysis Method</t>
  </si>
  <si>
    <t>08.00-09.30</t>
  </si>
  <si>
    <t>018329369440</t>
  </si>
  <si>
    <t xml:space="preserve">Evaluasi Keamanan Website Terhadap Serangan Cors Misconfiguration Menggunakan Framework Open Web Application Security Project </t>
  </si>
  <si>
    <t>Evaluation of Website Security Against Cors Misconfiguration Attacks Using the OWASP Framework</t>
  </si>
  <si>
    <t>09.30-11.00</t>
  </si>
  <si>
    <t>Evaluasi Tingkat Kematangan Sistem Pemerintahan Berbasis Elektronik (SPBE) Kabupaten Bungo</t>
  </si>
  <si>
    <t>Evaluation of Maturity Level Electronic Based Government System Bungo District</t>
  </si>
  <si>
    <t>13.00-14.30</t>
  </si>
  <si>
    <t>DELA HANAFIA</t>
  </si>
  <si>
    <t>Fundraising Pada LazisMu Cilacap Menggunakan Model RFM</t>
  </si>
  <si>
    <t>Fundraising On LazisMu Cilacap Using The RFM Model</t>
  </si>
  <si>
    <t>15.30-17.00</t>
  </si>
  <si>
    <t>Analisis Kebutuhan Informasi Raja Tour Pangandaran Menggunakan Metode TOGAF ADM</t>
  </si>
  <si>
    <t>08.00 - 09.30</t>
  </si>
  <si>
    <t>09.30 - 11.00</t>
  </si>
  <si>
    <t>Elis Sindi Rahmawati</t>
  </si>
  <si>
    <t>Sentiment Analysis of Vaccine Certificates Through Twitter Using BERT</t>
  </si>
  <si>
    <t>087740901374</t>
  </si>
  <si>
    <t>Pengembangan media pembelajaran augmented reality berbasis android pada mata pelajaran biologi virus</t>
  </si>
  <si>
    <t>development of media learning   Augmented Reality  android-based on virus biology theory</t>
  </si>
  <si>
    <t>ONGKY SAPUTRA</t>
  </si>
  <si>
    <t>Analysis and Design of a Motorcycle Sales Website at a Honda Dealer in Payung Village</t>
  </si>
  <si>
    <t>12.30 - 14.30</t>
  </si>
  <si>
    <t>Analisis Manajemen Risiko Sistem Informasi Presensi Finger Print Menggunakan Metode Octave Allegro</t>
  </si>
  <si>
    <t>Risk Management Analysis of Finger Print Presence Information System Using Octave Allegro Method</t>
  </si>
  <si>
    <t>12.30 - 14.00</t>
  </si>
  <si>
    <t>Digital Rights Management Pada File Video Menggunakan Integrasi Algoritma Kriptografi AES dan RSA</t>
  </si>
  <si>
    <t>Digital Rights Management on Video Files Using the Integration of AES and RSA Cryptographic Algorithms</t>
  </si>
  <si>
    <t>16.00 - 17.30</t>
  </si>
  <si>
    <t>Penilaian Keamanan Informasi pada Sistem Informasi Manajemen Keuangan Daerah Menggunakan Indeks KAMI 4.2</t>
  </si>
  <si>
    <t>Assesment of Information Security on Regional Financial Management Information System Using KAMI Index 4.2</t>
  </si>
  <si>
    <t>07.30 - 09.30</t>
  </si>
  <si>
    <t>30 Sept 2022</t>
  </si>
  <si>
    <t xml:space="preserve">Pengambilan Data Digital pada Layanan Twitter Berbasis Web </t>
  </si>
  <si>
    <t xml:space="preserve">Digital Data Retrieval on Web-Based Twitter Services </t>
  </si>
  <si>
    <t>Analisis Manajemen Risiko Teknologi Informasi Pada Aplikasi Web Online Shop Menggunakan Octave Allegro</t>
  </si>
  <si>
    <t>Risk Management Analysis on Online Shop Web Applications using Octave Allegro</t>
  </si>
  <si>
    <t>14.00-15.30</t>
  </si>
  <si>
    <t>Penilaian Keamanan Informasi Pada Sistem Anggaran di Lazismu Menggunakan Indeks KAMI 4.2</t>
  </si>
  <si>
    <t>Assessment of Information Security Policy in Financial System Using Indeks KAMI 4.2</t>
  </si>
  <si>
    <t>User Satisfaction Analysis of Academic Portal System of Ahmad Dahlan University Yogyakarta Using EUCS Method</t>
  </si>
  <si>
    <t>07.00 - 09.00</t>
  </si>
  <si>
    <t>RESAGITA AMARA PUSPA</t>
  </si>
  <si>
    <t>Strategi Penerapan Manajemen SDM SPBE 
di Kabupaten Pacitan</t>
  </si>
  <si>
    <t>SPBE Human Resource Management Implementation Strategy in Pacitan District</t>
  </si>
  <si>
    <t>Pengembangan situs promosi dan pemesanan barang furniture berbasis website untuk migunani crative artwork</t>
  </si>
  <si>
    <t>Development of website-based promotion and ordering of furniture for migunani creative artwork</t>
  </si>
  <si>
    <t>Utillizing three dimensional visualization of sales household products</t>
  </si>
  <si>
    <t>15.30 - 17.00</t>
  </si>
  <si>
    <t>ICT Development Strategic Plan Model Based on SPBE Evaluation Results in Magelang District</t>
  </si>
  <si>
    <t>LISA APRILIANI</t>
  </si>
  <si>
    <t>Perancangan User Interface Website Sistem Informasi Akademik SD Muhammadiyah Bogor Menggunakan Metode Design Thinking</t>
  </si>
  <si>
    <t>User interface Design for Academic Information System Website SD Muhammadiyah Bogor uses the Design Thinking Method</t>
  </si>
  <si>
    <t xml:space="preserve">Analisis Kepribadian Berdasarkan DISC Dengan Metode Gaussian Naive Bayes </t>
  </si>
  <si>
    <t>Personality Prediction Analysis by DISC with Gaussian Naive Bayes</t>
  </si>
  <si>
    <t>Risk Assessment of Integrated Library System using COBIT 5 Framework</t>
  </si>
  <si>
    <t>Analisis Manajemen Risiko Layanan Sistem Informasi Kegiatan Kemahasiswaan Menggunakan Framework COBIT 5</t>
  </si>
  <si>
    <t>Risk Management Analysis of Student Activity System Services using COBIT 5 Framework</t>
  </si>
  <si>
    <t>Perancangan Prototipe E-commerce di Perpustakaan dan Kearsipan Daerah Kabupaten Bulungan dengan Metode User-Centered Design</t>
  </si>
  <si>
    <t>Designing an E-commerce Prototype in the Regional Library and Archives of Bulungan Regency with the User-Centered Design Method</t>
  </si>
  <si>
    <t>Perancangan Prototipe Sistem Pengelolaan Customer Hostel Menggunakan Konsep Customer Relationship Management (CRM) Pada Santai Sini Hostel Yogyakarta</t>
  </si>
  <si>
    <t>Design of a Customer Hostel Management System Prototype Using the Concept of Customer Relationship Management (CRM) Santai Sini Hostel Yogyakarta</t>
  </si>
  <si>
    <t>johan1800016018@webmail.uad.ac.id</t>
  </si>
  <si>
    <t>Audit Sistem Informasi Pelaporan ‘Aisyiyah Menggunakan COBIT 5 Pada Pimpinan Pusat ‘Aisyiyah</t>
  </si>
  <si>
    <t>Aisyiyah Reporting System Audit Using COBIT 5 for Pimpinan Pusat Aisyiyah</t>
  </si>
  <si>
    <t>081346298049</t>
  </si>
  <si>
    <t>Pencarian Data Digital pada Layanan Facebook Messenger berbasis Mobile</t>
  </si>
  <si>
    <t>Digital Data Search on Service Based on Facebook Messenger Mobile</t>
  </si>
  <si>
    <t xml:space="preserve">Analisis Keamanan Web Server Terhadap Serangan Cross Site Scripting (XSS) Menggunakan Penetration Testing </t>
  </si>
  <si>
    <t>Web Server Security Analysis Against Cross Site Scripting (XSS) Attacks using Penetration Testing</t>
  </si>
  <si>
    <t>Pencarian Data Prostitusi Online pada Layanan MiChat Berbasis Mobile</t>
  </si>
  <si>
    <t>Online Prostitution Data Search on Mobile-Based MiChat Services</t>
  </si>
  <si>
    <t>088227300296</t>
  </si>
  <si>
    <t>Penilaian Keamanan Informasi Pada Layanan Surat Menggunakan Indeks KAMI 4.2</t>
  </si>
  <si>
    <t>Assessment of Information Security in Mail Service Using KAMI Index 4.2</t>
  </si>
  <si>
    <t>13.00 - 14.30</t>
  </si>
  <si>
    <t>Analisis Manajemen Risiko Pada Learning Management System (LMS) Menggunakan Framework Octave Allegro</t>
  </si>
  <si>
    <t>Analysis of Risk Management on Learning Management System using Octave Allegro Framework</t>
  </si>
  <si>
    <t>Analysis of Risk Management Digital Library Services using Octave Allegro Framework</t>
  </si>
  <si>
    <t>Analisis Penilaian Risiko pada Layanan Zakat Menggunakan Framework COBIT 5</t>
  </si>
  <si>
    <t>Analysis of Risk Assessment on Zakat Services using COBIT 5 Framework</t>
  </si>
  <si>
    <t>Analisis Penilaian Risiko pada Layanan Sistem Informasi Medis menggunakan Framework COBIT 5</t>
  </si>
  <si>
    <t xml:space="preserve">Risk Assessment Analysis of Medical Information System Services using COBIT 5 Framework </t>
  </si>
  <si>
    <t>Designing a Advisory Lecturer Chatbot With Dialogflow Using the LINE Platform</t>
  </si>
  <si>
    <t>Motorcycle Rental Application Development Using the Rapid Application Development (RAD) Method Case Study Frent Jogja</t>
  </si>
  <si>
    <t>081295266847</t>
  </si>
  <si>
    <t>Analisis dan Perbaikan Proses Bisnis Pada Layanan Pusat Pengembangan Karir di BIMAWA-UAD Menggunakan Metode Business Proccess Improvement (BPI)</t>
  </si>
  <si>
    <t>Business Process Analysis and Improvement at Career Development Center Services at BIMAWA-UAD Using the Business Process Improvement (BPI) Method</t>
  </si>
  <si>
    <t>Muhammad Azhar Rizki</t>
  </si>
  <si>
    <t>Sistem Informasi Akademik SD Muhammadiyah Bogor Berbasis Web</t>
  </si>
  <si>
    <t>Web-Based SD Muhammadiyah Bogor Academic Information System</t>
  </si>
  <si>
    <t>Perancangan Prototipe Sistem Informasi Manajemen Data Pasien Pada Klinik Gigi Yoshi. H Reskiasih Yogyakarta</t>
  </si>
  <si>
    <t>Design Prototype Management Information System Patient Data At The Dental Clinic Yoshi. H. Reskiasih Yogyakarta</t>
  </si>
  <si>
    <t>Pengembangan Boardgame berbasis Android menggunakan Metode Digital Game Based Learning-Instructional Design
Studi Kasus Pembuatan Boardgame di Kok-Bisa?</t>
  </si>
  <si>
    <t>Android-based Boardgame Development using the Digital Game Based Learning-Instructional Design Method
A Case Study of Making Boardgames in Kok-bisa?</t>
  </si>
  <si>
    <t>suryanto1700016060@webmail.uad.ac.id</t>
  </si>
  <si>
    <t>Analisis Penilaian Risiko Layanan Layanan Customer Service Menggunakan Framework COBIT 5</t>
  </si>
  <si>
    <t>Analysis of Risk Assessment on Customer Services using COBIT 5 Framework</t>
  </si>
  <si>
    <t>09:00 - 11:00</t>
  </si>
  <si>
    <t>Rancangan Antarmuka Aplikasi Pencari Pekerja Rumah Tangga Berbasis Mobile Menggunakan Metode User Centered Design (UCD)</t>
  </si>
  <si>
    <t>Interface Design for Mobile-based Domestic Worker Finder Application Using User Centered Design Method (UCD)</t>
  </si>
  <si>
    <t>Sistem Informasi Perpustakaan Berbasis Web Studi Kasus SD Aisyiyah Prambanan</t>
  </si>
  <si>
    <t>Web-Based Library Information System Case Study Of SD Aisyiyah Prambanan</t>
  </si>
  <si>
    <t>Web-Based Academic Information System Aisyiyah Elementary School Prambanan Case Studies</t>
  </si>
  <si>
    <t>08:30 - 10:30</t>
  </si>
  <si>
    <t>Pengembangan Sistem Pencatatan Penjualan Berbasis Web Pad Jco Jci DIY</t>
  </si>
  <si>
    <t>Development of Web-Based Sales Recording System for Jco Jci DIY</t>
  </si>
  <si>
    <t>Introduction of Animals with Augmented Reality Technology as Learning Media for Kindergarten or Early Childhood Education</t>
  </si>
  <si>
    <t>Classification of Spyware Based on Privacy Policy Using the SVM Method</t>
  </si>
  <si>
    <t>09.30-11.30</t>
  </si>
  <si>
    <t>Pengembangan sistem penjualan berbasis web studi kasus Rumaysho Store</t>
  </si>
  <si>
    <t>Rumaysho Store case study web-based sales system development</t>
  </si>
  <si>
    <t>Perancangan Prototipe Aplikasi Jual Beli Barang Bekas untuk Mahasiswa Daerah Yogyakarta dengan Metode User-Centered Design</t>
  </si>
  <si>
    <t>Prototype Design of Used Goods Buying and Selling Applications for Yogyakarta Regional Students with the User-Centered Design Method</t>
  </si>
  <si>
    <t>Analisis Kepuasan Pengguna Dalam Transaksi Belanja Online pada Aplikasi Manna Kampus Menggunakan Metode EUCS</t>
  </si>
  <si>
    <t>Analysis of User Satisfaction In Online Shopping Transactions On Campus Manna Application Using EUCSMethod</t>
  </si>
  <si>
    <t>rizki1600016104@webmail.uad.ac.id</t>
  </si>
  <si>
    <t>Analisis Keamanan Repository Website Dari Serangan Cross-Site Scripting (XSS) Menggunakan Framework OWASP</t>
  </si>
  <si>
    <t>Analysis of Repository Website Security Against Cross-site Scripting (XSS) Attacks Using the OWASP Framework</t>
  </si>
  <si>
    <t>Perancangan Ulang Antarmuka Pengguna Aplikasi Manna Kampus Menggunakan Metode User Centered Design</t>
  </si>
  <si>
    <t>User Interface Redesign Manna Kampus Application Using User Centered Design Method</t>
  </si>
  <si>
    <t>Perancangan User Interface Aplikasi E-Ticket Sebagai Inovasi Digitalisasi Pariwisata Di NTB Guna Meningkatkan Tourism Experience Dengan Metode Design Thinking</t>
  </si>
  <si>
    <t>Designing E-Ticket Application User Interface Design as Tourism Digitalization Innovation in NTB to Improve Tourism Experience Design Thinking Method</t>
  </si>
  <si>
    <t>13.30 - 15.30</t>
  </si>
  <si>
    <t>Designing user experience of Gold Investment Features Using Design Thinking Method on Amartha Application</t>
  </si>
  <si>
    <t>Prototype Sistem Informasi Rekanan (SIMRE) Berbasis Web Menggunakan Metode Unified Software Development Process (USDP) di Istana Kepresidenan Yogyakarta</t>
  </si>
  <si>
    <t xml:space="preserve">Prototype of a Web-Based Associate Information System (SIMRE) Using the Unified Software Development Process (USDP) Method at the Presidential Palace Yogyakarta </t>
  </si>
  <si>
    <t>Evaluation of the Hospital Management Information System on Medical Records Division at RSUD Kota Yogyakarta Using HOT-Fit Method</t>
  </si>
  <si>
    <t xml:space="preserve">Prodi </t>
  </si>
  <si>
    <t xml:space="preserve">User Readiness Level Analysis of PoJeks Using TRI (Technology Readiness Index) </t>
  </si>
  <si>
    <t>Redesign User Interface and User Experience Portal Akademik UAD Mobile Based using Design Thinking Method</t>
  </si>
  <si>
    <t xml:space="preserve">13.00 - 15.00 </t>
  </si>
  <si>
    <t>Ahmad Ro'ul Ma'rufi</t>
  </si>
  <si>
    <t>Perancangan Ulang User Interface Fitur Layanan Konsultasi Belajar Siswa Pada Aplikasi Jogja Smart Service Menggunakan Metode User Centered Design</t>
  </si>
  <si>
    <t>Redesign of User Interface for Student Learning Consulting Service Features in the Jogja Smart Service Application Using the User Centered Design Method</t>
  </si>
  <si>
    <t>R. Prodi</t>
  </si>
  <si>
    <t>Perancangan Ulang Antarmuka Website GrabExpress Ditinjau dari Tim Order Menggunakan Metode User-Centered Design</t>
  </si>
  <si>
    <t>Redesign of the GrabExpress Website Interface from the Order Team Using the User Centered Design Method</t>
  </si>
  <si>
    <t>shofiyah salamah</t>
  </si>
  <si>
    <t>Perancangan Ulang Antarmuka pada Aplikasi ijogja dengan menggunakan Metode User Centered Design (UCD)</t>
  </si>
  <si>
    <t>Redesign of the ijogja Application Using the User Centered Design Method</t>
  </si>
  <si>
    <t>Integrasi Basis Data ke Situs Web 3D Untuk Media Promosi Toko Furnitur</t>
  </si>
  <si>
    <t>Database Integration to 3D Website For Furniture Store Promotion Media</t>
  </si>
  <si>
    <t>Model Pengelolaan Layanan Publik di Kabupaten Lombok Timur Berdasarkan SPBE 2020</t>
  </si>
  <si>
    <t>Modeling Public Service Management Model in East Lombok Regency Based on SPBE 2020</t>
  </si>
  <si>
    <t>Redesign user interface dan user experience sistem Informasi pemerintah kelurahan leneng (simple) berbasis web menggunakan metode design thinking</t>
  </si>
  <si>
    <t>Redesign user interface and user experience of the leneng (simple) village government-based user design using the thinking design method</t>
  </si>
  <si>
    <t>Perancangan User Interface Aplikasi Panduan dan Reservasi Pendakian Gunung Berbasis Mobile Menggunakan Metode Design Thinking</t>
  </si>
  <si>
    <t>Designing a Mobile-Based Mountaineering Guide and Reservation Application User Interface Using the Design Thinking Method</t>
  </si>
  <si>
    <t>User Interface Design Marketplace UMKM Batik Using Design Thinking Method</t>
  </si>
  <si>
    <t>Prototype Design for Booking Tourist Tickets in Ogan Komering Ulu Regency Using the Design Thinking Method</t>
  </si>
  <si>
    <t>Cindy Antika</t>
  </si>
  <si>
    <t>Analysis of Application User Satisfaction JogjaLowker Using the EUCS Method</t>
  </si>
  <si>
    <t>Analysis of Application User Satisfaction Jogja Kita Using The EUCS Method</t>
  </si>
  <si>
    <t>Pengembangan Sistem Informasi Pemesanan Makanan Dan Minuman Menggunakan Konsep Self Service Technology</t>
  </si>
  <si>
    <t>Development of Restaurant Ordering System Using Self Service Technology Concept</t>
  </si>
  <si>
    <t>Risk Management Analysis of INLISLite using COBIT 5 Framework</t>
  </si>
  <si>
    <t>081111110870</t>
  </si>
  <si>
    <t>Designing Academic Activities Using Enterprise Resource Planning (ERP) Concepts
Senior High School 1 Garawangi Case Studies</t>
  </si>
  <si>
    <t>Pengembangan Sistem Informasi Pemetaan Lokasi Base Transceiver Station Berbasis Web</t>
  </si>
  <si>
    <t>Development of Web-Based Base Transceiver Station Location Mapping Information System</t>
  </si>
  <si>
    <t>13.00 - 15.01</t>
  </si>
  <si>
    <t>Perancangan Ulang Desain UI/UX Pada Aplikasi“JOGJALOWKER” Berbasis Mobile Dengan Metode Design Thinking</t>
  </si>
  <si>
    <t>Redesign the UI/UX for the Jogjalowker application based on Mobile by design thinking method</t>
  </si>
  <si>
    <t>Kamis, 16 February 2023</t>
  </si>
  <si>
    <t>Evaluation of the Implementation of an Electronic-Based Government System in the Policy Domain in Kotabaru District</t>
  </si>
  <si>
    <t>Jumat, 17 Februari 2023</t>
  </si>
  <si>
    <t>Perancangan Enterprise Architecture Planning Untuk Stock Inventory Control di Kafe Bento Kopi</t>
  </si>
  <si>
    <t>Enterprise Architecture Planning Design for Stock Inventory Control at Bento Kopi Cafe</t>
  </si>
  <si>
    <t>Senin, 20 Februari 2023</t>
  </si>
  <si>
    <t>Perancangan Ulang User Interface Aplikasi Manna Kampus Menggunakan Metode Design Thinking</t>
  </si>
  <si>
    <t>Redesigning User Interface of Manna Kampus Application Using Design Thinking Method</t>
  </si>
  <si>
    <t xml:space="preserve">Jumat, 17 Februari 2023 </t>
  </si>
  <si>
    <t>ina1800016023@webmail.uad.ac.id</t>
  </si>
  <si>
    <t>Pengembangan Sistem Inventory Barang Berbasis Web Dengan Metode Rapid Application Development (Studi Kasus Lab TKJ SMKN 1 Saptosari)</t>
  </si>
  <si>
    <t>Web-Based Goods Inventory System With Rapid Application Development Method
(A Case Study Of Lab TKJ SMKN 1 Saptosari)</t>
  </si>
  <si>
    <t>aisyah1800016134@webmail.uad.ac.id</t>
  </si>
  <si>
    <t xml:space="preserve">Analisis Kualitas Website Pencarian Kerja Menggunakan Metode Webqual 4.0
Studi Kasus Loker Jogja
</t>
  </si>
  <si>
    <t xml:space="preserve">Analysis Of The Quality of Job Search Websites Using the Webqual 4.0 Method
Scheduling Lectures LokerJogja
</t>
  </si>
  <si>
    <t>Jumat , 03 MAret 2023</t>
  </si>
  <si>
    <t>Analisis E-readiness Dalam Rangka Implementasi Sistem Informasi Akademik di SD Muhammadiyah Bogor Playen Menggunakan Framework STOPE</t>
  </si>
  <si>
    <t>E-Readiness Analysis for Implementation of Academic Information Systems at SD Muhammadiyah Bogor Playen Using the STOPE Framework</t>
  </si>
  <si>
    <t>Analysis of Risk Management Information System Data Using the COBIT 5 Framework</t>
  </si>
  <si>
    <t>Sistem Informasi Geografis Pemetaan Penduduk Desa Geneng Berbasis Web</t>
  </si>
  <si>
    <t>Web Geographic Information System for Mapping the Distribution of Geneng Villagers</t>
  </si>
  <si>
    <t>laa1800016052@webmail.uad.ac.id</t>
  </si>
  <si>
    <t>Analisis Tingkat Keberhasilan Aplikasi Perpustakaan Digital Apo Buek Menggunakan Model HOT Fit</t>
  </si>
  <si>
    <t>Analysis of the Success Rate of the Apo Buek Digital Library Application Using the HOT Fit Model</t>
  </si>
  <si>
    <t>Interaction System Factors Influencing The Effectiveness Of Facebook Advertisement</t>
  </si>
  <si>
    <t>0895401504911 (Whatsapp)</t>
  </si>
  <si>
    <t>Analysis of Risk Management on DAPODIK System Services using OCTAVE Allegro Framework</t>
  </si>
  <si>
    <t xml:space="preserve">
Perancangan User Interface dan User Experience Aplikasi Jasa Bersih Rumah   Menggunakan Metode Design Thinking</t>
  </si>
  <si>
    <t>Designing User Interface and User Experience of House Cleaning Service Application Using Design Thinking Method</t>
  </si>
  <si>
    <t xml:space="preserve">09.00 - 11.00 </t>
  </si>
  <si>
    <t>Sistem Informasi Penggajian Berbasis Web di Kantor Notaris Sutarna, S.H. Menggunakan Metode Waterfall</t>
  </si>
  <si>
    <t>Web-Based Payroll Information System At Notary Office Sutarna, S.H. Using the Waterfall Method</t>
  </si>
  <si>
    <t>08.30 - 10.30</t>
  </si>
  <si>
    <t xml:space="preserve">Analisis Penilaian Risiko Pada Website PT. Mandatech Menggunakan Framework 
OCTAVE Allegro
</t>
  </si>
  <si>
    <t>Risk Assesment Analysis on Website Service using Octave Allegro Framework</t>
  </si>
  <si>
    <t>10.00 - 11.30</t>
  </si>
  <si>
    <t>Ruang Sidang Lab</t>
  </si>
  <si>
    <t>ndonik1700016027@webmail.uad.ac.id</t>
  </si>
  <si>
    <t>081393719861</t>
  </si>
  <si>
    <t>Rancang Bangun Sistem Informasi Pengelolaan Laporan Penyuluhan Pada Balai Penyuluhan Pertanian (BPP)</t>
  </si>
  <si>
    <t>Design And Development Of Information Systems For Extension Report Management At Agricultural Extension Center (BPP)</t>
  </si>
  <si>
    <t>Muh. Chairul Rasyiddin</t>
  </si>
  <si>
    <t xml:space="preserve">Analisis Dan Desain Sistem Informasi Knowledge Management System Menggunakan Metode UCD
Studi Kasus PT.SevenInc
</t>
  </si>
  <si>
    <t>Analysis and Design of Knowledge Management System Information Systems Using the UCD Method
Case Study PT.SevenInc</t>
  </si>
  <si>
    <t>Ruang sidang Lab</t>
  </si>
  <si>
    <t>+6285722382371</t>
  </si>
  <si>
    <t>Pengembangan REST API pada Sistem Informasi Pameran Studi Kasus Pameran Final Project Exhibition</t>
  </si>
  <si>
    <t>Development of REST API on Exhibition Information System Case Study Exhibition Final Project Exhibition</t>
  </si>
  <si>
    <t>Sistem Informasi Pengolahan Nilai Harian SDN 1 Warga Mulya Berbasis Web</t>
  </si>
  <si>
    <t>Web Based Daily Value Processing Information System of SDN 1 Warga Mulya</t>
  </si>
  <si>
    <t>dhea1800016091@webmail.uad.ac.id</t>
  </si>
  <si>
    <t xml:space="preserve">Implementasi K-Nearest Neighbor Untuk Sentimen Analisis Ulasan Objek Wisata Kulon Progo Berdasarkan Data Sosial Media Instagram </t>
  </si>
  <si>
    <t>Implementation of K-Nearest Neighbor for Sentiment Analysis of Kulon Progo Tourism Object Reviews Based on Instagram Social Media Data</t>
  </si>
  <si>
    <t xml:space="preserve">devaldi1900016041@webmail.uad.ac.id </t>
  </si>
  <si>
    <t>Klasifikasi Sampah Organik Dan Anorganik Dengan Metode Convolutional Neural Network (CNN)</t>
  </si>
  <si>
    <t>Classification of Organic and Inorganic Waste Using Convolutional Neural Network (CNN) Method</t>
  </si>
  <si>
    <t>Puji Prakoso</t>
  </si>
  <si>
    <t>Perancangan User Experience (UX) Aplikasi Lelang Ikan Cupang Berbasis Mobile Menggunakan Metode Design Thinking</t>
  </si>
  <si>
    <t>Mobile-Based Betta Fish Auction Application (UX) Design Using the Design Thinking Method</t>
  </si>
  <si>
    <t>Aprizal1700016074@webmail.uad.ac.id</t>
  </si>
  <si>
    <t>Perancangan Ulang Sistem Informasi Penerimaan Mahasiswa Baru Universitas Aisyiyah Yogyakarta Dengan Metode User Centered Design</t>
  </si>
  <si>
    <t>Information System Redesign Admission of New Student Yogyakarta Aisyiyah University With The user Centered Design Method</t>
  </si>
  <si>
    <t>DOCUMENTATION OF KTA 'AISYIYAH APPLICATIONS USING REVERSE ENGINEERING METHODS</t>
  </si>
  <si>
    <t>Perancangan Prototipe Aplikasi  M-Learning Untuk Meningkatkan Kemampuan Berbahasa Inggris Menggunakan Metode Design Thinking</t>
  </si>
  <si>
    <t>Designing a Prototype Application for M-Learning to Enhance English Language Proficiency Using the Design Thinking Method</t>
  </si>
  <si>
    <t>Analisis Sentimen Pada Deskripsi Postingan Instagram untuk Menentukan Tingkat Popularitas Destinasi Wisata Kota Yogyakarta</t>
  </si>
  <si>
    <t>Sentiment Analysis on Instagram Feed Description to Determine the Popularity Level of Destinations in the City of Yogyakarta</t>
  </si>
  <si>
    <t>alfareza1600016121@webmail.uad.ac.id</t>
  </si>
  <si>
    <t>Perancangan Prototipe User Interface (UI) Sistem Informasi Desa Berbasis Web Menggunakan Metode User Centered Design (UCD) Studi Kasus Desa Penganjang, Kecamatan Sindang, Kabupaten Indramayu Jawa Barat</t>
  </si>
  <si>
    <t>Design of a User Interface (UI) Prototype for a Web-Based Village Information System Using the User-Centered Design (UCD) Method. A Case Study of Penganjang Village, Sindang Sub-district, Indramayu Regency, West Java</t>
  </si>
  <si>
    <t>DINDA DEWANI KHAIRUNNISA RAHARDYANI</t>
  </si>
  <si>
    <t>Penerapan Algoritma Klasifikasi Decision Tree untuk Rekomendasi Jurusan Siswa Pada SMA N 1 Pati dengan Tes Bakat Minat</t>
  </si>
  <si>
    <t>Application of the Decision Tree Classification Algorithm for Recommendation of Student Majors at SMA N 1 Pati with the Interest Aptitude Test</t>
  </si>
  <si>
    <t xml:space="preserve">Mohammad ridho Fachrurrozi </t>
  </si>
  <si>
    <t>Mohammad1600016033@webmail.uad.ac.id</t>
  </si>
  <si>
    <t>0895359065778</t>
  </si>
  <si>
    <t xml:space="preserve">Pencarian data kasus Eksibisionis pada Facebook Messenger Berbasis Android </t>
  </si>
  <si>
    <t>search for Exhibitionist case data on Android-Based Facebook Messenger</t>
  </si>
  <si>
    <t>Development of a Web-Based Population Administration Service System</t>
  </si>
  <si>
    <t>Perancangan UI/UX Pengelolaan Kamar Kost Berbasis Website Pada Lily Kost Menggunakan Metode User-Centered Design</t>
  </si>
  <si>
    <t>UI/UX Design for Website-Based Boarding Room Management at Lily Boarding House Using the User-Centered Design Method</t>
  </si>
  <si>
    <t>Farid Suryanto, S.Pd-., MT.</t>
  </si>
  <si>
    <t>User Interface Design for Administrative Services of the Faculty of Applied Science and Technology Ahmad Dahlan University Using the Human-Centered Design Method</t>
  </si>
  <si>
    <t>15.00 - 17.00</t>
  </si>
  <si>
    <t>Perancangan Ulang Antarmuka Berupa Sistem E-Learning MTs Darul Ma’arif Jakarta Menggunakan Metode User-Centered Design</t>
  </si>
  <si>
    <t>Redesign Userinterface E-Learning MTs Darul Ma’arif Jakarta Using User-Centered Design Method</t>
  </si>
  <si>
    <t>Designing the User Interface for the Tirtohargo Village Mailing Application Using the User Centered Design (UCD) Method</t>
  </si>
  <si>
    <t>Ruang SIdang Lab</t>
  </si>
  <si>
    <t>SATRIO PRATAMA PUTRA</t>
  </si>
  <si>
    <t>satrio1600016040@gmail.com</t>
  </si>
  <si>
    <t>0895330120400</t>
  </si>
  <si>
    <t>Sistem Informasi E-learning Berbasis WEB</t>
  </si>
  <si>
    <t>WEB-Based E-learning Information System</t>
  </si>
  <si>
    <t>Analisis Kepuasan Pengguna Aplikasi Si Yokca Menggunakan Metode EUCS</t>
  </si>
  <si>
    <t>Analysis of Application User Satisfaction Si Yokca” Using The EUCS Method</t>
  </si>
  <si>
    <t>Perbandingan Keamanan Autentikasi Layanan Sistem Informasi Bimbingan Konseling Menggunakan Teknologi Blockchain</t>
  </si>
  <si>
    <t>Comparison of Authentication Security for Counseling Information System Services Using Blockchain Technology</t>
  </si>
  <si>
    <t>Analisis Penilaian Risiko pada Sistem Informasi Transpotasi Maxim Menggunakan  Cobit 5</t>
  </si>
  <si>
    <t>Analysis Evaluation Risk on System Information Maxim Transportation Using Cobit 5</t>
  </si>
  <si>
    <t>Wahyu1600016113@webmail.uad.ac.id</t>
  </si>
  <si>
    <t>Penilaian Risiko Sistem Informasi Perpustakaan Daerah Kabupaten Kebumen Menggunakan Framework OCTAVE Allegro</t>
  </si>
  <si>
    <t>Risk Assessment Of Regional Library Information System Using OCTAVE Allegro Framework</t>
  </si>
  <si>
    <t>Uvaluasi Kualitas Website Jogja Smart Service (JSS) Menggunakan Metode Webqual 4.0</t>
  </si>
  <si>
    <t>Evaluation The Quality of the Jogja Smart Service the Webqual 4.0 Method</t>
  </si>
  <si>
    <t>Perancangan Aplikasi Mobile untuk Gaya Hidup Sehat Remaja menggunakan Gamifikasi dengan Metode Design Thinking</t>
  </si>
  <si>
    <t>Mobile Application Design for Healthy Teenage Lifestyle using Gamification with Design Thinking Method</t>
  </si>
  <si>
    <t>Perbaikan Proses Bisnis Layanan Berbasis IT Tingkat Fakultas Menggunakan Metode Business Process Improvement (BPI)</t>
  </si>
  <si>
    <t>IT-Based Services Business Process Improvement Faculty Level Using the Business Process Improvement (BPI)</t>
  </si>
  <si>
    <t>AHMAD NUR ROFI</t>
  </si>
  <si>
    <t>Perancangan User Interface dan User Experience Pada Aplikasi Task Management Untuk Sistem Remote Working Menggunakan Metode Design Thinking</t>
  </si>
  <si>
    <t>User Interface and User Experience Design in Task Management Application for Remote Working System Using Design Thinking Method</t>
  </si>
  <si>
    <t>Analisis Manajemen Risiko pada Sistem Informasi Rumah Sakit Menggunakan Framework COBIT 5</t>
  </si>
  <si>
    <t>Analysis of Risk Management in Information System Services Using the Cobit 5 Framework</t>
  </si>
  <si>
    <t xml:space="preserve">Sabtu, </t>
  </si>
  <si>
    <t>Analysis of Service Quality of Zoom Cloud Meetings Application Based on End-User Reviews with Text Mining Approach</t>
  </si>
  <si>
    <t>Perancangan Prototype Aplikasi E-Wallet dengan Sistem Pengelolaan Keuangan Menggunakan Metode Design Thinking</t>
  </si>
  <si>
    <t>Designing an E-Wallet Application Protoype with Financial Management Sytem Using Design Thinking Method</t>
  </si>
  <si>
    <t>13.00 - 15.00 WIB</t>
  </si>
  <si>
    <t>Analysis Requirements Portal UAD Information System Using The Value Preposition Canvas Method</t>
  </si>
  <si>
    <t>14.00 - 16.00 WIB</t>
  </si>
  <si>
    <t>Indri Sakinah Isma</t>
  </si>
  <si>
    <t xml:space="preserve">082135441632 (wa) 081929670074 (Telpon biasa) </t>
  </si>
  <si>
    <t>Model Layanan TI berkelanjutan untuk Keberlangsungan Layanan dengan Metode ITIL V.3 Service Design</t>
  </si>
  <si>
    <t>Continuous IT Service Model for Service Continuity with ITIL V.3 Service Design Method</t>
  </si>
  <si>
    <t>Pengembangan User Interface pada Website Widosari Mart UMKM Desa Wisata Widosari Kec. Ngargosari Kab. Kulon Progo DIY</t>
  </si>
  <si>
    <t>User interface Development on Website of Dewi Widosari Mart UMKM of Widosari Tourism Village with Design Thinking Method
Ngargosari sub-district, Kulon Progo district, DIY</t>
  </si>
  <si>
    <t>sri Handayaningsih, ST., MT.</t>
  </si>
  <si>
    <t>085952894016</t>
  </si>
  <si>
    <t xml:space="preserve">PERANCANGAN SISTEM INFORMASI PENDATAAN SERVIS MOBIL PADA BENGKEL ARYA MOBIL SERVIS (AMS). </t>
  </si>
  <si>
    <t>Design Of Car Service Data Collection Information System at Arya Car Service Workshop</t>
  </si>
  <si>
    <t>Perancangan User Interface dan User Experience Aplikasi Pemesanan Lapangan Futsal Menggunakan Metode Design Thinking</t>
  </si>
  <si>
    <t>User Interface and User Experience Design for Futsal Field
Booking Applications Using the Design Thinking Method</t>
  </si>
  <si>
    <t xml:space="preserve">Andita Dewi Rinaldi </t>
  </si>
  <si>
    <t>Analisis Penilaian Risiko Layanan Learning Management System menggunakan Metode ITIL V4</t>
  </si>
  <si>
    <t>Analysis of Learning Management System Service Risk Assessment using the ITIL V4 Methode</t>
  </si>
  <si>
    <t>081282228140</t>
  </si>
  <si>
    <t>Perancangan User Interface Aplikasi Penjualan Rumah Bersubsidi berbasis Mobile Menggunakan Metode Design Thinking (Studi Kasus PT. TULUS ASIH GROUP)</t>
  </si>
  <si>
    <t>Designing a Mobile-based Subsidized Home Sales Application User Interface Using the Design Thinking Method (Case Study PT. TULUS ASIH GROUP)</t>
  </si>
  <si>
    <t>PERANCANGAN SISTEM INFORMASI PEMESANAN DEKORASI PERNIKAHAN PADA USAHA SINGSING DEKORASI BERBASIS WEBSITE</t>
  </si>
  <si>
    <t>Designing an Information System for Ordering Wedding Decorations on a Website-Based Decoration Singsing Business</t>
  </si>
  <si>
    <t>Analisis Penilaian Risiko Teknologi Informasi pada Sistem Informasi Persuratan Menggunakan COBIT 5</t>
  </si>
  <si>
    <t>Analysis of Information Technology Risk Assessment in Mailing Information System using COBIT 5</t>
  </si>
  <si>
    <t>Pola Data Penjualan di Rumah Sehat dan Cantik Raihana Menggunakan Metode Algoritma Apriori</t>
  </si>
  <si>
    <t>Sales Data Patterns in Raihana Healthy and Beautiful Homes Using a priori Algorithm Method</t>
  </si>
  <si>
    <t>Risk Assessment Analysis on Population Administration Information System Using OCTAVE Allegro</t>
  </si>
  <si>
    <t>Pengembangan Captive Portal pada Layanan Hotspot Menggunakan Metode Simple Queue</t>
  </si>
  <si>
    <t>Captive Portal Development for Hotspot Services using Simple Queue Method</t>
  </si>
  <si>
    <t>fitriani1800016133@webmail.uad.ac.id</t>
  </si>
  <si>
    <t>Perancangan Desain User Interface Website PPDB SMA Taman Madya Ibu Pawiyatan Yogyakarta Menggunakan Metode Design Thinking</t>
  </si>
  <si>
    <t xml:space="preserve">User Interface PPDB Website Design For SMA Taman Madya Ibu Pawiyatan Yogyakarta
using Design Thinking Method </t>
  </si>
  <si>
    <t>Sistem Informasi Pembayaran SPP Berbasis Web Dengan Notifikasi WhatsApp Menggunakan Metode Pengembangan USDP (Unified Software Development Process) Studi Kasus Smk Muhammadiyah 2 Wuryantoro</t>
  </si>
  <si>
    <t>Information System of School Educational Fee Based on Web Via WhatsApp Notification by Using USDP (Unified Software Development Process) Development Method A Study Case of SMK Muhammadiyah 2 Wuryantoro</t>
  </si>
  <si>
    <t>Risk Assessment Analysis on Village Information System using COBIT 5</t>
  </si>
  <si>
    <t>Risk Assessment Analysis on Website using Framework OCTAVE Allegro</t>
  </si>
  <si>
    <t xml:space="preserve">09.30 - 11.00 </t>
  </si>
  <si>
    <t>Berliana Andzini Perdana</t>
  </si>
  <si>
    <t xml:space="preserve">Analisis Text Mining Kepuasan Model eServqual Pada Sentimen Aplikasi BSI Mobile  </t>
  </si>
  <si>
    <t>Text Mining Analysis of Satisfaction with the eServqual Model on BSI Mobile Application Sentiment</t>
  </si>
  <si>
    <t xml:space="preserve">15.00 - 16.30  </t>
  </si>
  <si>
    <t>081227442795</t>
  </si>
  <si>
    <t>Desain Proses Bisnis Pelayanan Publik Pada Sistem Informasi Desa Menggunakan Business Process Improvement Studi Kasus: Kalurahan Banguntapan</t>
  </si>
  <si>
    <t>Design of Public Service Business Processes in Village Information Systems Using Business Process Improvement Case Study: Kalurahan Banguntapan</t>
  </si>
  <si>
    <t xml:space="preserve">nurfikriyah1900016195@webmail.uad.ac.id </t>
  </si>
  <si>
    <t>082175900230</t>
  </si>
  <si>
    <t>Evaluasi Efektivitas Kebijakan Publik Program Analog Switch Off di Indonesia melalui Pendekatan Text Mining</t>
  </si>
  <si>
    <t>Evaluation of Public Policy Effectiveness of Analog Switch Off Program in Indonesia through Text Mining Approach</t>
  </si>
  <si>
    <t>Redesain Proses Bisnis Layanan Pasien Rawat Jalan di Puskesmas Banguntapan II Menggunakan Business Process Management</t>
  </si>
  <si>
    <t>Business Process Redesign of Outpatient Services at Banguntapan II Health Center Using Business Process Management</t>
  </si>
  <si>
    <t>Penerapan ISO/IEC 25010 dalam Pengujian Software GAMS pada Proyek PT Mandatech Mataram Mukti</t>
  </si>
  <si>
    <t>Application of ISO/IEC 25010 in GAMS Software Testing on PT Mandatech Mataram Mukti Project</t>
  </si>
  <si>
    <t>Risk Assessment Analysis in Production Management using the OCTAVE Allegro Framework</t>
  </si>
  <si>
    <t>17.30 - 19.00</t>
  </si>
  <si>
    <t>MUHAMAD IKHLAS RAMADHAN</t>
  </si>
  <si>
    <t>Development of a google services-based activity certificate management system</t>
  </si>
  <si>
    <t>Raihan</t>
  </si>
  <si>
    <t>Sistem Informasi  Pemetaan Persebaran Perguruan Tinggi di Yogyakarta Berbasis web</t>
  </si>
  <si>
    <t>Web-based Information System for Mapping the Distribution of Yogyakarta college</t>
  </si>
  <si>
    <t>07,00 - 08,30</t>
  </si>
  <si>
    <t>Sistem Informasi Geografis Pemetaan Objek Wisata Kabupaten Pacitan Berbasis Web</t>
  </si>
  <si>
    <t>Web-Based Geographic Information System for Pacitan Regency Tourist Object Mapping</t>
  </si>
  <si>
    <t>09,00 - 10,30</t>
  </si>
  <si>
    <t>Pemodelan Pelayanan Publik Menggunakan Framework ITIL Versi 3 di Kalurahan Banguntapan</t>
  </si>
  <si>
    <t>Public Service Modeling Using ITIL Framework Version 3 in Kalurahan Banguntapan</t>
  </si>
  <si>
    <t>07.00 - 08.30</t>
  </si>
  <si>
    <t>ferani1800016103@webmail.uad.ac.id</t>
  </si>
  <si>
    <t>Pengembangan Situs Web Pemasaran Produk Kulit UMKM (Studi Kasus Diby Leather)</t>
  </si>
  <si>
    <t>Development of MSME Leather Products Marketing Website (Diby Leather Case Study)</t>
  </si>
  <si>
    <t xml:space="preserve">10.30 - 12.00 </t>
  </si>
  <si>
    <t>082326150818</t>
  </si>
  <si>
    <t xml:space="preserve">Fitur 3D Semu Pada Situs Web Pemasaran 
Produk Kulit Diby Leather </t>
  </si>
  <si>
    <t>Pseudo 3D Features On Diby Leather Product marketing Website</t>
  </si>
  <si>
    <t>085351985500</t>
  </si>
  <si>
    <t>The Effect of Implementing Reminder Technology on Business Service Division Employee Performance Using the TOE Framework</t>
  </si>
  <si>
    <t>15.15 - 17.00</t>
  </si>
  <si>
    <t>Implementasi Search Engine Optimization (SEO) pada situs web Diby Leather</t>
  </si>
  <si>
    <t>Implementation of Search Engine Optimization (SEO) on the Diby Leather website</t>
  </si>
  <si>
    <t>muhammad1800016149@webmail.uad.ac.id</t>
  </si>
  <si>
    <t>Pengembangan Fitur Panel Kendali Admin untuk Situs Web Pemasaran Diby Leather</t>
  </si>
  <si>
    <t>Admin Control Panel Feature Development for Diby Leather Marketing Website</t>
  </si>
  <si>
    <t xml:space="preserve">15.30 - 17.00 </t>
  </si>
  <si>
    <t>Syauqi Rayhan Abqori</t>
  </si>
  <si>
    <t xml:space="preserve">syauqi1900016083@webmail.uad.ac.id </t>
  </si>
  <si>
    <t>PENGEMBANGAN E-LEARNING BERBASIS WEB MENGGUNAKAN METODE ADDIE PADA SMA NEGERI 3 CILACAP</t>
  </si>
  <si>
    <t>Development of Web Based E-Learning Using the ADDIE Method at SMA Negeri 3 Cilacap</t>
  </si>
  <si>
    <t>14,00 - 15,30</t>
  </si>
  <si>
    <t>Rahmi Maulidiyah</t>
  </si>
  <si>
    <t>Pengembangan Sub-Sistem Basis Data di Situs Pemasaran Diby Leather</t>
  </si>
  <si>
    <t>Development of a Database Subsystem for the Diby Leather Marketing Website</t>
  </si>
  <si>
    <t>Ghiffari1711016096@webmail.uad.ac.id</t>
  </si>
  <si>
    <t>Perancangan Ulang Antarmuka Aplikasi Nulis Aksara Jawa menggunakan Metode User Centered Design</t>
  </si>
  <si>
    <t>Redesigning the User Interface of the Javanese Script Writing Application using the User-Centered Design Methodology</t>
  </si>
  <si>
    <t>Perancangan Sistem Informasi Manajemen Program Magang PT Inamas Sintesis Teknologi Berbasis Website Menggunakan Metode Waterfall</t>
  </si>
  <si>
    <t>Design of Information System Management Program Internship PT Inamas Sintesis Teknologi Website-Based Using Waterfall Method</t>
  </si>
  <si>
    <t>Desi Agustin</t>
  </si>
  <si>
    <t>desi1800016148@webmail.uad.ac.id</t>
  </si>
  <si>
    <t>Pengembangan Fitur Transaksi pada Situs  Web Penjualan Diby Leather</t>
  </si>
  <si>
    <t>Development of Transaction Features on Diby Leather Sales Website</t>
  </si>
  <si>
    <t>wa.me/+6282273177594</t>
  </si>
  <si>
    <t>Evaluation of the Ahmad Dahlan University Student’s Election Website Using the Use Questionnaire Method</t>
  </si>
  <si>
    <t>Ruang Sidang Lab Multimedia</t>
  </si>
  <si>
    <t>PENGUKURAN DOMAIN EFFICIENCY PADA PIECES FRAMEWORK BERDASARKAN ANALISA SENTIMEN</t>
  </si>
  <si>
    <t>MEASUREMENT OF DOMAIN EFFICIENCY IN PIECES FRAMEWORK BASED ON SENTIMENT ANALYSIS</t>
  </si>
  <si>
    <t>Prediksi Angka Kemiskinan Daerah Istimewa Yogyakarta menggunakan Data Time Series dengan ARIMA</t>
  </si>
  <si>
    <t>Prediction of the Poverty Rate in the Special Region of Yogyakarta Using Time Series Data with ARIMA</t>
  </si>
  <si>
    <t xml:space="preserve">savitri1900016001@webmail.uad.ac.id </t>
  </si>
  <si>
    <t>Sistem Informasi Penjualan Online Batik Berbasis Web Menggunakan Metode Waterfall Pada Toko Trilisan Batik</t>
  </si>
  <si>
    <t>Web-Based Online Batik Sales Information System Using the Waterfall Method at the Trilisan Batik Store</t>
  </si>
  <si>
    <t>Pengukuran Domain Performance pada PIECES Framework Berdasarkan Analisis Sentiment</t>
  </si>
  <si>
    <t>Domain Performance Measurement in PIECES Framework Based On Sentiment Analysis</t>
  </si>
  <si>
    <t xml:space="preserve">13.00 - 14.30 </t>
  </si>
  <si>
    <t xml:space="preserve">Penerapan Latent Dirichlet Allocation (LDA) untuk Analisis Kebutuhan Pengguna pada Tahap Empathize </t>
  </si>
  <si>
    <t>Implementation of Latent Dirichlet Allocation (LDA) for User Requirement Analysis at the Empathize Step</t>
  </si>
  <si>
    <t>085229425025</t>
  </si>
  <si>
    <t>Redesign User Interface BCA Mobile Application using Design Thinking Method</t>
  </si>
  <si>
    <t>09.00 - 10.30</t>
  </si>
  <si>
    <t>Pengukuran Dimensi Ease of Use dan Timeliness Framework EUCS berdasarkan Analisis Sentimen</t>
  </si>
  <si>
    <t>The Measurement of the Ease of Use and Timeliness Dimensions in the EUCS Framework based on Sentiment Analysis</t>
  </si>
  <si>
    <t>14.30 - 16.00</t>
  </si>
  <si>
    <t>Perancangan UI/UX Aplikasi Mobile Perpustakaan Digital Menggunakan Metode User Centered Design (UCD) Studi Kasus Perpustakaan Universitas Ahmad Dahlan</t>
  </si>
  <si>
    <t>Designing UI/UX of Digital Library Mobile Application Using User-Centered Design (UCD) Method Case Study of Ahmad Dahlan University Library</t>
  </si>
  <si>
    <t>-Pengukuran Domain Security Pada PIECES Framework Berdasarkan Analisis Sentimen</t>
  </si>
  <si>
    <t>Security Domain Measurement in the PIECES Framework Based on Sentiment Analysis</t>
  </si>
  <si>
    <t xml:space="preserve">Sari Aminatul Muslimah </t>
  </si>
  <si>
    <t>Sistem Pendukung Keputusan Pemilihan Karyawan Terbaik Menggunakan Metode Simple Additive Weighting  Studi Kasus Yatai Tori</t>
  </si>
  <si>
    <t>Decision Support System for the Best Employee Selection using the Simple Additive Weighting Method Yatai Tori Case Studies</t>
  </si>
  <si>
    <t>iwan Tri Riyadi Yanto, S.Si., M.IT., Ph.D.</t>
  </si>
  <si>
    <t>Suhendra Anang P</t>
  </si>
  <si>
    <t>Perancangan Ulang User Interface (UI) dan User Experience (UX) Menggunakan Metode Lean UX Studi Kasus Portal Akademik Universitas Ahmad Dahlan</t>
  </si>
  <si>
    <t>Redesigning the User Interface (UI) and User Experience (UX) Using the Lean UX Method Case Study of the Ahmad Dahlan University Academic Portal</t>
  </si>
  <si>
    <t>arif Rahman, Dr., S.Kom., M.T.</t>
  </si>
  <si>
    <t>Designing the User Interface and User Experience of the Putri Baby Spa Service Reservation Application using the User Centered Design Method</t>
  </si>
  <si>
    <t>Ferdyan Ananta Yudatama Irawan</t>
  </si>
  <si>
    <t>0822-9955-0781</t>
  </si>
  <si>
    <t xml:space="preserve">Analisis Penilaian Risiko Teknologi Informasi pada Klinik Gigi Menggunakan Framework COBIT 5 </t>
  </si>
  <si>
    <t xml:space="preserve">Information Technology Risk Assessment Analysis in Dental Clicks using COBIT 5 </t>
  </si>
  <si>
    <t>ANALISIS PENILAIAN RISIKO TEKNOLOGI INFORMASI PADA KOPERASI MENGGUNAKAN FRAMEWORK COBIT 5.</t>
  </si>
  <si>
    <t>Analysis of Information Technology Risk Assessment in  Cooperatives using COBIT 5 Framework.</t>
  </si>
  <si>
    <t>088224150249</t>
  </si>
  <si>
    <t>Pengukuran Domain Service Pada Framework PIECES Berdasarkan Analisis Sentimen</t>
  </si>
  <si>
    <t>Service Domain Measurement in PIECES Framework Based on Analysis Sentiment</t>
  </si>
  <si>
    <t>Analisis Penilaian Risiko pada Aplikasi Bumil-KU Menggunakan Framework COBIT 5 (Studi Kasus : Dinas Kesehatan Kabupaten Kulon Progo)</t>
  </si>
  <si>
    <t>Risk Assessment Analysis on Bumil-KU Application using COBIT 5 Framework (Case Study of Kulon Progo Regency Health Office)</t>
  </si>
  <si>
    <t>08.30-10.00</t>
  </si>
  <si>
    <t>Analisis Penilaian Risiko Digital Government Service Kesehatan Menggunakan Framework COBIT 5 (Studi kasus : Puskesmas Kasihan II Bantul)</t>
  </si>
  <si>
    <t>Risk Assessment Analysis of Digital Government Health Service Using COBIT 5 Framework (Case Study: Kasihan II Bantul Health Center)</t>
  </si>
  <si>
    <t>Analysis and Design of Mobile-based BISINDO DIY Applications Using the Unified Software Development Process Method</t>
  </si>
  <si>
    <t>YONA YOHANA</t>
  </si>
  <si>
    <t>Pengembangan Aplikasi Kamus BISINDO DIY berbasis Mobile Menggunakan Metode Unified Software Development Process</t>
  </si>
  <si>
    <t>Development of a Mobile-based BISINDO DIY Dictionary Application Using the Unified Software Development Process Method</t>
  </si>
  <si>
    <t>Perancangan Ulang Website Primbon Dinkominfo Kabupaten Banjarnegara Menggunakan Metode User Centered Design</t>
  </si>
  <si>
    <t>Redesign of the Primbon Dinkominfo Kabupaten Banjarnegara Website Using the User Centered Design Method</t>
  </si>
  <si>
    <t>Designing the User Interface of Ahmad Dahlan University's Digital Library Website Using Design Thinking</t>
  </si>
  <si>
    <t>Anggi Isna Khoirinnisa</t>
  </si>
  <si>
    <t>0895339168728</t>
  </si>
  <si>
    <t>Sistem Pendukung Keputusan Penerimaan
Be SMART Kota Madiun Menggunakan Metode Analytical Hierachy Process</t>
  </si>
  <si>
    <t>Decision Support System for Acceptance the Be SMART Madiun City Using Analytical Hierarchy Process Method</t>
  </si>
  <si>
    <t>Ruang Sidang</t>
  </si>
  <si>
    <t>Agnes1900016069@webmail.uad.ac.id</t>
  </si>
  <si>
    <t>082248050154</t>
  </si>
  <si>
    <t>Sistem Pendukung Keputusan Program Peneriman Prakerja Menggunakan Metode Simple Additive Weighting (SAW) di Kabupaten Sragen</t>
  </si>
  <si>
    <t>Decision Support System for Pre-Employment Admission Program Using Simple Additive Weighting (SAW) Method in Sragen Regency</t>
  </si>
  <si>
    <t xml:space="preserve">Ruang Sidang </t>
  </si>
  <si>
    <t>rafikah1900016150@webmail.uad.ac.id</t>
  </si>
  <si>
    <t>085600387715</t>
  </si>
  <si>
    <t>Sentimen Analisis Untuk Pengukuran Domain Content dan Format Pada Framework EUCS</t>
  </si>
  <si>
    <t>Sentimental Analysis for Domain Content and Format Measurement in the EUCS Framework</t>
  </si>
  <si>
    <t xml:space="preserve">12.30 - 14.00 </t>
  </si>
  <si>
    <t>Perancangan Prototype Aplikasi Thriftshop Berbasis Mobile Mengunakan Metode Design Thinking</t>
  </si>
  <si>
    <t>Designing Mobile-Based Thriftshop Application Prototype Using Design Thinking Method</t>
  </si>
  <si>
    <t xml:space="preserve">09.00 - 10.30 </t>
  </si>
  <si>
    <t>Analisa Perencanaan Enterprise Architecture DUPAK Online Pemerintahan Kota Yogyakarta dengan TOGAF ADM (Studi Kasus Pada DISKOMINFOSAN Kota Yogyakarta)</t>
  </si>
  <si>
    <t>Planning Analysis of Enterprise Architecture DUPAK Online Yogyakarta City Government with TOGAF ADM (Case Study at DISKOMINFOSAN Yogyakarta City)</t>
  </si>
  <si>
    <t>Analisa kepuasan pengguna sistem pengelolaan retribusi online pasar Kabupaten Sleman menggunakan metode End User Computing Satisfaction</t>
  </si>
  <si>
    <t>Analysis of user computing satisfaction of online tax management system in Sleman District using End User Computing Satisfaction Method</t>
  </si>
  <si>
    <t>Evaluasi Usabilitas dan Perancangan Ulang Aplikasi Teman Bus Menggunakan Metode Design Thinking</t>
  </si>
  <si>
    <t>Usability Evaluation and Redesigning of Teman Bus Application Using Design Thinking Method</t>
  </si>
  <si>
    <t>Analysis and Improvement of Business Processes in PPDB services at the Darul Ma'Arif School Foundation Using Business Process Improvement (BPI)</t>
  </si>
  <si>
    <t>An Analysis of CDC UAD Website Quality Using WebQual 4.0 and Importance Performance Analysis (IPA) Method</t>
  </si>
  <si>
    <t>12.30-14.00</t>
  </si>
  <si>
    <t>Vidha1900016068@webmail.uad.ac.id</t>
  </si>
  <si>
    <t>Sistem Pendukung Keputusan Penilaian Kinerja Guru menggunakan Metode SAW (Simple Additive Weighting) Studi kasus : SMPN 8 Madiun</t>
  </si>
  <si>
    <t>Decision Support System for Teacher Performance Evaluation using SAW Method (Simple Additive Weighting)  Case Study: SMPN 8 Madiun</t>
  </si>
  <si>
    <t>Prima Freshmart Website Quality Analysis for Users in Yogyakarta Using the Webqual 4.0 Method</t>
  </si>
  <si>
    <t>14.15 - 15.45</t>
  </si>
  <si>
    <t>Al Qarni Dhony Abdul Azis</t>
  </si>
  <si>
    <t xml:space="preserve">Perancangan user interface dan user experience pada aplikasi penunjang kegiatan LAZISMU NTB </t>
  </si>
  <si>
    <t>Designing User interface and user experience for LAZISMU NTB acrivity support application</t>
  </si>
  <si>
    <t>Pengembangan Enterprise Architecture Planning pada Poliklinik Pratama menggunakan Framework Zachman (Studi kasus: Poliklinik Pratama Daarus Shifa)</t>
  </si>
  <si>
    <t>Development of Enterprise Architecture Planning at Poliklinik Pratama by using Zachman Framework (Case Study: Poliklinik Pratama Daarus Shifa)</t>
  </si>
  <si>
    <t>Design UI/UX E-Commerce Applications On iDeviceStore Mobile Based Using User Centered Design Method</t>
  </si>
  <si>
    <t>Maulana Ibrahim</t>
  </si>
  <si>
    <t>085891254851</t>
  </si>
  <si>
    <t>Pengembangan Front End Aplikasi Pelaporan Kerusakan Fasilitas Umum Menggunakan Metode RAD: Strudi Kasus di Biro Sarana dan Prasarana UAD</t>
  </si>
  <si>
    <t>Front End Development of Public Facility Damage Reporting Application Using RAD Method: A Case Study at Biro Sarana dan Prasarana UAD</t>
  </si>
  <si>
    <t>Perancangan Gamifikasi pada Sistem Pelaporan Manajemen Inventaris Menggunakan Framework Octalysis untuk Meningkatkan Keterlibatan Pengguna Studi Kasus Biro Sarana dan Prasarana UAD</t>
  </si>
  <si>
    <t>Gamification Design on Inventory Management Reporting System Using Octalysis Framework to Improved User Engagement Case Study in Biro Sarana dan Prasarana UAD</t>
  </si>
  <si>
    <t>085174067973</t>
  </si>
  <si>
    <t>Perancangan UI/UX Sistem Informasi Penerbitan Buku Menggunakan Metode User Centered Design</t>
  </si>
  <si>
    <t>UI/UX Design of a Book Publishing Information System Using the User Centered Design Method</t>
  </si>
  <si>
    <t xml:space="preserve">Analisis Kualitas Website KPU Kota Yogyakarta dengan menggunakan Metode Webqual 4.0 </t>
  </si>
  <si>
    <t xml:space="preserve">Analysis of the Quality of the Yogyakarta City KPU Website using the Webqual 4.0 Method </t>
  </si>
  <si>
    <t>10.30 - 12.00</t>
  </si>
  <si>
    <t>081327281314</t>
  </si>
  <si>
    <t>Analisis Kualitas Aplikasi berbasis Website “SIMKATMUDA” menggunakan Metode Webqual 4.0 dan Importance Performance Analysis (IPA)</t>
  </si>
  <si>
    <t>Quality Analysis of "SIMKATMUDA" Web-based Application Using Webqual 4.0 Method and Importance Performance Analysis (IPA)</t>
  </si>
  <si>
    <t>Sentimen Analysis of Public Opinion about Ahmad Dahlan University via Twitter Using a BERT Method</t>
  </si>
  <si>
    <t>Arini Putri Anwar</t>
  </si>
  <si>
    <t>PENGUKURAN DOMAIN KUALITAS PELAYANAN PADA CUSTOMER SATISFACTION INDEX BERDASARKAN ANALISIS SENTIMEN</t>
  </si>
  <si>
    <t>MEASUREMENT OF SERVICE QUALITY DOMAIN ON CUSTOMER SATISFACTION INDEX BASED ON SENTIMENT ANALYSIS</t>
  </si>
  <si>
    <t>Octaviya dewi lestari</t>
  </si>
  <si>
    <t>Analisis Kepuasan Pengguna Website Inlis Di perpustakaan Menggunakan Metode Pieces
Studi Kasus Dinas Perpustakaan Dan Kearsipan Kota Madiun</t>
  </si>
  <si>
    <t>Analysis of User Satisfaction of the Inlis Website in the library Using the Pieces Method
Case Study of Madiun City Library and Archives Service</t>
  </si>
  <si>
    <t>085326059113</t>
  </si>
  <si>
    <t>Analysis of SIAKAD Universitas Halu Oleo (UHO) User Satisfaction in Student Academic Activities with the End-User Computing Satisfaction (EUCS) Method</t>
  </si>
  <si>
    <t>Audit Sistem Informasi Manajemen Puskesmas di Puskesmas Karangpucung I</t>
  </si>
  <si>
    <t>Audit of Information Management System Public Health Centre at Puskesmas Karangpucung I</t>
  </si>
  <si>
    <t>Ruang prodi</t>
  </si>
  <si>
    <t>Muhammad1900016100@webmail.uad.ac.id</t>
  </si>
  <si>
    <t xml:space="preserve">Audit Sistem Informasi Banking Training Center di PT. Simpul Reka Citra Menggunakan Framework COBIT 5
</t>
  </si>
  <si>
    <t>Audit of Banking Training Centre Information System in PT Simpul Reka Citra Using COBIT 5 Framework</t>
  </si>
  <si>
    <t xml:space="preserve">08.00 - 09.30 </t>
  </si>
  <si>
    <t>Syafiq Auliya Alqadri</t>
  </si>
  <si>
    <t>082325481512</t>
  </si>
  <si>
    <t>Pengembangan Sistem Informasi Penjualan Mebel Berbasis Website Dengan 
Metode Rapid Application Development</t>
  </si>
  <si>
    <t>Development of a Website-Based Furniture Sales Information System with
Rapid Application Development Method</t>
  </si>
  <si>
    <t>Pemodelan Pelayanan Farmasi di Rumah Sakit Umum Pekerja Menggunakan ITIL Versi 3</t>
  </si>
  <si>
    <t>Modeling of Pharmaceutical Services at the Workers' General Hospital Using ITIL Version 3</t>
  </si>
  <si>
    <t>Analisis Sentimen Grhatama Pustaka Pada Ulasan Google Maps Menggunakan Latent Dirichlet Allocation (LDA</t>
  </si>
  <si>
    <t>Grhatama Pustaka Sentiment Analysis on Google Maps 
Reviews Using Latent Dirichlet Allocation (LDA)</t>
  </si>
  <si>
    <t>Rizki Gusnando</t>
  </si>
  <si>
    <t>rizki1900016091@webmail.uad.ac.id</t>
  </si>
  <si>
    <t>Analisis Sentimen Caffe Bento Pada Ulasan Google Maps menggunakan metode latent dirichlet allocation (LDA)</t>
  </si>
  <si>
    <t xml:space="preserve">Caffe Bento Sentiment Analysis on Google Maps Reviews using the latent dirichlet allocation (LDA) method
</t>
  </si>
  <si>
    <t>Agung Darmawan</t>
  </si>
  <si>
    <t>Analisis Sentimen Suraloka Interactive Zoo pada Ulasan Google Maps Menggunakan
Latent Dirichlet Allocation (LDA)</t>
  </si>
  <si>
    <t>Sentiment Analysis Suraloka Interactive on Google Maps Reviews Using Latent
Dirichlet Allocation (LDA)</t>
  </si>
  <si>
    <t>Audit Sistem Informasi Manajemen Konten Digital Menggunakan COBIT 5 Studi Kasus: PT WOOLU AKSARA MAYA</t>
  </si>
  <si>
    <t>Digital Content Management Information System Audit Using COBIT 5 
Case Study: PT WOOLU AKSARA MAYA YOGYAKARTA</t>
  </si>
  <si>
    <t>Analisis Preferensi Pengguna Media Sosial X (Twitter) Terhadap Calon Presiden dan Wakil Presiden Indonesia Tahun 2024</t>
  </si>
  <si>
    <t>Analysis of Social Media X (Twitter) User Preferences for Indonesian Presidential and Vice Presidential Candidates in 2024</t>
  </si>
  <si>
    <t>Ilsa Nadya Adha</t>
  </si>
  <si>
    <t>082122536137</t>
  </si>
  <si>
    <t>Perangkingan Seleksi Beasiswa Presatasi Akademik UAD Dengan Simple Additive Weigthing (SAW)</t>
  </si>
  <si>
    <t>Ranking Selection of Beasiswa Preastasi Akademik (BPA) UAD with Simple Addtive Weighhting (SAW)</t>
  </si>
  <si>
    <t>Pengukuran Domain Economics Pada PIECES Framework Berdasarkan Analisis Sentimen</t>
  </si>
  <si>
    <t>Domain Economics User Satisfaction measurement on the PIECES Framework Based on Sentiment Analysis</t>
  </si>
  <si>
    <t>RAHMAD DAUD IBRAHIM</t>
  </si>
  <si>
    <t>Sistem Informasi Geografis Desa Samurangau Berbasis Web</t>
  </si>
  <si>
    <t>Web-Based Geografhic Information System For Samurangau Village</t>
  </si>
  <si>
    <t>salsabila1900016092@webmail.uad.ac.id</t>
  </si>
  <si>
    <t>Perancangan Ulang Design UI/UX Website /Kampung Batik Giriloyo Menggunakan Metode Design Thinking</t>
  </si>
  <si>
    <t>22/03/2023-</t>
  </si>
  <si>
    <t>Redesign UI/UX of Batik Giriloyo Village website Using Design Thingking Method</t>
  </si>
  <si>
    <t>+62 895-3926-56477</t>
  </si>
  <si>
    <t xml:space="preserve">Pengembangan Prototipe Sistem Informasi Manajemen Barang Pada Paguyuban Batik Tulis Giriloyo
</t>
  </si>
  <si>
    <t>Development of a Prototype of Goods Management Information System for Batik Tulis Giriloyo Association</t>
  </si>
  <si>
    <t>Mitigasi Risiko Sistem Informasi Desa pada Kalurahan Ambarketawang Menggunakan Framework COBIT 5</t>
  </si>
  <si>
    <t>Village Information System Risk Mitigation in Subdistricts using COBIT 5 Framework</t>
  </si>
  <si>
    <t>Perancangan Ulang Antarmuka Pengguna Website Kursus Online Menggunakan Metode Design Thinking (Studi Kasus: Bimbel Putra Bangsa)</t>
  </si>
  <si>
    <t>Redesigning User Interface of Online Course Website Using Design Thinking Method (Case Study: Bimbel Putra Bangsa)</t>
  </si>
  <si>
    <t>Perancangan Ulang User Interface pada Aplikasi Perpustakaan Digital iJogja Menggunakan Metode Design Thinking</t>
  </si>
  <si>
    <t>Redesign User Interface Jogja Digital Library Application Design Thinking Method</t>
  </si>
  <si>
    <t>MUHAMMAD ARKAAN R</t>
  </si>
  <si>
    <t>Pemodelan Proses Bisnis pada Layanan Pengajuan Dana di BIMAWA UAD Menggunakan Business Process Improvement (BPI)</t>
  </si>
  <si>
    <t>Business Process Modeling in Fund Application Services at BIMAWA UAD Using Business Process Improvement (BPI)</t>
  </si>
  <si>
    <t>Perbaikan Proses Bisnis pada Layanan PPDB di MA Muhammadiyah Pabos menggunakan Metode Business Process Improvement (BPI)</t>
  </si>
  <si>
    <t>Improvement of Bussiness Process in PPDB Services at the MA Muhammadiyah Pabos Using Business Improvement Process (BPI)</t>
  </si>
  <si>
    <t xml:space="preserve">10.00 - 12.00 </t>
  </si>
  <si>
    <t>Hahan Nur Rizky</t>
  </si>
  <si>
    <t>Cause and Effect Diagram pada Kualitas Aplikasi iPusnas dengan Pendekatan Text Mining berdasarkan Ulasan Pengguna</t>
  </si>
  <si>
    <t>Cause and Effect Diagram on the Quality of the iPusnas Application with a Text Mining Approach based on User Reviews</t>
  </si>
  <si>
    <t>087780438000</t>
  </si>
  <si>
    <t>Perancangan UI/UX Aplikasi Penanganan Dismenore bagi Remaja Wanita dengan Metode Design Thinking</t>
  </si>
  <si>
    <t>UI/UX Design of Dysmenorrhea Handling Application for Teenage Girls with Design Thinking Method</t>
  </si>
  <si>
    <t>rafsanjani1900016105@webmail.uad.ac.id</t>
  </si>
  <si>
    <t>Implementation of Automated Testing with Boundary Value Analysis and Equivalence Partitioning Techniques on Qarpa Application</t>
  </si>
  <si>
    <t>14.00 - 16.00</t>
  </si>
  <si>
    <t>Pengembangan Sistem Informasi Sewa Mobil Berbasis Website Menggunakan Metode Prototype Studi Kasus: CV. Jogja Star Travelindo</t>
  </si>
  <si>
    <t>Development of a Website-Based Car Rental Information System Using the Prototype Method Case Study: CV. Jogja Star Travelindo</t>
  </si>
  <si>
    <t>Resa Kurniawan</t>
  </si>
  <si>
    <t>Resa1900016134@webmail.uad.ac.id</t>
  </si>
  <si>
    <t>083861827513</t>
  </si>
  <si>
    <t xml:space="preserve">Sistem Pendukung Keputusan Penilaian Kinerja Pegawai Menggunakan metode SAW (Simple Additive Weighting)
Studi Kasus DINKOMINFO Kabupaten Banjarnegara
</t>
  </si>
  <si>
    <t xml:space="preserve">Employee Performance Assessment Decision Support System Using the method SAW (Simple Additive Weighting)
Case Study of DINKOMINFO Banjarnegara Regency
</t>
  </si>
  <si>
    <t>chania1900016125@webmail.uad.ac.id</t>
  </si>
  <si>
    <t>089690809554</t>
  </si>
  <si>
    <t>Penerapan Metode SAW (Simple Additive Weighting) pada Sistem Pendukung Keputusan Penentuan Penerima Zakat
Studi Kasus LAZISMU Banjarnegara</t>
  </si>
  <si>
    <t>Application of the SAW (Simple Additive Weighting) Method in the Decision Support System for Determining Zakat Recipients
LAZISMU Banjarnegara Case Studies</t>
  </si>
  <si>
    <t>Yazied Pranajaya Rezqyta</t>
  </si>
  <si>
    <t>Perancangan Ulang User Interface Aplikasi My SF Menggunakan Metode Design Thingking</t>
  </si>
  <si>
    <t>Redesigning the My SF Application User Interface Using the Design Thinking Method</t>
  </si>
  <si>
    <t>Customer Purchase Pattern Analysis at Bukik lontiak Online Store Using Association Rules Mining</t>
  </si>
  <si>
    <t>Evaluation of IT Governance for New Student Admissions at Ahmad Dahlan University Using the COBIT 5 Framework</t>
  </si>
  <si>
    <t>Orkestrasi Layanan Aplikasi Berbasis Web Menggunakan Docker dan Kubernetes di Biro 
Sistem Informasi UAD</t>
  </si>
  <si>
    <t>Web-based Application Service Orchestration Using Docker and Kubernetes at the Bureau of 
UAD Information System</t>
  </si>
  <si>
    <t>Analisis Kualitas Website Sistem Informasi Desa /Kalurahan Palbapang Kapanewon Bantul Menggunakan Metode Webqual 4.0</t>
  </si>
  <si>
    <t>Analysis Quality of the Palbapang Village/Urban Village Bantul Sub-District Information System Website Using Webqual 4.0 Methods</t>
  </si>
  <si>
    <t>08.00 - 09.31</t>
  </si>
  <si>
    <t>MUHAMMAD ARIEF NURACHMAN</t>
  </si>
  <si>
    <t>muhammad1900016082@webmail.uad.ac.id</t>
  </si>
  <si>
    <t>Normalisasi Kata Pada Ulasan Untuk Analisis Sentimen Menggunakan Levenshtein Distance</t>
  </si>
  <si>
    <t>Normalization of in Reviews for Sentiment Analysis Levenshtein Distance</t>
  </si>
  <si>
    <t>Public Preference for TikTok Shop Policy Change with Text Mining</t>
  </si>
  <si>
    <t>Analisis Kualitas Layanan Senayan Library Management System (SLiMS) Menggunakan Framework ITIL V4 di Perpustakaan Kota Perak ( Studi Kasus SMP Muhammadiyah 7 Yogyakarta)</t>
  </si>
  <si>
    <t>Analysis of Service Quality of Senayan Library Management System (SLiMS) Using ITIL V4 Framework in Kota Perak Library (Case Study of SMP Muhammadiyah 7 Yogyakarta)"</t>
  </si>
  <si>
    <t>ayang1900016017@webmail.uad.ac.id</t>
  </si>
  <si>
    <t>Back-End Creation of Apprentice Attendance Application with REST Architecture</t>
  </si>
  <si>
    <t>nurcholis1700016012@webmail.uad.ac.id</t>
  </si>
  <si>
    <t>Pemodelan Proses Bisnis Menggunakan
Business Process Modelling Notation (BPMN) Studi Kasus Tracer Study BIMAWA UAD</t>
  </si>
  <si>
    <t>Business Process Modeling Using
Business Process Modeling Notation (BPMN) BIMAWA UAD Tracer Study Case Study</t>
  </si>
  <si>
    <t>Ady setyawan</t>
  </si>
  <si>
    <t>Analisis Ketersediaan Ruang Terbuka Hijau di Kota Yogyakarta dengan Mengunakan Metode Sistem Informasi Geografis (SIG)</t>
  </si>
  <si>
    <t>Analysis of the Availability of Green Open Space in the City of Yogyakarta Using the Geographic Information System (GIS) Method</t>
  </si>
  <si>
    <t>Gawa Bika Bikhoirin Untung</t>
  </si>
  <si>
    <t>Event Project Management Using the Project Management Body of Knowledge at CV. Syakaa Organizer</t>
  </si>
  <si>
    <t>15.00 - 16.30</t>
  </si>
  <si>
    <t>PERANCANGAN UI/UX PADA WEBSITE PENERBIT SAMBO CANDINDA GROUP MENGGUNAKAN METODE USER CENTERED DESIGN</t>
  </si>
  <si>
    <t>UI/UX DESIGN ON THE SAMBO CANDINDA GROUP PUBLISHING WEBSITE USING USER CENTERED DESIGN METHOD</t>
  </si>
  <si>
    <t>Sastra Gunawan</t>
  </si>
  <si>
    <t>Penilaian Tingkat Kapabilitas Sumber Daya Manusia Teknologi Informasi Pada Badan Penjaminan Mutu Universitas Ahmad Dahlan Menggunakan Kerangka Kerja COBIT 5</t>
  </si>
  <si>
    <t>Assessment of the Capability Levels of Human Resources Managing Information Technology at the Quality Assurance Agency of Ahmad Dahlan University Using the COBIT Framework</t>
  </si>
  <si>
    <t>Perancangan Ulang Desain User Interface Pada Website Perumdam Tirta Jungporo Menggunakan Metode Design Thinking</t>
  </si>
  <si>
    <t>Redesigning the User Interface Design on the Perumdam Tirta Jungporo Website Using the Design Thinking Method</t>
  </si>
  <si>
    <t>SEKARNUR HIDAYAH</t>
  </si>
  <si>
    <t>Penilaian Risiko Pada Layanan SLiMS Menggunakan Framework COBIT 5</t>
  </si>
  <si>
    <t>Risk Assessment in SLiMS Services Using the COBIT 5 Framework</t>
  </si>
  <si>
    <t>Penilaian Kesiapan Keamanan Informasi Pemutakhiran Data Perkawinan Menggunakan Indeks KAMI 4.2</t>
  </si>
  <si>
    <t>Assessment of Information Security Readiness on Marriage Data Update using Index KAMI 4.2</t>
  </si>
  <si>
    <t>Sistem Informasi Pemesanan Minuman Herbal Tradisional Berbasis Web Studi Kasus UMKM Yoga Djaya</t>
  </si>
  <si>
    <t>Web-Based Traditional Herbal Drink Ordering Information System Case Study of UMKM Yoga Djaya</t>
  </si>
  <si>
    <t>LAb Multimedia</t>
  </si>
  <si>
    <t>Analisis Keamanan Sistem Informasi Menggunakan Framework Open Web Application Security Project (OWASP)</t>
  </si>
  <si>
    <t>Information System Security Analysis Using Open Web Application Security Project Framework (OWASP)</t>
  </si>
  <si>
    <t>Implementation of Land Lease System in Kalurahan Tamanan Using the Concept of Enterprise Resource Planning (ERP)</t>
  </si>
  <si>
    <t>Pencarian Barang Bukti Facebook Messenger pada Kasus Sextortion Berbasis Web</t>
  </si>
  <si>
    <t>Facebook Messenger Evidence  Search in Web Based  Sextortion Cases</t>
  </si>
  <si>
    <t>Redesign User Interface iPusnas Application using Design Thinking Method</t>
  </si>
  <si>
    <t>Prototipe Sistem Informasi Manajemen Pakan Udang Vannamei di CV Citra Brother Sukamara</t>
  </si>
  <si>
    <t>Prototype of Vannamei Shrimp Feed Management Information System at CV Citra Brother Sukamara</t>
  </si>
  <si>
    <t>Development of Educational Games for the Introduction of Ingredients for Making Indonesian Culinary for Children Aged 3-5 Years with Prototyping Methods</t>
  </si>
  <si>
    <t>Rabu.17 Juli 2024</t>
  </si>
  <si>
    <t xml:space="preserve">Implementation of Kiosk Rental System in Subdistricts Using Enterprise Resource Planning (ERP) Concepts
Case Study : Kalurahan Banguntapan </t>
  </si>
  <si>
    <t>PENGEMBANGAN SISTEM APLIKASI BERBASIS WEB UNTUK SURVEI KEPUASAN PESERTA PELATIHAN DENGAN METODE AGILE SCRUM DI BPSDMP KOMINFO YOGYAKARTA</t>
  </si>
  <si>
    <t>Development of A Web-Based Application System For Training
Participants' Satisfaction Surveys Using the Agile Scrum Method at Bpsdmp Kominfo Yogyakarta</t>
  </si>
  <si>
    <t>Analysis of Risk Assessment on Zakat Servis on Dompet Dhuafa Using COBIT 5 Framework</t>
  </si>
  <si>
    <t>13,00 - 14,30</t>
  </si>
  <si>
    <t>Mitigasi Risiko Pada Sistem Informasi Stok Barang Menggunakan Framework COBIT 5
Studi Kasus Dazzle</t>
  </si>
  <si>
    <t>Risk Mitigation in Stock Information Systems Using the COBIT Framework 5 Dazzle Case Studies</t>
  </si>
  <si>
    <t>Evaluas Tata Kelola Teknologi Informasi di SMPN 4 Banguntapan Menggunakan Framework COBIT 5</t>
  </si>
  <si>
    <t>Evaluation of Information Technology Governance at SMPN 4 Banguntapan Using the COBIT 5 Framework</t>
  </si>
  <si>
    <t>15,30 - 17,00</t>
  </si>
  <si>
    <t>HIDAYAH RAMADANI</t>
  </si>
  <si>
    <t xml:space="preserve">Perencanaan Kebutuhan SI/TI  Perusahaan Rental Medis Menggunakan Togaf ADM
</t>
  </si>
  <si>
    <t>Planning IS/IT Needs in Medical Rental Company Using Togaf ADM</t>
  </si>
  <si>
    <t>Pengembangan Sistem Informasi Laundry Berbasis Web Studi Kasus pada Amanah Laundry</t>
  </si>
  <si>
    <t>Development of a Web Based Laundry Information System Case 
Study on Amanah Laundry</t>
  </si>
  <si>
    <t>Nafissa Al-'Abida</t>
  </si>
  <si>
    <t>Pengembangan Aplikasi Berbasis Android untuk Penerapan Growth Mindset Menggunakan Teknik Psikoedukasi</t>
  </si>
  <si>
    <t>Android Application Development for Growth Mindset Implementation Using Psychoeducation Technique</t>
  </si>
  <si>
    <t>Analisis Penilaian Risiko Pada INLISLite Menggunakan Framework ITIL V4</t>
  </si>
  <si>
    <t>Risk Assessment Analysis on INLISLite Using ITIL V4 Framework</t>
  </si>
  <si>
    <t>Analysis Factor Influencing Acceptance Access by KAI System using Framework Technology Acceptance Model</t>
  </si>
  <si>
    <t>Analysis of User Satisfaction Level in the Use of NEWSAKPOLE Application Using the PIECES Method</t>
  </si>
  <si>
    <t>15,00 - 16.30</t>
  </si>
  <si>
    <t>Analysis Of The Quality of LokerSolo.Id Website Using the WebQual 4.0 Method</t>
  </si>
  <si>
    <t>Analisis Tingkat Keberhasilan Aplikasi Mobile BCD terhadap Mitra menggunakan Model HOT Fit (Studi Kasus di PT XYZ)</t>
  </si>
  <si>
    <t>Succes Rate Analysis of BCD Mobile App on Partner using HOT Fit Model (A case study on XYZ company)</t>
  </si>
  <si>
    <t>achmad1900016079@webmail.uad.ac.id</t>
  </si>
  <si>
    <t>Pengukuran Kepuasan Pengguna Domain Information and Data pada PIECES Framework Berdasarkan Analisis Sentimen</t>
  </si>
  <si>
    <t>Domain Information and Data User Satisfaction Measurement on the PIECES Framework Based on Sentiment Analysis</t>
  </si>
  <si>
    <t>Aula Zahra</t>
  </si>
  <si>
    <t>aula2000016016@webmail.uad.ac.id</t>
  </si>
  <si>
    <t>Business Process Design for Public Services at the Department of Youth and Sports Using Business Process Improvement Kotawaringin Barat UAD Case Studies</t>
  </si>
  <si>
    <t>CANTIKA JUANDY PUTRI KATIANDAGHO</t>
  </si>
  <si>
    <t>Penilaian Risiko pada Layanan Sistem Informasi Desa Berdaya Menggunakan OCTAVE Allegro</t>
  </si>
  <si>
    <t>Risk Assessment in Empowered Village Information System Services Using OCTAVE Allegro Framework</t>
  </si>
  <si>
    <t>Development of the Back-end for a Web-based Employee Management Information System</t>
  </si>
  <si>
    <t>Klasifikasi Cyberbullying Menggunakan Metode Long Short - Term Memory</t>
  </si>
  <si>
    <t>Cyberbullying Classification Using Long Short-Term Memory Method</t>
  </si>
  <si>
    <t>Penerapan Face Recognition dengan Model FaceNet untuk Sistem Kehadiran Studi Kasus Sistem Kehadiran Kuliah Lab. Sistem Informasi Universitas Ahmad Dahlan</t>
  </si>
  <si>
    <t>Application of Face Recognition with FaceNet Model for Attendance System
Case Study of Lecture Attendance System of Ahmad Dahlan University Information System Lab.</t>
  </si>
  <si>
    <t>Retno Ayu Wulandari</t>
  </si>
  <si>
    <t>Pengembangan Sistem Laporan Kegiatan Berbasis Website Studi Kasus Dinas Komunikasi, Informatika dan Persandian Kabupaten Barito Utara</t>
  </si>
  <si>
    <t>Development of a Website-Based Activity Reporting System Case Studies North Barito Regency Communication, Information and Encryption Service</t>
  </si>
  <si>
    <t>ade2000016085@webmail.uad.ac.id</t>
  </si>
  <si>
    <t>Perangkingan Layanan Dompet Digital Berdasarkan Ulasan Google Play Menggunakan Metode Text Mining dan Simple Additive Weighting (SAW)</t>
  </si>
  <si>
    <t>Rangking Digital Wallet Services Based on Google Play Reviews Using Text Mining and Simple Additive Weighting</t>
  </si>
  <si>
    <t>Information System Risk Assessment on Website Jogja Smart Service using ISO 31000</t>
  </si>
  <si>
    <t>Weni Sepriani</t>
  </si>
  <si>
    <t>Pengembangan Sistem Pelayanan Publik Berbasis Web (Studi Kasus Desa Kota Agung)</t>
  </si>
  <si>
    <t>Development of a Web-Based Public Service System (Case Study: Kota Agung Village)</t>
  </si>
  <si>
    <t>PENGEMBANGAN SISTEM INFORMASI PENJUALAN BERBASIS WEB (STUDI KASUS UD. GENTENG PUTRA MANDIRI WINONG GULUN MAGETAN)</t>
  </si>
  <si>
    <t>Development of a web-based sales information system (case study of UD. Genteng Putra Mandiri)</t>
  </si>
  <si>
    <t>Laila Nur Arahmadhani</t>
  </si>
  <si>
    <t>Peramalan Jumlah Kasus HIV/AIDS di Kota Yogyakarta Menggunakan Metode ARIMA dan Visualisasi Dashboard Tableau Studi Kasus Dinas Kesehatan Kota Yogyakarta</t>
  </si>
  <si>
    <t>Forecasting HIV/AIDS Cases in Yogyakarta City Using ARIMA Method and Tableau Dashboard Visualization Scheduling Lectures Yogyakarta City Health Department</t>
  </si>
  <si>
    <t>Pengembangan Sistem Antrean Pendaftaran Rumah Sakit Condong Catur Berbasis Website</t>
  </si>
  <si>
    <t>Development of a Website-Based Condong Catur Hospital Registration Queue System</t>
  </si>
  <si>
    <t>Zaydan Aymar Luthfy</t>
  </si>
  <si>
    <t>Sistem Informasi Manajemen Rumah Kost Berbasis Web</t>
  </si>
  <si>
    <t>Web-Based Boarding House Management Information System: A Case Study of Kost Putri SCI</t>
  </si>
  <si>
    <t>Analisis Penilaian Risiko Layanan Katalog Online Menggunakan Metode Octave Allegro</t>
  </si>
  <si>
    <t>Risk Assessment Analysis of Online Catalog Services using Octave Allegro Method</t>
  </si>
  <si>
    <t>Perancangan UI/UX Aplikasi Mobile Ekstrakurikuler Menggunakan Elemen Gamifikasi dan Metode Design Thinking  Studi Kasus SMAN 1 Kasihan</t>
  </si>
  <si>
    <t>Designing the UI/UX of an Extracurricular Mobile Application Using Gamification Elements and the Design Thinking Methode:  A Case Study at SMAN 1 Kasihan</t>
  </si>
  <si>
    <t>Analisis Penilaian Risiko Layanan Publikasi Digital Menggunakan Framework COBIT 5</t>
  </si>
  <si>
    <t>Risk Assessment Analysis of Digital Publication Services using COBIT 5 Framework</t>
  </si>
  <si>
    <t>muhammad2000016110@webmail.uad.ac.id</t>
  </si>
  <si>
    <t>Penilaian Risiko Informasi pada Platform Digital Edoo.id Menggunakan ISO 31000</t>
  </si>
  <si>
    <t>Information Risk Assessment on the Edoo.id Digital Platform Using ISO 31000</t>
  </si>
  <si>
    <t>Rancang Bangun Prototipe Fungsional Fitur Relawan pada Website Lazismu DIY</t>
  </si>
  <si>
    <t>Design and Build a Functional Prototype for the Volunteer Feature on the Lazismu DIY Website</t>
  </si>
  <si>
    <t>Pengembangan Aplikasi Mobile untuk Pembelajaran Anak dengan Model Multimedia Development Life Cycle</t>
  </si>
  <si>
    <t>Development of Mobile Applications for Children's Learning using the Multimedia Development Life Cycle Model</t>
  </si>
  <si>
    <t>ANHAR SURYADI</t>
  </si>
  <si>
    <t>Design of Tourism Service Business Processes in Purbayan Village using Business Process Modeling Notation (BPMN)</t>
  </si>
  <si>
    <t>Front-End Development of a Web-Based Employee Management Information System</t>
  </si>
  <si>
    <t>Perbaikan Antarmuka Media Pembelajaran Berbasis IT Pada Balai Teknologi Komunikasi Pendidikan Menggunakan User Centered Design (UCD)</t>
  </si>
  <si>
    <t>Improvement of IT-Based Learning Media Interface at the Educational Communication Technology Center Using the User Centered Design (UCD) Method</t>
  </si>
  <si>
    <t>Sistem Informasi Inventori 
Berbasis Website Pada Toko Kue Dua Saudara Dengan Metode Waterfall</t>
  </si>
  <si>
    <t>Website-Based Inventory Information System at Two Brothers Cake Shop with Waterfall Method</t>
  </si>
  <si>
    <t>Perancangan UI/UX dengan Pendekatan Adaptif dan Personal pada Sistem Presensi Menggunakan Metode Design Thinking (Studi Kasus di SMAN 1 Kasihan)</t>
  </si>
  <si>
    <t>UI/UX Design with Adaptive and Personalized Approaches for Attendance Systems Using the Design Thinking Method (Case Study at SMAN 1 Kasihan)</t>
  </si>
  <si>
    <t>Miranda Diah Adisti</t>
  </si>
  <si>
    <t>Perancangan UI/UX Sistem Layanan Lab Fisika UAD Sisi Mahasiswa Menggunakan Metode Design Thinking Studi Kasus Program Studi Fisika UAD</t>
  </si>
  <si>
    <t>Designing UI/UX Design of the UAD Physics Lab Service System for Students Using the Design Thinking Method Case Study of Ahmad Dahlan University Physics Study Program</t>
  </si>
  <si>
    <t>Redesign User Interface Si Pelawan Application using Design Thinking Method</t>
  </si>
  <si>
    <t>07.30 - 09,00</t>
  </si>
  <si>
    <t>wahyu1800016142@webmail.uad.ac.id</t>
  </si>
  <si>
    <t>Pembuatan Software Requirement Spesification (SRS) pada Proyek Pengembangan Aplikasi Kadipaten Pakualam Di PT Manggis Teknologi Bekasi, Bekasi Utara</t>
  </si>
  <si>
    <t>Making Software Requirement Specifications (SRS) on the Pakualam Duchy Application Development Project at PT Manggis Teknologi Bekasi, North Bekasi</t>
  </si>
  <si>
    <t>Evaluasi dan Analisis Kesiapan Transformasi Digital Biro Sistem Informasi UAD dengan Digital Transformation Readiness Assessment (DTRA) Framework</t>
  </si>
  <si>
    <t>Evaluation and Analysis of Digital Transformation Readiness of UAD’s Information System Bureau using Digital Transformation Readiness Assessment (DTRA) Framework</t>
  </si>
  <si>
    <t>“Pengembangan Game edukasi tentang Pengolahan Makanan Kuliner Nusantara Anak Usia 3-5 Tahun dengan Metode Prototyping” Studi Kasus Taman Kanak-Kanak Aisyiyah Bustanul Athfal</t>
  </si>
  <si>
    <t xml:space="preserve">
"Development of an Educational Game on Indonesian Culinary Food Processing for Children Aged 3-5 Years Using the Prototyping Method” Case Study of Aisyiyah Bustanul Athfal Wirosaban Kindergarten
</t>
  </si>
  <si>
    <t>CHATBOT IMPLEMENTATION FOR CUSTOMER RELATIONSHIP MANAGEMENT IN HIGHER EDUCATION: FACULTY CASE STUDY UAD APPLIED SCIENCE &amp; TECHNOLOGY</t>
  </si>
  <si>
    <t>Analysis of User Satisfaction in Using the MyYOGYA Application Using the EUCS Method</t>
  </si>
  <si>
    <t>rohadatul2000016109@webmail.uad.ac.id</t>
  </si>
  <si>
    <t>Evaluasi Kualitas Website dengan Metode WebQual 4.0 dan Importance Performance Analysis (IPA) : Implementasi E-Commerce Berbasis Wordpress Studi Kasus di Museum Batik Yogyakarta</t>
  </si>
  <si>
    <t>Website Quality Evaluation Using WebQual 4.0 and Importance Performance Analysis (IPA): WordPress-Based E-Commerce Implementation A case study on Museum Batik Yogyakarta</t>
  </si>
  <si>
    <t>Penilaian Keamanan Informasi Pada Layanan Perpustakaan Digital Menggunakan Indeks KAMI 5.0</t>
  </si>
  <si>
    <t>Assessment of Information Security in Digital Library Service using Indeks KAMI 5.0</t>
  </si>
  <si>
    <t>Pemanfaatan Data Instagram Dalam Menentukan Destinasi Wisata Yogyakarta Terpopuler Berdasarkan Sentiment Analysis</t>
  </si>
  <si>
    <t>Utilization of Instagram Data in Determining the Most Popular Yogyakarta Tourist Destinations Based on Sentiment Analysis</t>
  </si>
  <si>
    <t>yanto.itr@is.uad.ac.id</t>
  </si>
  <si>
    <t>suprihatin@uad.ac.id</t>
  </si>
  <si>
    <t>arif@is.uad.ac.id</t>
  </si>
  <si>
    <t>PENGGEMBANGAN SOFTWARE REQUIREMENTS SPECIFICATION (SRS)  Aplikasi Elektronik Sekolah Lapang Pengelolaan Hama Terpadu ( E- SLPHT) Dengan Standard Iso/Iec/Ieee 29148:2018</t>
  </si>
  <si>
    <t>SOFTWARE REQUIREMENTS SPECIFICATION (SRS) DEVELOPMENT Integrated Pest Management Field School Electronic Application (E-IPMFSEA) with ISO/IEC/IEEE 29148:2018 Standard</t>
  </si>
  <si>
    <t>farid.suryanto@is.uad.ac.id</t>
  </si>
  <si>
    <t>imam.azhari@is.uad.ac.id</t>
  </si>
  <si>
    <t>wardah2000016037@webmail.uad.ac.id</t>
  </si>
  <si>
    <t>Pembuatan Tata Kelola Teknologi Informasi Sumber Daya Manusia menggunakan Framework Cobit 5 Studi Kasus Departemen IT Perguruan Tinggi</t>
  </si>
  <si>
    <t>Making Information Technology Governance Human Resources uses COBIT 5 framework Case Study of Higher Education IT Department</t>
  </si>
  <si>
    <t>sriningsih@is.uad.ac.id</t>
  </si>
  <si>
    <t>tawar@is.uad.ac.id</t>
  </si>
  <si>
    <t>Information Technology Service Design at Pratama Kalasan Sehat Clinic Using ITIL V4</t>
  </si>
  <si>
    <t>Web Development of Product Sales UD Laris MSME using Laravel</t>
  </si>
  <si>
    <t>mursid@is.uad.ac.id</t>
  </si>
  <si>
    <t>dimas1900016130@webmail.uad.ac.id</t>
  </si>
  <si>
    <t>Analisis Sistem Keamanan Informasi untuk Mendukung Enterprise Goals Berdasarkan Capability Level Sistem Informasi Manajemen Puskesmas (SIMPUS) Menggunakan Framework COBIT 5</t>
  </si>
  <si>
    <t>Analysis of Information Security Systems to Support Enterprise Goals Based on the Capability Level of the Puskesmas Management Information System (SIMPUS) Using the COBIT 5 Framework</t>
  </si>
  <si>
    <t>imam.riadi@is.uad.ac.id</t>
  </si>
  <si>
    <t>Judul : Analisis Sistem Keamanan Informasi untuk Mendukung Enterprise Goals Berdasarkan Capability Level Sistem Informasi Manajemen Puskesmas (SIMPUS) Menggunakan Framework COBIT 5
Pembimbing : Sri Handayaningsih, ST., MT.
Penguji: 
1. Farid Suryanto, S.Pd., MT.
2. Prof. Ir. Dr. H. Imam Riadi, S.Pd., M.Kom.
Waktu : 12.30 - 14.00
Tempat : Ruang Prodi
Naskah : https://drive.google.com/open?id=1M5gUKPfOed5gpRiZREzdHJbCrfCI06LA
Note : 
- Mengingatkan serta menyerahkan Naskah hardfile  ke dosen pembimbing dan penguji paling lambat 2 hari sebelum ujian
- Teknis Pelaksanaan Ujian dilakukan secara offline sesuai dengan lokasi yang tertera di undangan ini</t>
  </si>
  <si>
    <t>Dimas Abimanyu</t>
  </si>
  <si>
    <t>Design User Interface On Hidroponik Geh Application Using Design Thinking</t>
  </si>
  <si>
    <t>Judul : Perancangan User Interface Pada Aplikasi Hidroponik Geh Menggunakan Design Thinking
Pembimbing : Imam Azhari, S.Si., M.Cs.
Penguji: 
1. Farid Suryanto, S.Pd., MT.
2. Arif Rahman, S.Kom., M.T.
Waktu : 14.00 - 15.30
Tempat : Ruang Prodi
Naskah : https://drive.google.com/open?id=14yfc460FWW60q5sYFmpE-WHCy7TfhQJr
Note : 
- Mengingatkan serta menyerahkan Naskah hardfile  ke dosen pembimbing dan penguji paling lambat 2 hari sebelum ujian
- Teknis Pelaksanaan Ujian dilakukan secara offline sesuai dengan lokasi yang tertera di undangan ini</t>
  </si>
  <si>
    <t>WebGIS-Based Mapping of Population Distribution and Density in Kertek Wonosobo Subdistrict</t>
  </si>
  <si>
    <t>Judul : Pemetaan Persebaran dan Kepadatan Penduduk di Kelurahan Kertek Berbasis WebGIS
Pembimbing : H. Suprihatin, S.Si., M.Kom.
Penguji: 
1. Farid Suryanto, S.Pd., MT.
2. Arif Rahman, S.Kom., M.T.
Waktu : 12.30 - 14.00
Tempat : Ruang Prodi
Naskah : https://drive.google.com/open?id=1zseBtp8eQtn6FLLetlYVrgo9EpDi92NN
BA :  https://drive.google.com/drive/folders/1ozkwljpEFJcfj50SnHw4gMzqjYdn1VnM?usp=sharing
Note : 
- Mengingatkan serta menyerahkan Naskah hardfile  ke dosen pembimbing dan penguji paling lambat 2 hari sebelum ujian
- Teknis Pelaksanaan Ujian dilakukan secara offline sesuai dengan lokasi yang tertera di undangan ini</t>
  </si>
  <si>
    <t>Model Manajemen Pusat Data Menggunakan Framework SNI 8799 Studi Kasus Departemen TI Perguruan Tinggi</t>
  </si>
  <si>
    <t>Data Center Management Model Using the SNI 8799 Framework Case Study of College IT Department</t>
  </si>
  <si>
    <t>Judul : Model Manajemen Pusat Data Menggunakan Framework SNI 8799 Studi Kasus Departemen TI Perguruan Tinggi
Pembimbing : Sri Handayaningsih, ST., MT.
Penguji: 
1. Tawar, S.Si., M.Kom.
2. Arif Rahman, S.Kom., M.T.
Waktu : 12.30 - 14.00
Tempat : Ruang Prodi
Naskah : https://drive.google.com/open?id=1knF7b16V_5np-C2I3GidD9SXubRqtKId
BA :  https://drive.google.com/drive/folders/1ozkwljpEFJcfj50SnHw4gMzqjYdn1VnM?usp=sharing
Note : 
- Mengingatkan serta menyerahkan Naskah hardfile  ke dosen pembimbing dan penguji paling lambat 2 hari sebelum ujian
- Teknis Pelaksanaan Ujian dilakukan secara offline sesuai dengan lokasi yang tertera di undangan ini</t>
  </si>
  <si>
    <t>PERANCANGAN ULANG DESAIN UI/UX NIBRAS INFORMATION DATA CENTER MENGGUNAKAN METODE LEAN UX Studi kasus : PT Fatahillah Anugerah Nibras</t>
  </si>
  <si>
    <t>REDESIGNING UI/UX DESIGN OF NIBRAS INFORMATION DATA CENTER USING LEAN UX METHOD Case study: PT Fatahillah Anugerah Nibras</t>
  </si>
  <si>
    <t>Judul : PERANCANGAN ULANG DESAIN UI/UX NIBRAS INFORMATION DATA CENTER MENGGUNAKAN METODE LEAN UX Studi kasus : PT Fatahillah Anugerah Nibras
Pembimbing : Imam Azhari, S.Si., M.Cs.
Penguji: 
1. Dr. H. Imam Riadi, S.Pd., M.Kom.
2. Tawar, S.Si., M.Kom.
Waktu : 08.00 - 09.00
Tempat : Ruang Prodi
Naskah : https://drive.google.com/open?id=1P8l_VqhbrjBa9zUyu8p0sLP2w2vf_HRO
BA :  https://drive.google.com/drive/folders/1ozkwljpEFJcfj50SnHw4gMzqjYdn1VnM?usp=sharing
Note : 
- Mengingatkan serta menyerahkan Naskah hardfile  ke dosen pembimbing dan penguji paling lambat 2 hari sebelum ujian
- Teknis Pelaksanaan Ujian dilakukan secara offline sesuai dengan lokasi yang tertera di undangan ini</t>
  </si>
  <si>
    <t>cicilia putri</t>
  </si>
  <si>
    <t>Perancangan UI UX layanan lab fisika uad sisi laboran menggunakan metode desain thingking</t>
  </si>
  <si>
    <t>Designing the UI UX for UAD physics lab services on the laboratory side using the Thingking design method</t>
  </si>
  <si>
    <t>Judul : Perancangan UI UX layanan lab fisika uad sisi laboran menggunakan metode desain thingking 
Pembimbing : Imam Azhari, S.Si., M.Cs.
Penguji: 
1. Farid Suryanto, S.Pd., MT.
2. Arif Rahman, S.Kom., M.T.
Waktu : 08.00 - 10.00
Tempat : Ruang prodi
Naskah : https://drive.google.com/open?id=17D4eJauCaNYkF1cKWkNcmAPme8GoIBg9
BA :  https://drive.google.com/drive/folders/1ozkwljpEFJcfj50SnHw4gMzqjYdn1VnM?usp=sharing
Note : 
- Mengingatkan serta menyerahkan Naskah hardfile  ke dosen pembimbing dan penguji paling lambat 2 hari sebelum ujian
- Teknis Pelaksanaan Ujian dilakukan secara offline sesuai dengan lokasi yang tertera di undangan ini</t>
  </si>
  <si>
    <t>Information System Risk Assessment on Website Diskominfo Jogja Province using ISO 31000</t>
  </si>
  <si>
    <t>12.00 - 13.30</t>
  </si>
  <si>
    <t>Online</t>
  </si>
  <si>
    <t>Judul : Penilaian Resiko Pada Website Diskominfo Jogja Prov Menggunakan ISO 31000
Pembimbing : Prof. Ir. Dr. H. Imam Riadi, S.Pd., M.Kom.
Penguji: 
1. Imam Azhari, S.Si., M.Cs.
2. H. Suprihatin, S.Si., M.Kom.
Waktu : 12.00 - 13.30 
Tempat : Online
Naskah : https://drive.google.com/open?id=1c5Nlg1JTSos2llqMdk9U4dM26TE0rDxn
BA :  https://drive.google.com/drive/folders/1ozkwljpEFJcfj50SnHw4gMzqjYdn1VnM?usp=sharing
Note : 
- Mengingatkan serta menyerahkan Naskah hardfile  ke dosen pembimbing dan penguji paling lambat 2 hari sebelum ujian
- Teknis Pelaksanaan Ujian dilakukan secara offline sesuai dengan lokasi yang tertera di undangan ini</t>
  </si>
  <si>
    <t>Ferman Alfiansyah</t>
  </si>
  <si>
    <t>Perancangan Ulang User Interface (UI) dan User Experience (UX) Fitur Tryout Menggunakan Metode Design Thinking Studi Kasus Website E-learning Bimbingan Belajar Citra Bagus Grup</t>
  </si>
  <si>
    <t>Redesigning User Interface (UI) and User Experience (UX) Tryout Feature Using Design Thinking Method Case Study of E-learning Website Tutoring Citra Bagus Group</t>
  </si>
  <si>
    <t>Judul : Perancangan Ulang User Interface (UI) dan User Experience (UX) Fitur Tryout Menggunakan Metode Design Thinking Studi Kasus Website E-learning Bimbingan Belajar Citra Bagus Grup
Pembimbing : Imam Azhari, S.Si., M.Cs.
Penguji: 
1. Dr. Mursid Wahyu Hananto, S.Si., M.Kom.
2. Arif Rahman, S.Kom., M.T.
Waktu : 12.30 - 14.00
Tempat : Ruang Prodi
Naskah : https://drive.google.com/open?id=1tjMaMXlowyd90Mf1Y2sb4u7n2ue4peeD
BA :  https://drive.google.com/drive/folders/1ozkwljpEFJcfj50SnHw4gMzqjYdn1VnM?usp=sharing
Note : 
- Mengingatkan serta menyerahkan Naskah hardfile  ke dosen pembimbing dan penguji paling lambat 2 hari sebelum ujian
- Teknis Pelaksanaan Ujian dilakukan secara offline sesuai dengan lokasi yang tertera di undangan ini</t>
  </si>
  <si>
    <t>Penilaian Risiko Sistem Informasi pada Website Dinas Pariwisata Kota Yogyakarta Menggunakan Metode ISO 31000</t>
  </si>
  <si>
    <t>Information System Risk Assessment on Yogyakarta City Tourism Office Website Using</t>
  </si>
  <si>
    <t>Judul : Penilaian Risiko Sistem Informasi pada Website Dinas Pariwisata Kota Yogyakarta Menggunakan Metode ISO 31000
Pembimbing : Prof. Ir. Dr. H. Imam Riadi, S.Pd., M.Kom.
Penguji: 
1. Tawar, S.Si., M.Kom.
2. Iwan Tri Riyadi Yanto, S.Si., M.IT, Ph.D.
Waktu : 07.30 - 09.00 
Tempat : Ruang Prodi
Naskah : https://drive.google.com/open?id=1YFTL1I9FEGBeB765GtB9h7I-JAtJUj2j
BA :  https://drive.google.com/drive/folders/1ozkwljpEFJcfj50SnHw4gMzqjYdn1VnM?usp=sharing
Note : 
- Mengingatkan serta menyerahkan Naskah hardfile  ke dosen pembimbing dan penguji paling lambat 2 hari sebelum ujian
- Teknis Pelaksanaan Ujian dilakukan secara offline sesuai dengan lokasi yang tertera di undangan ini</t>
  </si>
  <si>
    <t>Development of a Mobile-Based Practicum Management System Using the Prototype Method</t>
  </si>
  <si>
    <t>Judul : Pengembangan Sistem Manajemen Praktikum Berbasis Mobile Menggunakan Metode Prototype
Pembimbing : Arif Rahman, S.Kom., M.T.
Penguji: 
1. H. Suprihatin, S.Si., M.Kom.
2. Farid Suryanto, S.Pd., MT.
Waktu : 14.00 - 15.30
Tempat : Ruang Prodi
Naskah : https://drive.google.com/open?id=1ul3pwmLwXoUr0RJ2OG004mtl8-pt28gR
BA :  https://drive.google.com/drive/folders/1ozkwljpEFJcfj50SnHw4gMzqjYdn1VnM?usp=sharing
Note : 
- Mengingatkan serta menyerahkan Naskah hardfile  ke dosen pembimbing dan penguji paling lambat 2 hari sebelum ujian
- Teknis Pelaksanaan Ujian dilakukan secara offline sesuai dengan lokasi yang tertera di undangan ini</t>
  </si>
  <si>
    <t>firdaus1900016026@webmail.uad.ac.id</t>
  </si>
  <si>
    <t>Kustomisasi Produk Secara 3D pada Situs Web UD Laris</t>
  </si>
  <si>
    <t>3D Product Customization on the UD Laris Website</t>
  </si>
  <si>
    <t>Judul : Kustomisasi Produk Secara 3D pada Situs Web UD Laris
Pembimbing : Dr. Mursid Wahyu Hananto, S.Si., M.Kom.
Penguji: 
1. Farid Suryanto, S.Pd., MT.
2. Imam Azhari, S.Si., M.Cs.
Waktu : 12.30 - 14.00
Tempat : Ruang Prodi
Naskah : https://drive.google.com/open?id=1Wa4QqNc3C5sHtHuXvnGk6zcFUNvV_Q6g
BA :  https://drive.google.com/drive/folders/1ozkwljpEFJcfj50SnHw4gMzqjYdn1VnM?usp=sharing
Note : 
- Mengingatkan serta menyerahkan Naskah hardfile  ke dosen pembimbing dan penguji paling lambat 2 hari sebelum ujian
- Teknis Pelaksanaan Ujian dilakukan secara offline sesuai dengan lokasi yang tertera di undangan ini</t>
  </si>
  <si>
    <t>Kepek II Population Mapping Information System Based on WebGIS Using a Waterfall Method Approach</t>
  </si>
  <si>
    <t>Judul : Sistem Informasi Pemetaan Penduduk Kepek II Berbasis WebGIS dengan Pendekatan Metode Waterfall
Pembimbing : H. Suprihatin, S.Si., M.Kom.
Penguji: 
1. Farid Suryanto, S.Pd., MT.
2. Dr. Arif Rahman, S.Kom., M.T.
Waktu : 14.00 - 15.30
Tempat : Ruang Prodi
Naskah : https://drive.google.com/open?id=1UA7EfH6tjucDXhQoKdfZZYJwhJFsBGej
BA :  https://drive.google.com/drive/folders/1ozkwljpEFJcfj50SnHw4gMzqjYdn1VnM?usp=sharing
Note : 
- Mengingatkan serta menyerahkan Naskah hardfile  ke dosen pembimbing dan penguji paling lambat 2 hari sebelum ujian
- Teknis Pelaksanaan Ujian dilakukan secara offline sesuai dengan lokasi yang tertera di undangan ini</t>
  </si>
  <si>
    <t>Sistem Informasi Pemetaan Penduduk Padukuhan Sumber Batikan Berbasis 
Web</t>
  </si>
  <si>
    <t>Web-Based Village Population Mapping Information System Sumber Batikan</t>
  </si>
  <si>
    <t>Judul : Sistem Informasi Pemetaan Penduduk Padukuhan Sumber Batikan Berbasis 
Web
Pembimbing : H. Suprihatin, S.Si., M.Kom.
Penguji: 
1. Farid Suryanto, S.Pd., MT.
2. Dr. Arif Rahman, S.Kom., M.T.
Waktu : 07.00 - 08.30
Tempat : Ruang Prodi
Naskah : https://drive.google.com/open?id=1ILx1A5IMXnBHwhCOssNVmeQrerRyzCsH
BA :  https://drive.google.com/drive/folders/1ozkwljpEFJcfj50SnHw4gMzqjYdn1VnM?usp=sharing
Note : 
- Mengingatkan serta menyerahkan Naskah hardfile  ke dosen pembimbing dan penguji paling lambat 2 hari sebelum ujian
- Teknis Pelaksanaan Ujian dilakukan secara offline sesuai dengan lokasi yang tertera di undangan ini</t>
  </si>
  <si>
    <t>EVALUATION OF THE USER EXPERIENCE (UX) OF THE MY SIMOKA APPLICATION USING USABILITY TESTING</t>
  </si>
  <si>
    <t>Judul : EVALUASI USER EXPERIENCE (UX) APLIKASI MY SIMOKA MENGGUNAKAN USABILITY TESTING
Pembimbing : Farid Suryanto, S.Pd., MT.
Penguji: 
1. Imam Azhari, S.Si., M.Cs.
2. Sri Handayaningsih, ST., MT.
Waktu : 12.30 - 14.30
Tempat : Ruang Prodi
Naskah : https://drive.google.com/open?id=1ysMoQp0Up5Qqgww--Jkg7oFT_7fFojil
BA :  https://drive.google.com/drive/folders/1ozkwljpEFJcfj50SnHw4gMzqjYdn1VnM?usp=sharing
Note : 
- Mengingatkan serta menyerahkan Naskah hardfile  ke dosen pembimbing dan penguji paling lambat 2 hari sebelum ujian
- Teknis Pelaksanaan Ujian dilakukan secara offline sesuai dengan lokasi yang tertera di undangan ini</t>
  </si>
  <si>
    <t>Pemetaan Lahan Sawah dengan Sistem Informasi Geografis Berbasis Website Studi Kasus Kapanewon Kasihan</t>
  </si>
  <si>
    <t>Mapping Rice Fields with Website-Based Geographic Information System Case Study of Kapanewon Kasihan</t>
  </si>
  <si>
    <t>Judul : Pemetaan Lahan Sawah dengan Sistem Informasi Geografis Berbasis Website Studi Kasus Kapanewon Kasihan
Pembimbing : H. Suprihatin, S.Si., M.Kom.
Penguji: 
1. Farid Suryanto, S.Pd., MT.
2. Dr. Arif Rahman, S.Kom., M.T.
Waktu : 07.30 - 09.30
Tempat : Ruang Prodi
Naskah : https://drive.google.com/open?id=1wmrWtklhoKIpqkgbV14ojxDLezXrnxYy
BA :  https://drive.google.com/drive/folders/1ozkwljpEFJcfj50SnHw4gMzqjYdn1VnM?usp=sharing
Note : 
- Mengingatkan serta menyerahkan Naskah hardfile  ke dosen pembimbing dan penguji paling lambat 2 hari sebelum ujian
- Teknis Pelaksanaan Ujian dilakukan secara offline sesuai dengan lokasi yang tertera di undangan ini</t>
  </si>
  <si>
    <t>SISTEM INFORMASI ALUMNI BALAI PERLINDUNGAN DAN REHABILITASI SOSIAL WANITA BERBASIS WEBSITE MENGGUNAKAN METODE WATERFALL</t>
  </si>
  <si>
    <t>WEBSITE-BASED ALUMNI INFORMATION SYSTEM OF WOMEN'S SOCIAL PROTECTION AND REHABILITATION CENTER USING THE WATERFALL METHOD</t>
  </si>
  <si>
    <t>09.30 - 11.30</t>
  </si>
  <si>
    <t>Judul : SISTEM INFORMASI ALUMNI BALAI PERLINDUNGAN DAN REHABILITASI SOSIAL WANITA BERBASIS WEBSITE MENGGUNAKAN METODE WATERFALL
Pembimbing : Arif Rahman, S.Kom., M.T.
Penguji: 
1. Farid Suryanto, S.Pd., MT.
2. Tawar, S.Si., M.Kom.
Waktu : 09.30 - 11.30
Tempat : Ruang Prodi
Naskah : https://drive.google.com/open?id=1EpyNLoFNJZGsGHpYgrJDMMCavgKbWItC
BA :  https://drive.google.com/drive/folders/1ozkwljpEFJcfj50SnHw4gMzqjYdn1VnM?usp=sharing
Note : 
- Mengingatkan serta menyerahkan Naskah hardfile  ke dosen pembimbing dan penguji paling lambat 2 hari sebelum ujian
- Teknis Pelaksanaan Ujian dilakukan secara offline sesuai dengan lokasi yang tertera di undangan ini</t>
  </si>
  <si>
    <t>Analisis dan Desain Sistem Informasi Keuangan Asrama Mahasiswa Kalimantan Barat Yogyakarta Menggunakan Metode UCD</t>
  </si>
  <si>
    <t>Analysis and Design of Financial Information System for Kalimantan Barat Student Dormitory in Yogyakarta Using the UCD Method</t>
  </si>
  <si>
    <t>Judul : Analisis dan Desain Sistem Informasi Keuangan Asrama Mahasiswa Kalimantan Barat Yogyakarta Menggunakan Metode UCD
Pembimbing : Sri Handayaningsih, ST., MT.
Penguji: 
1. Farid Suryanto, S.Pd., MT.
2. Suprihatin, S.Si., M.Kom.
Waktu : 07.00 - 09.00
Tempat : Ruang Prodi
Naskah : https://drive.google.com/open?id=19wbOn-TOrt_cNiYwAVrw0RuE_Tq9rcOX
BA :  https://drive.google.com/drive/folders/1ozkwljpEFJcfj50SnHw4gMzqjYdn1VnM?usp=sharing
Note : 
- Mengingatkan serta menyerahkan Naskah hardfile  ke dosen pembimbing dan penguji paling lambat 2 hari sebelum ujian
- Teknis Pelaksanaan Ujian dilakukan secara offline sesuai dengan lokasi yang tertera di undangan ini</t>
  </si>
  <si>
    <t>UI/UX Design of a Mobile-Based Information System Practicum Management Service System Using the Design Thinking Method</t>
  </si>
  <si>
    <t>Judul : Perancangan UI/UX Sistem Pelayanan Manajemen Praktikum Sistem Informasi Berbasis Mobile Menggunakan Metode Design Thinking 
Pembimbing : Imam Azhari, S.Si., M.Cs.
Penguji: 
1. H. Suprihatin, S.Si., M.Kom.
2. Dr. Arif Rahman, S.Kom., M.T.
Waktu : 12.30 - 14.30
Tempat : Ruang Prodi
Naskah : https://drive.google.com/open?id=1khlDk1Q6K_xKLU4xEFEIvtIDwSpsRIj0
BA :  https://drive.google.com/drive/folders/1ozkwljpEFJcfj50SnHw4gMzqjYdn1VnM?usp=sharing
Note : 
- Mengingatkan serta menyerahkan Naskah hardfile  ke dosen pembimbing dan penguji paling lambat 2 hari sebelum ujian
- Teknis Pelaksanaan Ujian dilakukan secara offline sesuai dengan lokasi yang tertera di undangan ini</t>
  </si>
  <si>
    <t>Pengujian Aplikasi OPIBOX dengan ISO25010 pada Proyek PT Qatros Teknologi Nusantara</t>
  </si>
  <si>
    <t>OPIBOX Application Testing with ISO25010 on the PT Qatros Teknologi Nusantara Project</t>
  </si>
  <si>
    <t>Judul : Pengujian Aplikasi OPIBOX dengan ISO25010 pada Proyek PT Qatros Teknologi Nusantara
Pembimbing : Arif Rahman, S.Kom., M.T.
Penguji: 
1. Farid Suryanto, S.Pd., MT.
2. Imam Azhari, S.Si., M.Cs.
Waktu : 12.30 - 14.30
Tempat : Ruang Prodi
Naskah : https://drive.google.com/open?id=11puVZhAGnKknZLdao4TktgH204MjO45L
BA :  https://drive.google.com/drive/folders/1ozkwljpEFJcfj50SnHw4gMzqjYdn1VnM?usp=sharing
Note : 
- Mengingatkan serta menyerahkan Naskah hardfile  ke dosen pembimbing dan penguji paling lambat 2 hari sebelum ujian
- Teknis Pelaksanaan Ujian dilakukan secara offline sesuai dengan lokasi yang tertera di undangan ini</t>
  </si>
  <si>
    <t>Information System Risk Assessment of Jogja Istimewa Application using COBIT 5</t>
  </si>
  <si>
    <t>Judul : Penilaian Risiko Sistem Informasi Jogja Istimewa Menggunakan COBIT 5
Pembimbing : Prof. Ir. Dr. H. Imam Riadi, S.Pd., M.Kom.
Penguji: 
1. Tawar, S.Si., M.Kom.
2. Sri Handayaningsih, ST., MT.
Waktu : 12.30 - 14.30
Tempat : Ruang Prodi
Naskah : https://drive.google.com/open?id=1caykefjMFCIjPG2IcjBI400FtGv1TYq7
BA :  https://drive.google.com/drive/folders/1ozkwljpEFJcfj50SnHw4gMzqjYdn1VnM?usp=sharing
Note : 
- Mengingatkan serta menyerahkan Naskah hardfile  ke dosen pembimbing dan penguji paling lambat 2 hari sebelum ujian
- Teknis Pelaksanaan Ujian dilakukan secara offline sesuai dengan lokasi yang tertera di undangan ini</t>
  </si>
  <si>
    <t>Analisis Tingkat Kepuasan Pengguna SIMRS Bagian Rawat Jalan Rumah Sakit Pratama Kota Yogyakarta Menggunakan Framework PIECES</t>
  </si>
  <si>
    <t>Analysis of SIMRS User Satisfaction Level in the Rawat Jalan Departement of Pratama Kota Yogyakarta Hospital Using the PIECES Framework</t>
  </si>
  <si>
    <t>07.00 - 09.30</t>
  </si>
  <si>
    <t>Judul : Analisis Tingkat Kepuasan Pengguna SIMRS Bagian Rawat Jalan Rumah Sakit Pratama Kota Yogyakarta Menggunakan Framework PIECES
Pembimbing : Tawar, S.Si., M.Kom.
Penguji: 
1. Arif Rahman, S.Kom., M.T.
2. Iwan Tri Riyadi Yanto, S.Si., M.IT, Ph.D.
Waktu : 07.00 - 09.30
Tempat : Ruang Prodi
Naskah : https://drive.google.com/open?id=1OkQu1jegx7O8lZsPJfdvxmMQ40z67LX-
BA :  https://drive.google.com/drive/folders/1ozkwljpEFJcfj50SnHw4gMzqjYdn1VnM?usp=sharing
Note : 
- Mengingatkan serta menyerahkan Naskah hardfile  ke dosen pembimbing dan penguji paling lambat 2 hari sebelum ujian
- Teknis Pelaksanaan Ujian dilakukan secara offline sesuai dengan lokasi yang tertera di undangan ini</t>
  </si>
  <si>
    <t>User Interface Design for the Tahfidz Program Monitoring Website at SMA Muhammadiyah Kalasan</t>
  </si>
  <si>
    <t>Judul : Perancangan User Interface Website Monitoring Program Tahfidz SMA Muhammadiyah Kalasan
Pembimbing : Imam Azhari, S.Si., M.Cs.
Penguji: 
1. Arif Rahman, S.Kom., M.T.
2. Tawar, S.Si., M.Kom.
Waktu : 13.00 - 14.30
Tempat : Ruang Prodi
Naskah : https://drive.google.com/open?id=1A2KqSKO2y8RupMiU-8d9CxH4rAX9Bl9w
BA :  https://drive.google.com/drive/folders/1ozkwljpEFJcfj50SnHw4gMzqjYdn1VnM?usp=sharing
Note : 
- Mengingatkan serta menyerahkan Naskah hardfile  ke dosen pembimbing dan penguji paling lambat 2 hari sebelum ujian
- Teknis Pelaksanaan Ujian dilakukan secara offline sesuai dengan lokasi yang tertera di undangan ini</t>
  </si>
  <si>
    <t>Syaiful ihsan</t>
  </si>
  <si>
    <t>syaiful2000016012@webmail.uad.ac.id</t>
  </si>
  <si>
    <t>Perancangan Sistem Informasi Berbasis Website pada Kelompok Tani Ternak Tunas Siaga di Papua Barat</t>
  </si>
  <si>
    <t>The Website-Based Information System Design for Tunas Siaga Farmers Group in West Papua</t>
  </si>
  <si>
    <t>Judul : Perancangan Sistem Informasi Berbasis Website pada Kelompok Tani Ternak Tunas Siaga di Papua Barat
Pembimbing : Arif Rahman, S.Kom., M.T.
Penguji: 
1. Farid Suryanto, S.Pd., MT.
2. Imam Azhari, S.Si., M.Cs.
Waktu : 15.00 - 16.30
Tempat : Ruang Prodi
Naskah : https://drive.google.com/open?id=1UzmkuCinS7CzeuJAXYkiboiyInuKDXvA
BA :  https://drive.google.com/drive/folders/1ozkwljpEFJcfj50SnHw4gMzqjYdn1VnM?usp=sharing
Note : 
- Mengingatkan serta menyerahkan Naskah hardfile  ke dosen pembimbing dan penguji paling lambat 2 hari sebelum ujian
- Teknis Pelaksanaan Ujian dilakukan secara offline sesuai dengan lokasi yang tertera di undangan ini</t>
  </si>
  <si>
    <t>Judul : PERANCANGAN ULANG DESAIN UI/UX NIBRAS INFORMATION DATA CENTER MENGGUNAKAN METODE LEAN UX Studi kasus : PT Fatahillah Anugerah Nibras
Pembimbing : Imam Azhari, S.Si., M.Cs.
Penguji: 
1. Dr. H. Imam Riadi, S.Pd., M.Kom.
2. Farid Suryanto, S.Pd., MT.
Waktu : 13.00 - 14.30
Tempat : Ruang Prodi
Naskah : https://drive.google.com/open?id=1P8l_VqhbrjBa9zUyu8p0sLP2w2vf_HRO
BA :  https://drive.google.com/drive/folders/12Oy3Q9IY1fLhEptaLkuOy8v2DzOrARMq?usp=drive_link
Note : 
- Mengingatkan serta menyerahkan Naskah hardfile  ke dosen pembimbing dan penguji paling lambat 2 hari sebelum ujian
- Teknis Pelaksanaan Ujian dilakukan secara offline sesuai dengan lokasi yang tertera di undangan ini</t>
  </si>
  <si>
    <t>1900016005@webmail.uad.ac.id</t>
  </si>
  <si>
    <t>Rancang Bangun Sistem Informasi Manajemen Peserta Magang Oemah Website Berbasis Web Menggunakan Metode Waterfall</t>
  </si>
  <si>
    <t>Design and Development Management Information System for Internship Participants at Oemah Website with Web Based Using the Waterfall Method</t>
  </si>
  <si>
    <t>Judul : Rancang Bangun Sistem Informasi Manajemen Peserta Magang Oemah Website Berbasis Web Menggunakan Metode Waterfall
Pembimbing : H. Suprihatin, S.Si., M.Kom.
Penguji: 
1. Farid Suryanto, S.Pd., MT.
2. Imam Azhari, S.Si., M.Cs.
Waktu : 14.00 - 15.30
Tempat : Ruang Prodi
Naskah : https://drive.google.com/open?id=1GKQloh14ylCcYKhPekaALM2q-AgoYLI8
BA :  https://drive.google.com/drive/folders/12Oy3Q9IY1fLhEptaLkuOy8v2DzOrARMq?usp=drive_link
Note : 
- Mengingatkan serta menyerahkan Naskah hardfile  ke dosen pembimbing dan penguji paling lambat 2 hari sebelum ujian
- Teknis Pelaksanaan Ujian dilakukan secara offline sesuai dengan lokasi yang tertera di undangan ini</t>
  </si>
  <si>
    <t>amelia putri</t>
  </si>
  <si>
    <t>Penilaian risiko pada website menggunakan octave allegro</t>
  </si>
  <si>
    <t>Risk assessment on website using octave allegro</t>
  </si>
  <si>
    <t>Judul : Penilaian risiko pada website menggunakan octave allegro
Pembimbing : Prof. Ir. Dr. H. Imam Riadi, S.Pd., M.Kom.
Penguji: 
1. Iwan Tri Riyadi Yanto, S.Si., M.IT
2. Imam Azhari, S.Si., M.Cs.
Waktu : 09.00 - 10.30
Tempat : Ruang Prodi
Naskah : https://drive.google.com/open?id=1j8jy27fX5z8Fn732i1-6yM6D3SVEFp1G
BA :  https://drive.google.com/drive/folders/12Oy3Q9IY1fLhEptaLkuOy8v2DzOrARMq?usp=drive_link
Note : 
- Mengingatkan serta menyerahkan Naskah hardfile  ke dosen pembimbing dan penguji paling lambat 2 hari sebelum ujian
- Teknis Pelaksanaan Ujian dilakukan secara offline sesuai dengan lokasi yang tertera di undangan ini</t>
  </si>
  <si>
    <t>WIDYA WULAN SARI</t>
  </si>
  <si>
    <t>Redesign of the Aksara Jawa Application Interface Using the User-Centered Design Method</t>
  </si>
  <si>
    <t>Judul : Perancangan Ulang Antarmuka Aplikasi Aksara Jawa Menggunakan Metode User Centered Design
Pembimbing : Imam Azhari, S.Si., M.Cs.
Penguji: 
1. Arif Rahman, S.Kom., M.T.
2. Suprihatin, S.Si., M.Kom.
Waktu : 12.30 - 14.30
Tempat : Ruang Prodi
Naskah : https://drive.google.com/open?id=1PXy2eRdibLz-GSPPhjeNIOdTAlE7RcuT
BA :  https://drive.google.com/drive/folders/12Oy3Q9IY1fLhEptaLkuOy8v2DzOrARMq?usp=drive_link
Note : 
- Mengingatkan serta menyerahkan Naskah hardfile  ke dosen pembimbing dan penguji paling lambat 2 hari sebelum ujian
- Teknis Pelaksanaan Ujian dilakukan secara offline sesuai dengan lokasi yang tertera di undangan ini</t>
  </si>
  <si>
    <t>Hamim fajar alabid</t>
  </si>
  <si>
    <t>Pengembangan Sistem Transaksi Pada Situs Web UMKM UD Laris</t>
  </si>
  <si>
    <t>Development of a Transaction System on the UD Laris Website</t>
  </si>
  <si>
    <t>Judul : Pengembangan Sistem Transaksi Pada Situs Web UMKM UD Laris
Pembimbing : Dr. Mursid Wahyu Hananto, S.Si., M.Kom.
Penguji: 
1. Arif Rahman, S.Kom., M.T.
2. Farid Suryanto, S.Pd., MT.
Waktu : 13.00 - 14.30
Tempat : Ruang Prodi
Naskah : https://drive.google.com/open?id=1U-e-3AkwQugY2qC6ISvyOVRCLG4-sLjv
BA :  https://drive.google.com/drive/folders/12Oy3Q9IY1fLhEptaLkuOy8v2DzOrARMq?usp=drive_link
Note : 
- Mengingatkan serta menyerahkan Naskah hardfile  ke dosen pembimbing dan penguji paling lambat 2 hari sebelum ujian
- Teknis Pelaksanaan Ujian dilakukan secara offline sesuai dengan lokasi yang tertera di undangan ini</t>
  </si>
  <si>
    <t>Perancangan UI/UX Pengelolaan Praktikum Pada Laboratorium Sistem Informasi Menggunakan Metode Design Thinking</t>
  </si>
  <si>
    <t>UI/UX Design for Practical Management in the Information Systems Laboratory Using the Design Thinking Method</t>
  </si>
  <si>
    <t>Judul : Perancangan UI/UX Pengelolaan Praktikum Pada Laboratorium Sistem Informasi Menggunakan Metode Design Thinking
Pembimbing : Imam Azhari, S.Si., M.Cs.
Penguji: 
1. H. Suprihatin, S.Si., M.Kom.
2. Dr. Arif Rahman, S.Kom., M.T.
Waktu : 12.30 - 14.00
Tempat : Ruang Prodi
Naskah : https://drive.google.com/open?id=1sT11SEwLQTf05w4djImSAgtmmz893Oap
BA :  https://drive.google.com/drive/folders/12Oy3Q9IY1fLhEptaLkuOy8v2DzOrARMq?usp=drive_link
Note : 
- Mengingatkan serta menyerahkan Naskah hardfile  ke dosen pembimbing dan penguji paling lambat 2 hari sebelum ujian
- Teknis Pelaksanaan Ujian dilakukan secara offline sesuai dengan lokasi yang tertera di undangan ini</t>
  </si>
  <si>
    <t>reza1900016196@webmail.uad.ac.id</t>
  </si>
  <si>
    <t>Klasifikasi Kesehatan Mental Berdasarkan Kriteria DASS Pada Media Sosial Facebook Menggunakan Naive Bayes</t>
  </si>
  <si>
    <t>Classification mental health based on DASS criteria on social media facebook using Naive bayes</t>
  </si>
  <si>
    <t>Judul : Klasifikasi Kesehatan Mental Berdasarkan Kriteria DASS Pada Media Sosial Facebook Menggunakan Naive Bayes
Pembimbing : Iwan Tri Riyadi Yanto, S.Si., M.IT, Ph.D.
Penguji: 
1. Farid Suryanto, S.Pd., MT.
2. Dr. Arif Rahman, S.Kom., M.T.
Waktu : 09.00 - 10.30
Tempat : Ruang Prodi
Naskah : https://drive.google.com/open?id=15ryJx6D9aturAe_Q0Nygyp-BgOWUdQvY
BA :  https://drive.google.com/drive/folders/12Oy3Q9IY1fLhEptaLkuOy8v2DzOrARMq?usp=drive_link
Note : 
- Mengingatkan serta menyerahkan Naskah hardfile  ke dosen pembimbing dan penguji paling lambat 2 hari sebelum ujian
- Teknis Pelaksanaan Ujian dilakukan secara offline sesuai dengan lokasi yang tertera di undangan ini</t>
  </si>
  <si>
    <t>Perancangan UI UX Aplikasi Kustomisasi Baju Interaktif Menggunakan Metode Design Thinking Studi kasus UKM Koperasi Mahasiswa UAD</t>
  </si>
  <si>
    <t>Designing the UI/UX of an Interactive Clothing Customization Application Using the Design Thinking Methode A Case Study at UKM Koperasi Mahasiswa UAD</t>
  </si>
  <si>
    <t>Judul : Perancangan UI UX Aplikasi Kustomisasi Baju Interaktif Menggunakan Metode Design Thinking Studi kasus UKM Koperasi Mahasiswa UAD
Pembimbing : Imam Azhari, S.Si., M.Cs.
Penguji: 
1. Dr. Mursid Wahyu Hananto, S.Si., M.Kom.
2. Farid Suryanto, S.Pd., MT.
Waktu : 13.00 - 14.30
Tempat : Ruang Prodi
Naskah : https://drive.google.com/open?id=1T-KLYssio_G8l7D_KqrsE3MZCmb1_91e
BA :  https://drive.google.com/drive/folders/12Oy3Q9IY1fLhEptaLkuOy8v2DzOrARMq?usp=drive_link
Note : 
- Mengingatkan serta menyerahkan Naskah hardfile  ke dosen pembimbing dan penguji paling lambat 2 hari sebelum ujian
- Teknis Pelaksanaan Ujian dilakukan secara offline sesuai dengan lokasi yang tertera di undangan ini</t>
  </si>
  <si>
    <t>BPDDIY Mobile Application Quality Analysis Using ISO 25010 Standard</t>
  </si>
  <si>
    <t>Judul : Analisis Kualitas Aplikasi BPDDIY Mobile Menggunakan Standar ISO 25010
Pembimbing : Tawar, S.Si., M.Kom.
Penguji: 
1. Arif Rahman, S.Kom., M.T.
2. Farid Suryanto, S.Pd., MT.
Waktu : 08.00 - 09.30
Tempat : Ruang Prodi
Naskah : https://drive.google.com/open?id=1BBf4jS-Mvqu2kZP6-vEvoxwtwUl4E8Es
BA :  https://drive.google.com/drive/folders/12Oy3Q9IY1fLhEptaLkuOy8v2DzOrARMq?usp=drive_link
Note : 
- Mengingatkan serta menyerahkan Naskah hardfile  ke dosen pembimbing dan penguji paling lambat 2 hari sebelum ujian
- Teknis Pelaksanaan Ujian dilakukan secara offline sesuai dengan lokasi yang tertera di undangan ini</t>
  </si>
  <si>
    <t>Amiftha Salsabila. Flancio</t>
  </si>
  <si>
    <t>Analisis Kebutuhan pada Sistem Penjualan dan Perancangan User Interface dan User Exprience Aplikasi Pasar Tradisional  Bibit Ikan Cangkringan menggunakan metode User-Centered-Design</t>
  </si>
  <si>
    <t>Analysis of Needs in the Sales System and design of the User Interface and User Experience Application for the Traditional Market of Cangkringan Fish Seeds using the User-Centered-Design method</t>
  </si>
  <si>
    <t>Judul : Analisis Kebutuhan pada Sistem Penjualan dan Perancangan User Interface dan User Exprience Aplikasi Pasar Tradisional  Bibit Ikan Cangkringan menggunakan metode User-Centered-Design  
Pembimbing : Sri Handayaningsih, ST., MT.
Penguji: 
1. Tawar, S.Si., M.Kom.
2. Suprihatin, S.Si., M.Kom.
Waktu : 08.00 - 09.30
Tempat : Ruang Prodi
Naskah : https://drive.google.com/open?id=1zrh6ztnpL0NbdXPZLg7XUWFl-WlNziVL
BA :  https://drive.google.com/drive/folders/12Oy3Q9IY1fLhEptaLkuOy8v2DzOrARMq?usp=drive_link
Note : 
- Mengingatkan serta menyerahkan Naskah hardfile  ke dosen pembimbing dan penguji paling lambat 2 hari sebelum ujian
- Teknis Pelaksanaan Ujian dilakukan secara offline sesuai dengan lokasi yang tertera di undangan ini</t>
  </si>
  <si>
    <t>muhammad1900016179@webmail.uad.ac.id</t>
  </si>
  <si>
    <t>Perancangan Gamified User Interface Aplikasi Belajar Mengaji Menggunakan Player Centered Design</t>
  </si>
  <si>
    <t>Gamified User Interface Design for a Quran Learning App Using Player-Centered Design</t>
  </si>
  <si>
    <t xml:space="preserve">Judul : Perancangan Gamified User Interface Aplikasi Belajar Mengaji Menggunakan Player Centered Design 
Pembimbing : Imam Azhari, S.Si., M.Cs.
Penguji: 
1. Farid Suryanto, S.Pd., MT.
2. Iwan Tri Riyadi Yanto, S.Si., M.IT, Ph.D.
Waktu : 13.00 - 14.30
Tempat : Ruang Prodi
Naskah : https://drive.google.com/open?id=11DaAbKpnXGuGf0RsFTLzGoNTzf6VWZtd
BA :  https://drive.google.com/drive/folders/12Oy3Q9IY1fLhEptaLkuOy8v2DzOrARMq?usp=drive_link
Note : 
- Mengingatkan serta menyerahkan Naskah hardfile  ke dosen pembimbing dan penguji paling lambat 2 hari sebelum ujian
- Teknis Pelaksanaan Ujian dilakukan secara offline sesuai dengan lokasi yang tertera di undangan ini
- mhs wajib menyiapkan semua file yang terkait meskipun tidak menngunakan laptop milik sendiri (misal hasil wawancara, catatan observasi, sumber rujukan dll), tidak ada alasan 'ganti/pinjam laptop' </t>
  </si>
  <si>
    <t>Website Based Car Rental Information System Design</t>
  </si>
  <si>
    <t xml:space="preserve">Judul : Perancangan Sistem Informasi Rental Mobil Berbasis Website
Pembimbing : H. Suprihatin, S.Si., M.Kom.
Penguji: 
1. Farid Suryanto, S.Pd., MT.
2. Tawar, S.Si., M.Kom.
Waktu : 08.00 - 09.30
Tempat : Ruang Prodi
Naskah : https://drive.google.com/open?id=1roXMqwiDwQ-TC9GL_aXrVOvI-Ii3WeMz
BA :  https://drive.google.com/drive/folders/12Oy3Q9IY1fLhEptaLkuOy8v2DzOrARMq?usp=drive_link
Note : 
- Mengingatkan serta menyerahkan Naskah hardfile  ke dosen pembimbing dan penguji paling lambat 2 hari sebelum ujian
- Teknis Pelaksanaan Ujian dilakukan secara offline sesuai dengan lokasi yang tertera di undangan ini
- mhs wajib menyiapkan semua file yang terkait meskipun tidak menngunakan laptop milik sendiri (misal hasil wawancara, catatan observasi, sumber rujukan dll), tidak ada alasan 'ganti/pinjam laptop' </t>
  </si>
  <si>
    <t>Intent Analysis Komentar Pengunjung di Tempat Wisata Bukit Pengilon dengan Metode Latent Dirichlet Allocation (LDA)</t>
  </si>
  <si>
    <t>Intent Analysis of Visitor Comments at Bukit Pengilon Tourist Attraction Using the Latent Dirichlet Allocation (LDA) Method</t>
  </si>
  <si>
    <t xml:space="preserve">Judul : Intent Analysis Komentar Pengunjung di Tempat Wisata Bukit Pengilon dengan Metode Latent Dirichlet Allocation (LDA)
Pembimbing : Iwan Tri Riyadi Yanto, S.Si., M.IT, Ph.D.
Penguji: 
1. Arif Rahman, S.Kom., M.T.
2. Farid Suryanto, S.Pd., MT.
Waktu : 13.00 - 14.30
Tempat : Ruang Prodi
Naskah : https://drive.google.com/open?id=1-psuQj8ftbAkVd2WS6ErbDEu-yK4ujUN
BA :  https://drive.google.com/drive/folders/12Oy3Q9IY1fLhEptaLkuOy8v2DzOrARMq?usp=drive_link
Note : 
- Mengingatkan serta menyerahkan Naskah hardfile  ke dosen pembimbing dan penguji paling lambat 2 hari sebelum ujian
- Teknis Pelaksanaan Ujian dilakukan secara offline sesuai dengan lokasi yang tertera di undangan ini
- mhs wajib menyiapkan semua file yang terkait meskipun tidak menngunakan laptop milik sendiri (misal hasil wawancara, catatan observasi, sumber rujukan dll), tidak ada alasan 'ganti/pinjam laptop' </t>
  </si>
  <si>
    <t>Web-Based Food Ordering System for Danau Raja Cafe Rengat</t>
  </si>
  <si>
    <t xml:space="preserve">Judul : Sistem Informasi Pemesanan Makanan Berbasis Web Danau Raja Cafe Rengat
Pembimbing : Arif Rahman, S.Kom., M.T.
Penguji: 
1. H. Suprihatin, S.Si., M.Kom.
2. Imam Azhari, S.Si., M.Cs.
Waktu : 08.00 - 09.30
Tempat : Ruang Prodi
Naskah : https://drive.google.com/open?id=18l-T1wFnN5a2HVmkTud3-Tm4dc71iosP
BA :  https://drive.google.com/drive/folders/12Oy3Q9IY1fLhEptaLkuOy8v2DzOrARMq?usp=drive_link
Note : 
- Mengingatkan serta menyerahkan Naskah hardfile  ke dosen pembimbing dan penguji paling lambat 2 hari sebelum ujian
- Teknis Pelaksanaan Ujian dilakukan secara offline sesuai dengan lokasi yang tertera di undangan ini
- mhs wajib menyiapkan semua file yang terkait meskipun tidak menngunakan laptop milik sendiri (misal hasil wawancara, catatan observasi, sumber rujukan dll), tidak ada alasan 'ganti/pinjam laptop' </t>
  </si>
  <si>
    <t>Perancangan UI/UX Fitur Layanan Pasien Dengan Metode Design Thinking
Studi Kasus Website Rumah Sakit Happy Land Yogyakarta</t>
  </si>
  <si>
    <t>UI/UX Design for Patient Service Features Using the Design Thinking Method
A Case Study of the Happy Land Hospital Website in Yogyakarta</t>
  </si>
  <si>
    <t xml:space="preserve">Judul : Perancangan UI/UX Fitur Layanan Pasien Dengan Metode Design Thinking
Studi Kasus Website Rumah Sakit Happy Land Yogyakarta
Pembimbing : Imam Azhari, S.Si., M.Cs.
Penguji: 
1. Dr. Mursid Wahyu Hananto, S.Si., M.Kom.
2. Tawar, S.Si., M.Kom.
Waktu : 12.30 - 14.00
Tempat : Ruang Prodi
Naskah : https://drive.google.com/open?id=1YnLdEvepArqfQmPHeQzqF5womNflsL7Y
BA :  https://drive.google.com/drive/folders/12Oy3Q9IY1fLhEptaLkuOy8v2DzOrARMq?usp=drive_link
Note : 
- Mengingatkan serta menyerahkan Naskah hardfile  ke dosen pembimbing dan penguji paling lambat 2 hari sebelum ujian
- Teknis Pelaksanaan Ujian dilakukan secara offline sesuai dengan lokasi yang tertera di undangan ini
- mhs wajib menyiapkan semua file yang terkait meskipun tidak menngunakan laptop milik sendiri (misal hasil wawancara, catatan observasi, sumber rujukan dll), tidak ada alasan 'ganti/pinjam laptop' </t>
  </si>
  <si>
    <t>Analisis Risiko Keamanan Informasi Dinas Komunikasi dan Informatika Menggunakan Framework OCTAVE Allegro</t>
  </si>
  <si>
    <t>Analysis of Information Security Risk for Communication and Informatics Service using OCTAVE Allegro</t>
  </si>
  <si>
    <t xml:space="preserve">Judul : Analisis Risiko Keamanan Informasi Dinas Komunikasi dan Informatika Menggunakan Framework OCTAVE Allegro
Pembimbing : Prof. Ir. Dr. H. Imam Riadi, S.Pd., M.Kom.
Penguji: 
1. Sri Handayaningsih, ST., MT.
2. Imam Azhari, S.Si., M.Cs.
Waktu : 08.00 - 09.30
Tempat : Ruang Prodi
Naskah : https://drive.google.com/open?id=1OPxwuvhPM44BI1XeF8qdvaecTzD9GGpz
BA :  https://drive.google.com/drive/folders/12Oy3Q9IY1fLhEptaLkuOy8v2DzOrARMq?usp=drive_link
Note : 
- Mengingatkan serta menyerahkan Naskah hardfile  ke dosen pembimbing dan penguji paling lambat 2 hari sebelum ujian
- Teknis Pelaksanaan Ujian dilakukan secara offline sesuai dengan lokasi yang tertera di undangan ini
- mhs wajib menyiapkan semua file yang terkait meskipun tidak menngunakan laptop milik sendiri (misal hasil wawancara, catatan observasi, sumber rujukan dll), tidak ada alasan 'ganti/pinjam laptop' </t>
  </si>
  <si>
    <t>Analisis Dan Perbaikan Proses Bisnis Pada Layanan Customer Service Menggunakan SVC Pada ITIL V4</t>
  </si>
  <si>
    <t>Analysis And Improvement Of Business Processes in Customer Service Using SVC in ITIL V4</t>
  </si>
  <si>
    <t xml:space="preserve">Judul : Analisis Dan Perbaikan Proses Bisnis Pada Layanan Customer Service Menggunakan SVC Pada ITIL V4
Pembimbing : Tawar, S.Si., M.Kom.
Penguji: 
1. Sri Handayaningsih, ST., MT.
2. Iwan Tri Riyadi Yanto, S.Si., M.IT, Ph.D.
Waktu : 08.00 - 09.30
Tempat : Ruang Prodi
Naskah : https://drive.google.com/open?id=1IONzyZdE15gy7In2a36Oc7hi0btmfu16
BA :  https://drive.google.com/drive/folders/12Oy3Q9IY1fLhEptaLkuOy8v2DzOrARMq?usp=drive_link
Note : 
- Mengingatkan serta menyerahkan Naskah hardfile  ke dosen pembimbing dan penguji paling lambat 2 hari sebelum ujian
- Teknis Pelaksanaan Ujian dilakukan secara offline sesuai dengan lokasi yang tertera di undangan ini
- mhs wajib menyiapkan semua file yang terkait meskipun tidak menngunakan laptop milik sendiri (misal hasil wawancara, catatan observasi, sumber rujukan dll), tidak ada alasan 'ganti/pinjam laptop' </t>
  </si>
  <si>
    <t>Perangkingan Beauty Influencer Berdasarkan Pengaruh Terhadap Minat Beli Produk Makeup di Instagram Menggunakan Metode ARAS</t>
  </si>
  <si>
    <t>Ranking of Beauty Influencers Based on Their Influence on Purchase Interest in Makeup Products on Instagram Using the ARAS Method</t>
  </si>
  <si>
    <t xml:space="preserve">Judul : Perangkingan Beauty Influencer Berdasarkan Pengaruh Terhadap Minat Beli Produk Makeup di Instagram Menggunakan Metode ARAS 
Pembimbing : Iwan Tri Riyadi Yanto, S.Si., M.IT, Ph.D.
Penguji: 
1. Arif Rahman, S.Kom., M.T.
2. Sri Handayaningsih, ST., MT.
Waktu : 07.30 - 09.00
Tempat : Ruang Prodi
Naskah : https://drive.google.com/open?id=1A1ZHLoAz8vQPhcudqKl6PRf5W8lDH77V
BA :  https://drive.google.com/drive/folders/12Oy3Q9IY1fLhEptaLkuOy8v2DzOrARMq?usp=drive_link
Note : 
- Mengingatkan serta menyerahkan Naskah hardfile  ke dosen pembimbing dan penguji paling lambat 2 hari sebelum ujian
- Teknis Pelaksanaan Ujian dilakukan secara offline sesuai dengan lokasi yang tertera di undangan ini
- mhs wajib menyiapkan semua file yang terkait meskipun tidak menngunakan laptop milik sendiri (misal hasil wawancara, catatan observasi, sumber rujukan dll), tidak ada alasan 'ganti/pinjam laptop' </t>
  </si>
  <si>
    <t>The Influence of Promotion Types and Post Types on Engagement Rate and Sentiment in the Skintific Skincare Brand on Instagram</t>
  </si>
  <si>
    <t xml:space="preserve">Judul : Pengaruh Tipe Promosi dan Jenis Postingan Terhadap Engagement Rate dan Sentimen Pada Brand Skincare Skintific di Instagram
Pembimbing : Iwan Tri Riyadi Yanto, S.Si., M.IT, Ph.D.
Penguji: 
1. Arif Rahman, S.Kom., M.T.
2. Sri Handayaningsih, ST., MT.
Waktu : 09.30 - 11.00
Tempat : Ruang Prodi
Naskah : https://drive.google.com/open?id=1v-o1l0FF4lOR_1Ls4DiDV3K_93Zb6Y87
BA :  https://drive.google.com/drive/folders/12Oy3Q9IY1fLhEptaLkuOy8v2DzOrARMq?usp=drive_link
Note : 
- Mengingatkan serta menyerahkan Naskah hardfile  ke dosen pembimbing dan penguji paling lambat 2 hari sebelum ujian
- Teknis Pelaksanaan Ujian dilakukan secara offline sesuai dengan lokasi yang tertera di undangan ini
- mhs wajib menyiapkan semua file yang terkait meskipun tidak menngunakan laptop milik sendiri (misal hasil wawancara, catatan observasi, sumber rujukan dll), tidak ada alasan 'ganti/pinjam laptop' </t>
  </si>
  <si>
    <t>Analisis Kesuksesan Penerapan Aplikasi Lapak Bantul Menggunakan Model DeLone and McLean Studi Kasus Sekretariat Daerah Bantul Yogyakarta</t>
  </si>
  <si>
    <t>Analysis of the Application of Bantul Applications Using the DeLone and McLean Case Study Bantul Regional Secretariat Yogyakarta</t>
  </si>
  <si>
    <t xml:space="preserve">Judul : Analisis Kesuksesan Penerapan Aplikasi Lapak Bantul Menggunakan Model DeLone and McLean Studi Kasus Sekretariat Daerah Bantul Yogyakarta
Pembimbing : Tawar, S.Si., M.Kom.
Penguji: 
1. Sri Handayaningsih, ST., MT.
2. Imam Azhari, S.Si., M.Cs.
Waktu : 14.00 - 15.30
Tempat : Ruang Prodi
Naskah : https://drive.google.com/open?id=18mJwgf8L2Vf7Tp6llsRynRNc3IMLKg8h
BA :  https://drive.google.com/drive/folders/12Oy3Q9IY1fLhEptaLkuOy8v2DzOrARMq?usp=drive_link
Note : 
- Mengingatkan serta menyerahkan Naskah hardfile  ke dosen pembimbing dan penguji paling lambat 2 hari sebelum ujian
- Teknis Pelaksanaan Ujian dilakukan secara offline sesuai dengan lokasi yang tertera di undangan ini
- mhs wajib menyiapkan semua file yang terkait meskipun tidak menngunakan laptop milik sendiri (misal hasil wawancara, catatan observasi, sumber rujukan dll), tidak ada alasan 'ganti/pinjam laptop' </t>
  </si>
  <si>
    <t>Perancangan Ulang UI/UX Situs E-Learning UAD dengan Menggunakan Metode Design Thinking</t>
  </si>
  <si>
    <t>UI/UX Redesign UAD E-Learning Site With Design Thinking Method</t>
  </si>
  <si>
    <t xml:space="preserve">Judul : Perancangan Ulang UI/UX Situs E-Learning UAD dengan Menggunakan Metode Design Thinking 
Pembimbing : Tawar, S.Si., M.Kom.
Penguji: 
1. Imam Azhari, S.Si., M.Cs.
2. Farid Suryanto, S.Pd., MT.
Waktu : 07.00 - 08.30 
Tempat : Ruang Prodi
Naskah : https://drive.google.com/open?id=11APtCd1mGE0ZqbWpyzZ2_FGFooquF0ix
BA :  https://drive.google.com/drive/folders/12Oy3Q9IY1fLhEptaLkuOy8v2DzOrARMq?usp=drive_link
Note : 
- Mengingatkan serta menyerahkan Naskah hardfile  ke dosen pembimbing dan penguji paling lambat 2 hari sebelum ujian
- Teknis Pelaksanaan Ujian dilakukan secara offline sesuai dengan lokasi yang tertera di undangan ini
- mhs wajib menyiapkan semua file yang terkait meskipun tidak menngunakan laptop milik sendiri (misal hasil wawancara, catatan observasi, sumber rujukan dll), tidak ada alasan 'ganti/pinjam laptop' </t>
  </si>
  <si>
    <t>WEBSITE PERFORMANCE ANALYSIS OF LAZISMU USING THE PIECES METHOD (CASE STUDY: LAZISMU SPECIAL REGION OF YOGYAKARTA)</t>
  </si>
  <si>
    <t xml:space="preserve">Judul : ANALISIS PERFORMA WEBSITE LAZISMU MENGGUNAKAN METODE PIECES (STUDI KASUS: LAZISMU DAERAH ISTIMEWA YOGYAKARTA)
Pembimbing : Tawar, S.Si., M.Kom.
Penguji: 
1. Arif Rahman, S.Kom., M.T.
2. Imam Azhari, S.Si., M.Cs.
Waktu : 14.00 - 15.30
Tempat : Ruang Prodi
Naskah : https://drive.google.com/open?id=1ja1MSmGpJ1U9wH56zceI7OaY3zoKb_O7
BA :  https://drive.google.com/drive/folders/12Oy3Q9IY1fLhEptaLkuOy8v2DzOrARMq?usp=drive_link
Note : 
- Mengingatkan serta menyerahkan Naskah hardfile  ke dosen pembimbing dan penguji paling lambat 2 hari sebelum ujian
- Teknis Pelaksanaan Ujian dilakukan secara offline sesuai dengan lokasi yang tertera di undangan ini
- mhs wajib menyiapkan semua file yang terkait meskipun tidak menngunakan laptop milik sendiri (misal hasil wawancara, catatan observasi, sumber rujukan dll), tidak ada alasan 'ganti/pinjam laptop' </t>
  </si>
  <si>
    <t>bayu1900016174@webmail.uad.ac.id</t>
  </si>
  <si>
    <t>User Interface Redesign On Access By KAI Application Using Design Thinking Method</t>
  </si>
  <si>
    <t xml:space="preserve">Judul : Perancangan Ulang User Interface Pada Aplikasi Access By KAI Menggunakan Metode Design Thinking
Pembimbing : Imam Azhari, S.Si., M.Cs.
Penguji: 
1. Arif Rahman, S.Kom., M.T.
2. Farid Suryanto, S.Pd., MT.
Waktu : 10.30 - 12.00
Tempat : Ruang Prodi
Naskah : https://drive.google.com/open?id=1g1Ujnhsgt-s8uPSLmh-VlsaWM3_Inmzr
BA :  https://drive.google.com/drive/folders/12Oy3Q9IY1fLhEptaLkuOy8v2DzOrARMq?usp=drive_link
Note : 
- Mengingatkan serta menyerahkan Naskah hardfile  ke dosen pembimbing dan penguji paling lambat 2 hari sebelum ujian
- Teknis Pelaksanaan Ujian dilakukan secara offline sesuai dengan lokasi yang tertera di undangan ini
- mhs wajib menyiapkan semua file yang terkait meskipun tidak menngunakan laptop milik sendiri (misal hasil wawancara, catatan observasi, sumber rujukan dll), tidak ada alasan 'ganti/pinjam laptop' </t>
  </si>
  <si>
    <t>Identifikasi Proses Bisnis Stock Opname Pada Minimarket Gedemart Menggunakan Framework COBIT 5</t>
  </si>
  <si>
    <t>Identification of Stock Opname Business Process at Gedemart Minimarket Using COBIT 5 Framework</t>
  </si>
  <si>
    <t>Tri Riyadi Yanto, S.Si., M.IT, Ph.D.</t>
  </si>
  <si>
    <t xml:space="preserve">Judul : Identifikasi Proses Bisnis Stock Opname Pada Minimarket Gedemart Menggunakan Framework COBIT 5
Pembimbing : Tawar, S.Si., M.Kom.
Penguji: 
1. Sri Handayaningsih, ST., MT.
2. Tri Riyadi Yanto, S.Si., M.IT, Ph.D.
Waktu : 12.30 - 14.00
Tempat : Ruang Prodi
Naskah : https://drive.google.com/open?id=1Iu2ZrRV3u0vkuO5C7bOJRMlXl07hV7kP
BA :  https://drive.google.com/drive/folders/12Oy3Q9IY1fLhEptaLkuOy8v2DzOrARMq?usp=drive_link
Note : 
- Mengingatkan serta menyerahkan Naskah hardfile  ke dosen pembimbing dan penguji paling lambat 2 hari sebelum ujian
- Teknis Pelaksanaan Ujian dilakukan secara offline sesuai dengan lokasi yang tertera di undangan ini
- mhs wajib menyiapkan semua file yang terkait meskipun tidak menngunakan laptop milik sendiri (misal hasil wawancara, catatan observasi, sumber rujukan dll), tidak ada alasan 'ganti/pinjam laptop' </t>
  </si>
  <si>
    <t>Application of the Additive Ratio Assessment (ARAS) Method to Rank E-Commerce Apps Based on User Reviews in the Google Play Store</t>
  </si>
  <si>
    <t xml:space="preserve">Judul : Penggunaan Metode Additive Ratio Assessment (ARAS) untuk Menentukan Peringkat Aplikasi E-Commerce Berdasarkan Ulasan Pengguna di Google Play Store
Pembimbing : Iwan Tri Riyadi Yanto, S.Si., M.IT, Ph.D.
Penguji: 
1. Farid Suryanto, S.Pd., MT.
2. Imam Azhari, S.Si., M.Cs.
Waktu : 09.00 - 10.30
Tempat : Ruang Prodi
Naskah : https://drive.google.com/open?id=1PutznUQTCYEZPLzcDizGvujFwv8XrqpJ
BA :  https://drive.google.com/drive/folders/12Oy3Q9IY1fLhEptaLkuOy8v2DzOrARMq?usp=drive_link
Note : 
- Mengingatkan serta menyerahkan Naskah hardfile  ke dosen pembimbing dan penguji paling lambat 2 hari sebelum ujian
- Teknis Pelaksanaan Ujian dilakukan secara offline sesuai dengan lokasi yang tertera di undangan ini
- mhs wajib menyiapkan semua file yang terkait meskipun tidak menngunakan laptop milik sendiri (misal hasil wawancara, catatan observasi, sumber rujukan dll), tidak ada alasan 'ganti/pinjam laptop' </t>
  </si>
  <si>
    <t>Evaluasi dan Penilaian Indeks SPBE Nasional Pada Tingkat Kematangan Proses dan Kapabilitas Layanan di Pemkab Purworejo</t>
  </si>
  <si>
    <t>Evaluation and Assessment of the National SPBE Index on the Level of Process Maturity and Service Capability in Purworejo Regency Government</t>
  </si>
  <si>
    <t xml:space="preserve">Judul : Evaluasi dan Penilaian Indeks SPBE Nasional Pada Tingkat Kematangan Proses dan Kapabilitas Layanan di Pemkab Purworejo
Pembimbing : Tawar, S.Si., M.Kom.
Penguji: 
1. Sri Handayaningsih, ST., MT.
2. Imam Azhari, S.Si., M.Cs.
Waktu : 09.00 - 10.30
Tempat : Ruang Prodi
Naskah : https://drive.google.com/open?id=1_wm_CPy0Liv5NprrB34MB1G8B6S9UMDq
BA :  https://drive.google.com/drive/folders/12Oy3Q9IY1fLhEptaLkuOy8v2DzOrARMq?usp=drive_link
Note : 
- Mengingatkan serta menyerahkan Naskah hardfile  ke dosen pembimbing dan penguji paling lambat 2 hari sebelum ujian
- Teknis Pelaksanaan Ujian dilakukan secara offline sesuai dengan lokasi yang tertera di undangan ini
- mhs wajib menyiapkan semua file yang terkait meskipun tidak menngunakan laptop milik sendiri (misal hasil wawancara, catatan observasi, sumber rujukan dll), tidak ada alasan 'ganti/pinjam laptop' </t>
  </si>
  <si>
    <t>Perencanaan Pengelolaan Risiko Pada Layanan Administrasi Online Portal Pemerintah Desa Gembong Menggunakan Metode OCTAVE Allegro</t>
  </si>
  <si>
    <t>Risk Management Planning for Online Administration Services of the Gembong Village Government Portal Using the OCTAVE Allegro Method</t>
  </si>
  <si>
    <t xml:space="preserve">Judul : Perencanaan Pengelolaan Risiko Pada Layanan Administrasi Online Portal Pemerintah Desa Gembong Menggunakan Metode OCTAVE Allegro 
Pembimbing : Prof. Ir. Dr. H. Imam Riadi, S.Pd., M.Kom.
Penguji: 
1. Sri Handayaningsih, ST., MT.
2. Iwan Tri Riyadi Yanto, S.Si., M.IT, Ph.D.
Waktu : 07.30 - 09.00 
Tempat : Ruang Prodi
Naskah : https://drive.google.com/open?id=1ie2toKBhQ9Gz19CGvV2-S3xxaGMFzyvp
BA :  https://drive.google.com/drive/folders/12Oy3Q9IY1fLhEptaLkuOy8v2DzOrARMq?usp=drive_link
Note : 
- Mengingatkan serta menyerahkan Naskah hardfile  ke dosen pembimbing dan penguji paling lambat 2 hari sebelum ujian
- Teknis Pelaksanaan Ujian dilakukan secara offline sesuai dengan lokasi yang tertera di undangan ini
- mhs wajib menyiapkan semua file yang terkait meskipun tidak menngunakan laptop milik sendiri (misal hasil wawancara, catatan observasi, sumber rujukan dll), tidak ada alasan 'ganti/pinjam laptop' </t>
  </si>
  <si>
    <t>Model Layanan Administrasi Pemerintah Desa Menggunakan Framework ITIL V4 Studi Kasus Desa Ciherang Banjarsari Ciamis Jawa Barat</t>
  </si>
  <si>
    <t>Village Government Administration Service Model Using ITIL V4 Framework "Case Study of Ciherang Village, Banjarsari, Ciamis, West Java"</t>
  </si>
  <si>
    <t xml:space="preserve">Judul : Model Layanan Administrasi Pemerintah Desa Menggunakan Framework ITIL V4 Studi Kasus Desa Ciherang Banjarsari Ciamis Jawa Barat
Pembimbing : Sri Handayaningsih, ST., MT.
Penguji: 
1. Dr. H. Imam Riadi, S.Pd., M.Kom.
2. Tawar, S.Si., M.Kom.
Waktu : 07.30 - 09.00 
Tempat : Ruang Prodi
Naskah : https://drive.google.com/open?id=1RI6OcZ-7qMAjJfCupu3wjO5eAS8bed4F
BA :  https://drive.google.com/drive/folders/12Oy3Q9IY1fLhEptaLkuOy8v2DzOrARMq?usp=drive_link
Note : 
- Mengingatkan serta menyerahkan Naskah hardfile  ke dosen pembimbing dan penguji paling lambat 2 hari sebelum ujian
- Teknis Pelaksanaan Ujian dilakukan secara offline sesuai dengan lokasi yang tertera di undangan ini
- mhs wajib menyiapkan semua file yang terkait meskipun tidak menngunakan laptop milik sendiri (misal hasil wawancara, catatan observasi, sumber rujukan dll), tidak ada alasan 'ganti/pinjam laptop' </t>
  </si>
  <si>
    <t>Designing UI/UX of Gamified English Learning Application Using Design Thinking Method</t>
  </si>
  <si>
    <t xml:space="preserve">Judul : Perancangan UI/UX Aplikasi Pembelajaran Bahasa Inggris Berbasis Gamifikasi Menggunakan Metode Design Thinking
Pembimbing : Farid Suryanto, S.Pd., MT.
Penguji: 
1. Imam Azhari, S.Si., M.Cs.
2. Dr. Arif Rahman, S.Kom., M.T.
Waktu : 08.00 - 09.30
Tempat : Ruang Prodi
Naskah : https://drive.google.com/open?id=1s6eWvrgNwsvoyerGYelrwDZTgxo8GSvA
BA :  https://drive.google.com/drive/folders/12Oy3Q9IY1fLhEptaLkuOy8v2DzOrARMq?usp=drive_link
Note : 
- Mengingatkan serta menyerahkan Naskah hardfile  ke dosen pembimbing dan penguji paling lambat 2 hari sebelum ujian
- Teknis Pelaksanaan Ujian dilakukan secara offline sesuai dengan lokasi yang tertera di undangan ini
- mhs wajib menyiapkan semua file yang terkait meskipun tidak menngunakan laptop milik sendiri (misal hasil wawancara, catatan observasi, sumber rujukan dll), tidak ada alasan 'ganti/pinjam laptop' </t>
  </si>
  <si>
    <t>Design of a Web-Based Financial System for UMKM Magu-Magu Fried Chicken Using the Waterfall Method</t>
  </si>
  <si>
    <t xml:space="preserve">Judul : Perancangan Sistem Keuangan Berbasis Website Pada UMKM Magu-Magu Fried Chicken Dengan Metode Waterfall
Pembimbing : Arif Rahman, S.Kom., M.T.
Penguji: 
1. Farid Suryanto, S.Pd., MT.
2. Imam Azhari, S.Si., M.Cs.
Waktu : 12.30 - 14.00
Tempat : Ruang Prodi
Naskah : https://drive.google.com/open?id=1vzOBR-G1lXg7ch8qPOoCI5W3TVTUPAiA
BA :  https://drive.google.com/drive/folders/12Oy3Q9IY1fLhEptaLkuOy8v2DzOrARMq?usp=drive_link
Note : 
- Mengingatkan serta menyerahkan Naskah hardfile  ke dosen pembimbing dan penguji paling lambat 2 hari sebelum ujian
- Teknis Pelaksanaan Ujian dilakukan secara offline sesuai dengan lokasi yang tertera di undangan ini
- mhs wajib menyiapkan semua file yang terkait meskipun tidak menngunakan laptop milik sendiri (misal hasil wawancara, catatan observasi, sumber rujukan dll), tidak ada alasan 'ganti/pinjam laptop' </t>
  </si>
  <si>
    <t>Business Process Reengineering to Reduce Customer Complaint Rate Case Studies of Café Nilu</t>
  </si>
  <si>
    <t xml:space="preserve">Judul : Business Process Reengineering untuk Mengurangi Tingkat Keluhan Pelanggan Studi Kasus Kafe Nilu 
Pembimbing : Tawar, S.Si., M.Kom.
Penguji: 
1. Sri Handayaningsih, ST., MT.
2. Imam Azhari, S.Si., M.Cs.
Waktu : 12.30 - 14.00
Tempat : Ruang Prodi
Naskah : https://drive.google.com/open?id=1EEol2hlbJpJVIew5XD_8QUkXpRtxa0I1
BA :  https://drive.google.com/drive/folders/12Oy3Q9IY1fLhEptaLkuOy8v2DzOrARMq?usp=drive_link
Note : 
- Mengingatkan serta menyerahkan Naskah hardfile  ke dosen pembimbing dan penguji paling lambat 2 hari sebelum ujian
- Teknis Pelaksanaan Ujian dilakukan secara offline sesuai dengan lokasi yang tertera di undangan ini
- mhs wajib menyiapkan semua file yang terkait meskipun tidak menngunakan laptop milik sendiri (misal hasil wawancara, catatan observasi, sumber rujukan dll), tidak ada alasan 'ganti/pinjam laptop' </t>
  </si>
  <si>
    <t>Dian Anita</t>
  </si>
  <si>
    <t>Analisis kebutuhan pengembangan sistem informasi pembayaran spp berbasis web di smk piri 1 yogyakarta</t>
  </si>
  <si>
    <t>Analysis of the needs for developing a web-based tuition payment information system at SMK Piri 1 Yogyakarta</t>
  </si>
  <si>
    <t xml:space="preserve">Judul : Analisis kebutuhan pengembangan sistem informasi pembayaran spp berbasis web di smk piri 1 yogyakarta
Pembimbing : Tawar, S.Si., M.Kom.
Penguji: 
1. Arif Rahman, S.Kom., M.T.
2. Farid Suryanto, S.Pd., MT.
Waktu : 08.00 - 09.30
Tempat : Ruang Prodi
Naskah : https://drive.google.com/open?id=1WT9cjEDOGHKrOhm8VPSAluf3A7t5sO28
BA :  https://drive.google.com/drive/folders/12Oy3Q9IY1fLhEptaLkuOy8v2DzOrARMq?usp=drive_link
Note : 
- Mengingatkan serta menyerahkan Naskah hardfile  ke dosen pembimbing dan penguji paling lambat 2 hari sebelum ujian
- Teknis Pelaksanaan Ujian dilakukan secara offline sesuai dengan lokasi yang tertera di undangan ini
- mhs wajib menyiapkan semua file yang terkait meskipun tidak menngunakan laptop milik sendiri (misal hasil wawancara, catatan observasi, sumber rujukan dll), tidak ada alasan 'ganti/pinjam laptop' </t>
  </si>
  <si>
    <t>Backend Development of Employee Performance Appraisal System in Bytelogic Using Waterfall Method</t>
  </si>
  <si>
    <t xml:space="preserve">Judul : Pengembangan Backend Sistem Penilaian Kinerja Karyawan di Bytelogic Menggunakan Metode Waterfall
Pembimbing : Arif Rahman, S.Kom., M.T.
Penguji: 
1. Farid Suryanto, S.Pd., MT.
2. Suprihatin, S.Si., M.Kom.
Waktu : 10.30 - 12.00
Tempat : Ruang Prodi
Naskah : https://drive.google.com/open?id=1Ne0NExUv2vMuFO4oKGFIHq1W9Yrspq0s
BA :  https://drive.google.com/drive/folders/12Oy3Q9IY1fLhEptaLkuOy8v2DzOrARMq?usp=drive_link
Note : 
- Mengingatkan serta menyerahkan Naskah hardfile  ke dosen pembimbing dan penguji paling lambat 2 hari sebelum ujian
- Teknis Pelaksanaan Ujian dilakukan secara offline sesuai dengan lokasi yang tertera di undangan ini
- mhs wajib menyiapkan semua file yang terkait meskipun tidak menngunakan laptop milik sendiri (misal hasil wawancara, catatan observasi, sumber rujukan dll), tidak ada alasan 'ganti/pinjam laptop' </t>
  </si>
  <si>
    <t>Sentiment Analysis of Thrift Shopping Fashion Trends on X Social Media</t>
  </si>
  <si>
    <t xml:space="preserve">Judul : Analisis Sentimen Tren Fashion Thrift Shopping di Media Sosial X
Pembimbing : Iwan Tri Riyadi Yanto, S.Si., M.IT, Ph.D.
Penguji: 
1. Arif Rahman, S.Kom., M.T.
2. Suprihatin, S.Si., M.Kom.
Waktu : 09.00 - 10.30
Tempat : Ruang Prodi
Naskah : https://drive.google.com/open?id=1-lmWXNAl4Q34yvupGazPDU67Oj0KnwRt
BA :  https://drive.google.com/drive/folders/12Oy3Q9IY1fLhEptaLkuOy8v2DzOrARMq?usp=drive_link
Note : 
- Mengingatkan serta menyerahkan Naskah hardfile  ke dosen pembimbing dan penguji paling lambat 2 hari sebelum ujian
- Teknis Pelaksanaan Ujian dilakukan secara offline sesuai dengan lokasi yang tertera di undangan ini
- mhs wajib menyiapkan semua file yang terkait meskipun tidak menngunakan laptop milik sendiri (misal hasil wawancara, catatan observasi, sumber rujukan dll), tidak ada alasan 'ganti/pinjam laptop' </t>
  </si>
  <si>
    <t>Analisis Persepsi Masyarakat terhadap Penggunaan QRIS di Media Sosial X dengan Pendekatan Text Mining: TextBlob dan Latent Dirichlet Allocation (LDA)</t>
  </si>
  <si>
    <t>Analysis of Public Perception Toward the Use of QRIS on Social Media X Using a Text Mining Approach: TextBlob and Latent Dirichlet Allocation (LDA)</t>
  </si>
  <si>
    <t xml:space="preserve">Judul : Analisis Persepsi Masyarakat terhadap Penggunaan QRIS di Media Sosial X dengan Pendekatan Text Mining: TextBlob dan Latent Dirichlet Allocation (LDA)
Pembimbing : Iwan Tri Riyadi Yanto, S.Si., M.IT, Ph.D.
Penguji: 
1. Imam Azhari, S.Si., M.Cs.
2. Dr. Arif Rahman, S.Kom., M.T.
Waktu : 12.30 - 14.00
Tempat : Ruang Prodi
Naskah : https://drive.google.com/open?id=1pvPzA0hFxziY8UaSCr4aq28ZsOKY7_oY
BA :  https://drive.google.com/drive/folders/12Oy3Q9IY1fLhEptaLkuOy8v2DzOrARMq?usp=drive_link
Note : 
- Mengingatkan serta menyerahkan Naskah hardfile  ke dosen pembimbing dan penguji paling lambat 2 hari sebelum ujian
- Teknis Pelaksanaan Ujian dilakukan secara offline sesuai dengan lokasi yang tertera di undangan ini
- mhs wajib menyiapkan semua file yang terkait meskipun tidak menngunakan laptop milik sendiri (misal hasil wawancara, catatan observasi, sumber rujukan dll), tidak ada alasan 'ganti/pinjam laptop' </t>
  </si>
  <si>
    <t>PENGARUH KUALITAS PRODUK DAN KUALITAS PELAYANAN TERHADAP KEPUASAN KONSUMEN STUDI KASUS OMA OPA CAKERY AMBARUKMO YOGYAKARTA</t>
  </si>
  <si>
    <t>THE INFLUENCE OF PRODUCT QUALITY AND SERVICE QUALITY ON CONSUMER SATISFACTION CASE STUDY OMA OPA CAKERY AMBARUKMO YOGYAKARTA</t>
  </si>
  <si>
    <t xml:space="preserve">Judul : PENGARUH KUALITAS PRODUK DAN KUALITAS PELAYANAN TERHADAP KEPUASAN KONSUMEN STUDI KASUS OMA OPA CAKERY AMBARUKMO YOGYAKARTA
Pembimbing : Iwan Tri Riyadi Yanto, S.Si., M.IT, Ph.D.
Penguji: 
1. Arif Rahman, S.Kom., M.T.
2. Imam Azhari, S.Si., M.Cs.
Waktu : 14.15 - 15.45
Tempat : Ruang Prodi
Naskah : https://drive.google.com/open?id=1rdMj4cXR2Cc8BeeQwr2Mti2r_yPCCY5R
BA :  https://drive.google.com/drive/folders/12Oy3Q9IY1fLhEptaLkuOy8v2DzOrARMq?usp=drive_link
Note : 
- Mengingatkan serta menyerahkan Naskah hardfile  ke dosen pembimbing dan penguji paling lambat 2 hari sebelum ujian
- Teknis Pelaksanaan Ujian dilakukan secara offline sesuai dengan lokasi yang tertera di undangan ini
- mhs wajib menyiapkan semua file yang terkait meskipun tidak menngunakan laptop milik sendiri (misal hasil wawancara, catatan observasi, sumber rujukan dll), tidak ada alasan 'ganti/pinjam laptop' </t>
  </si>
  <si>
    <t>Abiyoso Dimas Ramadhan-</t>
  </si>
  <si>
    <t>abiyoso1800016034@webmail.uad.ac.id</t>
  </si>
  <si>
    <t>Penerapan Association Rule Data Mining Pada Transaksi Penjualan Studi Kasus Bento Kopi</t>
  </si>
  <si>
    <t>Application of Association Rules Data Mining on Sales Transactions Coffee Bento Case Study</t>
  </si>
  <si>
    <t xml:space="preserve">Judul : Penerapan Association Rule Data Mining Pada Transaksi Penjualan Studi Kasus Bento Kopi
Pembimbing : Iwan Tri Riyadi Yanto, S.Si., M.IT, Ph.D.
Penguji: 
1. Arif Rahman, S.Kom., M.T.
2. Farid Suryanto, S.Pd., MT.
Waktu : 09.00 - 10.30
Tempat : Ruang Prodi
Naskah : https://drive.google.com/open?id=1a3iQXGqnAQQTaq94g3g81iK01S5hj3g0
BA :  https://drive.google.com/drive/folders/12Oy3Q9IY1fLhEptaLkuOy8v2DzOrARMq?usp=drive_link
Note : 
- Mengingatkan serta menyerahkan Naskah hardfile  ke dosen pembimbing dan penguji paling lambat 2 hari sebelum ujian
- Teknis Pelaksanaan Ujian dilakukan secara offline sesuai dengan lokasi yang tertera di undangan ini
- mhs wajib menyiapkan semua file yang terkait meskipun tidak menngunakan laptop milik sendiri (misal hasil wawancara, catatan observasi, sumber rujukan dll), tidak ada alasan 'ganti/pinjam laptop' </t>
  </si>
  <si>
    <t>Designing User Interface and User Experience for SMKN 1 Sandai PPDB Website Using Design Thinking Method</t>
  </si>
  <si>
    <t xml:space="preserve">Judul : Perancangan User Interface Dan User Experience Website PPDB SMKN 1 Sandai Menggunakan Metode Design Thinking
Pembimbing : Imam Azhari, S.Si., M.Cs.
Penguji: 
1. Tawar, S.Si., M.Kom.
2. Farid Suryanto, S.Pd., MT.
Waktu : 10.00 - 11.30
Tempat : Ruang Prodi
Naskah : https://drive.google.com/open?id=1gTl1TqnevSSb43wTqN9bPMxb2pycwTSl
BA :  https://drive.google.com/drive/folders/12Oy3Q9IY1fLhEptaLkuOy8v2DzOrARMq?usp=drive_link
Note : 
- Mengingatkan serta menyerahkan Naskah hardfile  ke dosen pembimbing dan penguji paling lambat 2 hari sebelum ujian
- Teknis Pelaksanaan Ujian dilakukan secara offline sesuai dengan lokasi yang tertera di undangan ini
- mhs wajib menyiapkan semua file yang terkait meskipun tidak menngunakan laptop milik sendiri (misal hasil wawancara, catatan observasi, sumber rujukan dll), tidak ada alasan 'ganti/pinjam laptop' </t>
  </si>
  <si>
    <t>Analisis Dan Penguatan Keamanan Website Dengan Pendekatan Token ANTI-CSRF, CSP, Dan ANTI-CLICJAKING</t>
  </si>
  <si>
    <t>Analysis and Enhancement of Website Security using Anti-CSRF Token, CSP, and Anti-Clickjacking Approaches</t>
  </si>
  <si>
    <t xml:space="preserve">Judul : Analisis Dan Penguatan Keamanan Website Dengan Pendekatan Token ANTI-CSRF, CSP, Dan ANTI-CLICJAKING
Pembimbing : Prof. Ir. Dr. H. Imam Riadi, S.Pd., M.Kom.
Penguji: 
1. Arif Rahman, S.Kom., M.T.
2. Tawar, S.Si., M.Kom.
Waktu : 07.30 - 09.00
Tempat : Ruang Prodi
Naskah : https://drive.google.com/open?id=1DWaqOF8rsLy6xJOSMOT-2GyiNAF6IHAg
BA :  https://drive.google.com/drive/folders/12Oy3Q9IY1fLhEptaLkuOy8v2DzOrARMq?usp=drive_link
Note : 
- Mengingatkan serta menyerahkan Naskah hardfile  ke dosen pembimbing dan penguji paling lambat 2 hari sebelum ujian
- Teknis Pelaksanaan Ujian dilakukan secara offline sesuai dengan lokasi yang tertera di undangan ini
- mhs wajib menyiapkan semua file yang terkait meskipun tidak menngunakan laptop milik sendiri (misal hasil wawancara, catatan observasi, sumber rujukan dll), tidak ada alasan 'ganti/pinjam laptop' </t>
  </si>
  <si>
    <t>Penilaian Risiko Pada Sistem Bebas Pustaka Menggunakan Kerangka Kerja ISO 31000 Studi Kasus Balai Layanan Perpustakaan DI Yogyakarta</t>
  </si>
  <si>
    <t>Risk Assesment of Library Clearence using Framework ISO 31000 Case Study at the Yogyakarta Library Service Center</t>
  </si>
  <si>
    <t xml:space="preserve">Judul : Penilaian Risiko Pada Sistem Bebas Pustaka Menggunakan Kerangka Kerja ISO 31000 Studi Kasus Balai Layanan Perpustakaan DI Yogyakarta
Pembimbing : Prof. Ir. Dr. H. Imam Riadi, S.Pd., M.Kom.
Penguji: 
1. Tawar, S.Si., M.Kom.
2. Imam Azhari, S.Si., M.Cs.
Waktu : 12.30 - 14.00
Tempat : Ruang Prodi
Naskah : https://drive.google.com/open?id=1A4Lo4g8h7mggRuBCRvxf22ufrraF7gCx
BA :  https://drive.google.com/drive/folders/12Oy3Q9IY1fLhEptaLkuOy8v2DzOrARMq?usp=drive_link
Note : 
- Mengingatkan serta menyerahkan Naskah hardfile  ke dosen pembimbing dan penguji paling lambat 2 hari sebelum ujian
- Teknis Pelaksanaan Ujian dilakukan secara offline sesuai dengan lokasi yang tertera di undangan ini
- mhs wajib menyiapkan semua file yang terkait meskipun tidak menngunakan laptop milik sendiri (misal hasil wawancara, catatan observasi, sumber rujukan dll), tidak ada alasan 'ganti/pinjam laptop' </t>
  </si>
  <si>
    <t>Yanfriardana</t>
  </si>
  <si>
    <t>Perancangan Desain UI/UX Menu Digital Dummin Coffee Menggunakan Metode Human Centered Desain (HCD)</t>
  </si>
  <si>
    <t>UI/UX Design Design for Dummin Coffee Digital Menu Using Human Centered Design (HCD) Method</t>
  </si>
  <si>
    <t>10.00 - 12.30</t>
  </si>
  <si>
    <t xml:space="preserve">Judul : Perancangan Desain UI/UX Menu Digital Dummin Coffee Menggunakan Metode Human Centered Desain (HCD)
Pembimbing : Imam Azhari, S.Si., M.Cs.
Penguji: 
1. Arif Rahman, S.Kom., M.T.
2. Farid Suryanto, S.Pd., MT.
Waktu : 10.00 - 12.30
Tempat : Ruang Prodi
Naskah : https://drive.google.com/open?id=1OuhKXa40C6NFoOQXKz_WpoThA7xEcJoy
BA :  https://drive.google.com/drive/folders/12Oy3Q9IY1fLhEptaLkuOy8v2DzOrARMq?usp=drive_link
Note : 
- Mengingatkan serta menyerahkan Naskah hardfile  ke dosen pembimbing dan penguji paling lambat 2 hari sebelum ujian
- Teknis Pelaksanaan Ujian dilakukan secara offline sesuai dengan lokasi yang tertera di undangan ini
- mhs wajib menyiapkan semua file yang terkait meskipun tidak menngunakan laptop milik sendiri (misal hasil wawancara, catatan observasi, sumber rujukan dll), tidak ada alasan 'ganti/pinjam laptop' </t>
  </si>
  <si>
    <t>Perancangan Gamified UI/UX pada Aplikasi Pelaporan Kerusakan Fasilitas Umum Menggunakan Framework Octalysis Studi Kasus di Biro Sarana dan Prasarana UAD</t>
  </si>
  <si>
    <t>Gamified UI/UX Design for Public Facility Damage Reporting Application Using Octalysis Framework Case Study at Biro Sarana dan Prasarana UAD</t>
  </si>
  <si>
    <t xml:space="preserve">Judul : Perancangan Gamified UI/UX pada Aplikasi Pelaporan Kerusakan Fasilitas Umum Menggunakan Framework Octalysis Studi Kasus di Biro Sarana dan Prasarana UAD
Pembimbing : Farid Suryanto, S.Pd., MT.
Penguji: 
1. Imam Azhari, S.Si., M.Cs.
2. Dr. Arif Rahman, S.Kom., M.T.
Waktu : 13.00 - 14.30
Tempat : Ruang Prodi
Naskah : https://drive.google.com/open?id=1JjiJEKS8C5Vfgmidn2jQ4nj1AFZE-yFj
BA :  https://drive.google.com/drive/folders/12Oy3Q9IY1fLhEptaLkuOy8v2DzOrARMq?usp=drive_link
Note : 
- Mengingatkan serta menyerahkan Naskah hardfile  ke dosen pembimbing dan penguji paling lambat 2 hari sebelum ujian
- Teknis Pelaksanaan Ujian dilakukan secara offline sesuai dengan lokasi yang tertera di undangan ini
- mhs wajib menyiapkan semua file yang terkait meskipun tidak menngunakan laptop milik sendiri (misal hasil wawancara, catatan observasi, sumber rujukan dll), tidak ada alasan 'ganti/pinjam laptop' </t>
  </si>
  <si>
    <t>Perancangan Ulang User Interface Aplikasi Gramedia Digital Berbasis Mobile Menggunakan Metode Design Thinking</t>
  </si>
  <si>
    <t>Redesigning the User Interface of the Gramedia Digital Mobile Application Using the Design Thinking Method</t>
  </si>
  <si>
    <t>Perangkingan Wilayah Rawan Sampah di Kabupaten DIY Menggunakan Metode SAW Berdasarkan Sentimen Masyarakat di Media Sosial X</t>
  </si>
  <si>
    <t>Ranking Waste-Prone Areas in Yogyakarta Special Region Using the SAW Method Based on Public Sentiment on X Social Media</t>
  </si>
  <si>
    <t>Analisis Penilaian Risiko Layanan Laboratorium Menggunakan Framework NIST SP 800-30 (Studi Kasus Laboratorium SMK Muhammadiyah 2 Bantul)</t>
  </si>
  <si>
    <t>Risk Assessment Analysis of Laboratory Services using NIST Framework SP 800-30 (case study the Muhammadiyah 2 Bantul Vocational School Laboratory)</t>
  </si>
  <si>
    <t>Development of Mobile Application for Early Detection of Anemia Based on Convolutional Neural Network with Palm Image Input</t>
  </si>
  <si>
    <t>Pengembangan Aplikasi Diskusi Kutipan Buku Berbasis Metakognitif</t>
  </si>
  <si>
    <t>Application Development of Metacognitive-Based Book Quote Discussion</t>
  </si>
  <si>
    <t>Aulia Irbah Salsabila</t>
  </si>
  <si>
    <t>Risk Assessment Analysis of Muamalat DIN Information System Using OCTAVE Framework Allegro</t>
  </si>
  <si>
    <t>The Application of Latent Dirichlet Allocation in Opinion Mining of X Users on the Free Nutritious Meal Program</t>
  </si>
  <si>
    <t>Rancangan Sistem Informasi Pengelolaan Peternakan Sapi Berbasis Object Oriented Analysis and Design (OOAD) Studi Kasus Peternakan Sapi Jagad Barokah Farm</t>
  </si>
  <si>
    <t>Design of Cattle Farm Management Information System Based on Object-Oriented Analysis and Design (OOAD) Case Study of Jagad Barokah Cattle Farm</t>
  </si>
  <si>
    <t>Back End Development of Public Facility Damage Reporting Application Using Rapid Application Development Method Case Study at UAD Infrastructure Bureau (BSP)</t>
  </si>
  <si>
    <t>0831-8133-6315</t>
  </si>
  <si>
    <t>User Satisfaction Analysis on the MyBiznet Portal using EUCS Method</t>
  </si>
  <si>
    <t>Web-Based Geographic Information System for Population Mapping In Jogodayoh Hamlet</t>
  </si>
  <si>
    <t>Renanda Aprilia Nurjanah</t>
  </si>
  <si>
    <t>Pengukuran Capability Level Tata Kelola Teknologi Informasi menggunakan framework COBIT 5 Studi Kasus Biro Sistem Informasi UAD</t>
  </si>
  <si>
    <t>Measurement of Information Technology Governance Level Capabilities using framework COBIT 5 Case study of Biro Sistem Informasi of Ahmad Dahlan University</t>
  </si>
  <si>
    <t>Tingkat Keberhasilan Penerimaan Teknologi Aplikasi Point of Sale (POS) pada Restoran Cepat Saji XYZ Menggunakan Metode DeLone and McLean IS Success Model</t>
  </si>
  <si>
    <t>The Success Level of Technology Acceptance of the Point of Sale (POS) Application at XYZ Fast-Food Restaurant Using the DeLone and McLean IS Success Model.</t>
  </si>
  <si>
    <t>Priority Analysis of M-Banking Application Feature Redesign Based on Reviews Using TF-IDF</t>
  </si>
  <si>
    <t>Perancangan Ulang User Interface dan User Experience pada Website Kelurahan Desa Bojong dengan Metode Design Thinking</t>
  </si>
  <si>
    <t>Redesign of User Interface and User Experience on the Bojong Village Subdistrict Website Using the Design Thinking Method</t>
  </si>
  <si>
    <t>Perbaikan Desain Proses Bisnis Manajemen Layanan Keuangan Fakultas Menggunakan Metode Business Process Improvement (BPI)Studi Kasus Fakultas Sains dan Teknologi Terapan-UAD</t>
  </si>
  <si>
    <t>Improvement Design of Business Process Faculty Financial Service Management using Business Process Improvement (BPI) Method Faculty of Applied Science and Technology-UAD Case Studies</t>
  </si>
  <si>
    <t>Sentiment Analysis of QuranMu Application User Reviews with Text Mining Approach on Muhammadiyah Social Media and Google Play Store</t>
  </si>
  <si>
    <t>Development of Mobile-Based Gorom-Indonesian Regional Language Dictionary Application</t>
  </si>
  <si>
    <t>FADLI MUZAKI</t>
  </si>
  <si>
    <t>Pengembangan Sistem Informasi Pelayanan Administratif Berbasis Web</t>
  </si>
  <si>
    <t>Development of Web-Based Administrative Service System</t>
  </si>
  <si>
    <t>Analysis of Shopee Payment Method Preferences Using the Additive Ratio Assessment (ARAS) Method</t>
  </si>
  <si>
    <t>Risk Management Analysis at Back Office of Garrya Bianti Hotel using ISO 31000 Framework</t>
  </si>
  <si>
    <t>Bayu Ramadhan</t>
  </si>
  <si>
    <t>Ranking of the Wi-Fi Internet Service Industry Using the Simple Additive Weighting (SAW) Method</t>
  </si>
  <si>
    <t>Analisis Pengelompokan Daerah Rawan Gempa Bumi Menggunakan Metode Clustering K-Means</t>
  </si>
  <si>
    <t>Clustering Analysis of Earthquake-Prone Areas Using K-Means Method</t>
  </si>
  <si>
    <t>Sistem Pendukung Keputusan Evaluasi Karyawan Terbaik Berbasis Metode SAW Di Coffeeshop Starvillage</t>
  </si>
  <si>
    <t>Decision Support System for Evaluating the Best Employees Using SAW Method at Starvillage Coffeeshop</t>
  </si>
  <si>
    <t>Rekomendasi Kategori Bantuan Sosial Menggunakan Extreme Gradient Boosting (XGBoost)</t>
  </si>
  <si>
    <t>Social Assistance Category Recommendation Using Extreme Gradient Boosting (XGBoost)</t>
  </si>
  <si>
    <t>Analisis Persepsi Masyarakat Melalui Media Sosial X Terhadap Perpindahan Ibu Kota Indonesia Menggunakan Text Mining</t>
  </si>
  <si>
    <t>Analysis of Public Perceptions Through Social Media X Towards the Relocation of Indonesia Capital City Using Text Mining</t>
  </si>
  <si>
    <t>Analisis Sentimen Masyarakat Terhadap Kebijakan Pembatasan Pembelian BBM Bersubsidi di Media Sosial X dan Instagram Menggunakan Metode Latent Direchlet Allocation</t>
  </si>
  <si>
    <t>Analyzing Public Sentiment Toward the Policy of Restricting Subsidized Fuel Purchases on Social Media X and Instagram Using the Latent Dirichlet Allocation Method</t>
  </si>
  <si>
    <t>Penerapan Association Rule Mining Berbasis Klaster Waktu pada Data Transaksi Coffee Shop Haloe Social Space</t>
  </si>
  <si>
    <t>Implementation of Time-Based Association Rule Mining for Menu Bundlin Recommendation on Coffee Shop Transaction Data Case Study Haloe Social Space</t>
  </si>
  <si>
    <t>Analisis Penerimaan Pengguna Terhadap Sistem Informasi Pelayanan Desa pada Website Daya Asri Menggunakan Technology Acceptance Model (TAM)</t>
  </si>
  <si>
    <t>Analysis of User Acceptance of Village Service Information System on Daya Asri Website Using Technology Acceptance Model (TAM)</t>
  </si>
  <si>
    <t>Latifah Nanda Amelia</t>
  </si>
  <si>
    <t>Analisis Keamanan Jaringan Terhadap Serangan Denial of Service Menggunakan Firewall Layer 7</t>
  </si>
  <si>
    <t>Network Security Analysis Against Denial-of-Service Attacks Using a Layer 7 Firewall</t>
  </si>
  <si>
    <t>Perancangan Kebutuhan Sumber Daya Teknologi Informasi Menggunakan Metode  Information Technology Infrastructure Library (ITIL) V4 Studi Kasus Rawat Inap di Rumah Sakit Umum Rajawali Citra</t>
  </si>
  <si>
    <t>Design of Information Technology Resource Requirements Using the Information Technology Infrastructure Library (ITIL) V4 Method A Case Study of Inpatient Services at Rajawali Citra General Hospital</t>
  </si>
  <si>
    <t>Analisis Sentimen Masyarakat Terhadap Pinjaman Online ( PINJOL ) Studi Kasus Analisis Sentiment Masyarakat Terhadap Ketertarikan Pinjaman Online di Indonesia</t>
  </si>
  <si>
    <t>Analysis of Public Sentiment Towards Online Loans (PINJOL) A Case Study of Public Sentiment Analysis of Interest in Online Loans in Indonesia</t>
  </si>
  <si>
    <t>Perancangan Antarmuka Peminjaman Ruang Kelas SIMERU Universitas Ahmad Dahlan Menggunakan Metode Design Thinking</t>
  </si>
  <si>
    <t>SIMERU Classroom Loan Interface Design at Ahmad Dahlan University Using the Design Thinking Method</t>
  </si>
  <si>
    <t>PENGEMBANGAN BACK END APLIKASI PEMBELAJARAN ADAPTIF BERBASIS LLM MENGGUNAKAN FRAMEWORK LANGCHAIN</t>
  </si>
  <si>
    <t>Back-End Development of an LLM-Based Adaptive Learning Application Using the LANGCHAIN Framework</t>
  </si>
  <si>
    <t xml:space="preserve">Analisis Kebermanfaatan Aplikasi SDGs Desa di Kecamatan Binangun Kabupaten Cilacap
Menggunakan Teori Technology Acceptance Model (TAM)
</t>
  </si>
  <si>
    <t>Analysis of the Usefulness of SDGs Desa Application in Binangun District Cilacap Regency
Using the Technology Acceptance Model (TAM) Theory</t>
  </si>
  <si>
    <t>hani1800016041@webmail.uad.ac.id</t>
  </si>
  <si>
    <t xml:space="preserve">Analisis Kesuksesan Aplikasi iPiring Kota Yogyakarta dengan Pendekatan Model Delone dan McLean
</t>
  </si>
  <si>
    <t xml:space="preserve">Analysis of the iPiring Application Success in Yogyakarta City Using the DeLone and McLean Model
</t>
  </si>
  <si>
    <t>Pengembangan Sistem Informasi Organisasi Kepemudaan Berbasis Web Menggunakan Metode Waterfall Studi Kasus : Pemuda-Pemudi Serba Guna (PPSG) Candisingo</t>
  </si>
  <si>
    <t>Development of a Web-Based Youth Organization Information System Using the Waterfall Method Case Study: Pemuda-Pemudi Serba Guna (PPSG) Candisingo</t>
  </si>
  <si>
    <t>DINIMUKTINE BERLIAN</t>
  </si>
  <si>
    <t>Designing the UI/UX of a Mobile-Based Train Check Sheet Application using the Design Thinking Method</t>
  </si>
  <si>
    <t>Analisis dan Visualisasi Data Penjualan Sambirejo Mart Menggunakan Exploratory Data Analysis (EDA)</t>
  </si>
  <si>
    <t>Analysis and Visualisation of Sambirejo Mart Sales Data Using Exploratory Data Analysis (EDA)</t>
  </si>
  <si>
    <t>Perancangan desain user interface dan user experience pada website pelayanan kartu keluarga di dinas kependudukan dan pencatatan sipil kota Yogyakarta</t>
  </si>
  <si>
    <t>Designing the user interface and user experience on the family card service website at the Yogyakarta City Population and Civil Registration Service</t>
  </si>
  <si>
    <t>UI Design Redesign of Bantul Regency Regional Library Website Using Design Thinking Method</t>
  </si>
  <si>
    <t>Sistem Informasi Geografis untuk Pemetaan Potensi Wisata Kabupaten Alor Berbasis Web</t>
  </si>
  <si>
    <t>A Web-Based Geographic Information System for Mapping Tourism Potential in Alor Regency</t>
  </si>
  <si>
    <t>WAHYU HIDAYAT</t>
  </si>
  <si>
    <t>Penilaian Keamanan Informasi Pada Layanan Elearning UAD Menggunakan Indeks KAMI 5.0</t>
  </si>
  <si>
    <t>Prof. Ir. Dr. Imam Riadi, M.Kom.</t>
  </si>
  <si>
    <t>Assessment of Information Security on UAD Elearning Services using KAMI Index 5.0</t>
  </si>
  <si>
    <t>Rahmat Ilham Murni</t>
  </si>
  <si>
    <t>Penilaian Manajemen Risiko Keamanan Informasi Pada Sistem Informasi Desa (SID) Menggunakan Indeks KAMI 5.0</t>
  </si>
  <si>
    <t>Information Security Risk Management Assesment in Villaage Information System using Index KAMI 5.0</t>
  </si>
  <si>
    <t>Pemetaan Wilayah Rawan Banjir Desa Samu Jaya Dengan Memanfaatkan Sistem Informasi Geografis Berbasis WebGIS</t>
  </si>
  <si>
    <t>Mapping of Flood-Prone Areas in Samu Jaya Village Using a WebGIS-Based Geographic Information System</t>
  </si>
  <si>
    <t>Rancangan Sumber Daya TI pada Layanan Rawat Jalan Rumah Sakit dengan Metode Information Technology Infrastructure Library (ITIL) V4 Studi Kasus Rawat Jalan Rumah Sakit Umum Rajawali Citra</t>
  </si>
  <si>
    <t>IT Resource Design for Hospital Outpatient Services Using the Information Technology Infrastructure Library (ITIL) V4 Method  Case Study of Outpatient Services at Rajawali Citra General Hospital</t>
  </si>
  <si>
    <t>Redesign User Interface  for the MyTelkomsel Application Using Design Thinking Methods</t>
  </si>
  <si>
    <t>Indah Purwati</t>
  </si>
  <si>
    <t>Rancangan Layanan Administrasi Menggunakan Pendekatan SPBE Dikalurahan</t>
  </si>
  <si>
    <t>Design of Administrative Services Using the SPBE Approach in Kalurahan</t>
  </si>
  <si>
    <t>Audit Sistem Informasi Manajemen Konten Digital Menggunakan COBIT 5 (Studi Kasus : TVMU Yogyakarta)</t>
  </si>
  <si>
    <t>Digital Content Management Information System Audit Using COBIT 5 Case Study: TVMU Yogyakarta</t>
  </si>
  <si>
    <t>Perancangan User Interface (UI) &amp; User Experience (UX) Aplikasi Donasi Pakaian dengan Metode Design Thinking</t>
  </si>
  <si>
    <t>User Interface (UI) &amp; User Experience (UX) Design for a Clothing Donation Application Using Design Thinking Methods</t>
  </si>
  <si>
    <t>Perancangan Prototipe UI/UX Sistem Informasi Penagihan Retribusi Berbasis Web dengan Metode Design Thinking Studi Kasus Perusahaan Daerah Pasar Lapulu</t>
  </si>
  <si>
    <t>UI/UX Prototype Design for Web-Based Retribution Billing Information System Using Design Thinking Method Case Study of the Pasar Lapulu Regional Company</t>
  </si>
  <si>
    <t>Perancangan Aplikasi Pembelajaran Bahasa Inggris Berbasis Gamifikasi Studi Kasus Pelajaran Bahasa Inggris SMP Muhammadiyah 7 Yogyakarta</t>
  </si>
  <si>
    <t>Designing a Gamification-Based English Learning Application: A Case Study of English Learning at SMP Muhammadiyah 7 Yogyakarta</t>
  </si>
  <si>
    <t>Perancangan Arsitektur Sistem Pemerintahan Berbasis Elektronik (SPBE) Kabupaten Lamandau</t>
  </si>
  <si>
    <t>Architecture Design of the Sistem Pemerintahan Berbasis Elektronik (SPBE) in Lamandau Regency</t>
  </si>
  <si>
    <t>User Interface Design for Public Information Applications Using the Design Thinking Method</t>
  </si>
  <si>
    <t>Pengembangan Sistem Informasi Penyewaan Mobil Berbasis Web</t>
  </si>
  <si>
    <t>Website based car rental information system development at superior rentcar</t>
  </si>
  <si>
    <t>Pengembangan Aplikasi Repositori Tugas Akhir Berbasis Web (Studi Kasus Program Studi Sistem Informasi)</t>
  </si>
  <si>
    <t>S.T., AZTY ACBARRIFHA NOUR, M.Eng/Imam Azhari, S.Si., M.Cs.</t>
  </si>
  <si>
    <t>Development of Web-Based Final Project Repository Application(Case Study: Program Studi Sistem Informasi Universitas Ahmad Dahlan)</t>
  </si>
  <si>
    <t>Pengembangan Aplikasi Mobile Pharmacogenetic Card (PgCard) untuk Mendukung Pengobatan Presisi pada Pasien Diabetes Melitus Tipe 2 (Studi Kasus di Rumah Sakit PKU Muhammadiyah Bantul)</t>
  </si>
  <si>
    <t>Development of a Mobile Pharmacogenetic Card (PgCard) Application to Support Precision Treatment in Type 2 Diabetes Mellitus Patients(Case Study at PKU Muhammadiyah Bantul Hospital)</t>
  </si>
  <si>
    <t>Pengembangan Aplikasi Virtual Art Therapy and Counseling Menggunakan Metode Prototyping</t>
  </si>
  <si>
    <t>Development of a Virtual Art Therapy and Counseling Application Using the Prototyping Method</t>
  </si>
  <si>
    <t>Perancangan UI/UX Aplikasi Pembelajaran  Matematika Untuk Sekolah Dasar Menggunakan Metode Design Thinking Studi kasus SD Negeri Wirosaban</t>
  </si>
  <si>
    <t>UI/UX Design of Mathematics Learning Application for Elementary Schools using Design Thinking Method Wiorosaban Public Elementary School Case Study</t>
  </si>
  <si>
    <t>Aidil Saputra</t>
  </si>
  <si>
    <t>Evaluasi Usability Dan Perancangan Ulang Antarmuka Aplikasi Rentalize Menggunakan Metode Design Thinking</t>
  </si>
  <si>
    <t>Evaluation of Usability and Interface Redesign of the Rentalize Application Using the Design Thinking Method</t>
  </si>
  <si>
    <t>Persepsi Masyarakat Terhadap Boikot Produk Israel Menggunakan Metode Text Mining</t>
  </si>
  <si>
    <t>Public Perception of the Boycott of Israeli Products Using Text Mining Methods</t>
  </si>
  <si>
    <t>Galing Susilo</t>
  </si>
  <si>
    <t>Redesign Website Sevendomu Berdasarkan Hasil Pengujian Usability Testing Dengan Menggunakan Metode Design Thinking</t>
  </si>
  <si>
    <t>Redesig the Sevendomu Website Based on Usability Testing Results Using the Design Thinking Method</t>
  </si>
  <si>
    <t>Penilaian Risiko Proses Bisnis pada Sistem Informasi Manajemen Ruang Menggunakan Metode OCTAVE Allegro</t>
  </si>
  <si>
    <t>Risk Assessment of Business Processes in the Room Management Information System (SIMERU) Using the OCTAVE Allegro Method</t>
  </si>
  <si>
    <t>Exploration of the Global Log Learning Management System of Ahmad Dahlan University Using a Process Mining Approach</t>
  </si>
  <si>
    <t>Perancangan User Interface dan User Experience Aplikasi KostKita Berbasis Mobile dengan Metode Design Thinking</t>
  </si>
  <si>
    <t>Designing the User Interface and User Experience of the KostKita Mobile Application Using the Design Thinking Method</t>
  </si>
  <si>
    <t>Pengembangan Sistem Informasi Manajemen Laundry Sepatu Studi Kasus Alas Klasik Shoes Clean</t>
  </si>
  <si>
    <t>Development of a Shoe-Cleaning Service Management Information System A Case Study at Alas Klasik Shoes Clean</t>
  </si>
  <si>
    <t>Perancangan UI/UX pada Aplikasi Destinasi Wisata dan Tempat Kuliner Menggunakan Metode Design Thinking</t>
  </si>
  <si>
    <t>UI/UX Design for Tourism and Culinary Place Applications Using the Design Thinking Method</t>
  </si>
  <si>
    <t>Tri handaru arif priambodho</t>
  </si>
  <si>
    <t>Komparasi Teknik Penyediaan dan Optimalisasi Model 3D Menggunakan Metode Fotogrametri Untuk Media Penjualan Online UMKM</t>
  </si>
  <si>
    <t>16/01/1025</t>
  </si>
  <si>
    <t>Comparison of Provision Techniques and Optimization of 3D Models Using Photogrammetry Methods for MSME Online Sales Media</t>
  </si>
  <si>
    <t>M Ali Mahsun</t>
  </si>
  <si>
    <t xml:space="preserve">Komparasi Teknik Penyediaan dan Optimalisasi Model 3D Menggunakan Metode 3D Scanner Untuk Media Penjualan Online UMKM	</t>
  </si>
  <si>
    <t>Comparison of Provision Techniques and Optimization of 3D Models Using the 3D Scanner Method for MSME Online Sales Media</t>
  </si>
  <si>
    <t>Webgis Population Distribution of Padukuhan Munggi</t>
  </si>
  <si>
    <t>Aditya Yoga Kurniawan</t>
  </si>
  <si>
    <t>Perancangan UI/UX Website Penilaian Kinerja Karyawan Menggunakan Metode Design Thinking Studi Kasus Perusahaan Bytelogic</t>
  </si>
  <si>
    <t>Design of UI/UX Employee Performance Evaluation Website Using Design Thinking Method Bytelogic Company Case Studies</t>
  </si>
  <si>
    <t>Perancangan Tata Kelola TI menggunakan COBIT 5 pada Museum Muhammadiyah</t>
  </si>
  <si>
    <t>Design of IT Governance Using COBIT 5 at the Museum Muhammadiyah</t>
  </si>
  <si>
    <t>Frontend Development of Employee Performance Appraisal System in Bytelogic Using Waterfall Method</t>
  </si>
  <si>
    <t>Prima Willa Samudra</t>
  </si>
  <si>
    <t>Pengembangan Sistem Informasi Manajemen Stok Berbasis Web Menggunakan Metode Waterfall  Studi Kasus UMKM BGE Supply</t>
  </si>
  <si>
    <t>Development of a Web-Based Inventory Management Information System Using the Waterfall Method Case Study of BGE Supply MSME</t>
  </si>
  <si>
    <t>Perancangan Ulang UI/UX Situs web Kalender Hijriah Global Tunggal  Muhammadiyah Menggunakan Metode Design Thinking Studi Kasus Situs web falakmu.</t>
  </si>
  <si>
    <t>Redesign of UI/UX for the Muhammadiyah Global Hijri Calendar Website Using the Design Thinking Method. A Case Study on falakmu.id</t>
  </si>
  <si>
    <t>ANISA NUROHMAH</t>
  </si>
  <si>
    <t>REDESIGN SISTEM PENERIMAAN MAHASISWA BARU DENGAN PENDEKATAN USER CENTERED DESIGN</t>
  </si>
  <si>
    <t xml:space="preserve">
REDESIGN OF THE NEW STUDENT ADMISSION SYSTEM WITH A USER CENTERED DESIGN APPROACH</t>
  </si>
  <si>
    <t>Analisis dan Desain Sistem Pengelolaan Panti Asuhan Menggunakan User-Centered Design 
Studi Kasus Muhammadiyah Children Center Lembaga Kesejahteraan Sosial Anak (LKSA)</t>
  </si>
  <si>
    <t>Analysis and Design of an Orphanage Management System Using User-Centered Design
Case Study of the Muhammadiyah Children's Center, a Child Welfare Institution</t>
  </si>
  <si>
    <t>Rancangan Tata Kelola TI Pemberdayaan Kampung Wisata pada Dinas Pariwisata Kota Yogyakarta Menggunakan Pendekatan COBIT 5</t>
  </si>
  <si>
    <t>IT Governance Design for Tourism Village Empowerment at the Yogyakarta City Tourism Office Using the COBIT 5 Framework</t>
  </si>
  <si>
    <t>Perancangan UI/UX Sistem Layanan Rumah Singgah Pasien Muhammadiyah (RSPM) DIY Menggunakan Metode Design Thinking Studi Kasus Rumah Singgah Pasien Muhammadiyah (RSPM) DIY</t>
  </si>
  <si>
    <t>UI/UX System Design for Muhammadiyah's Patient Shelter (RSPM) Yogyakarta Using Design Thinking Methods Case Study of Muhammadiyah's Patient Shelter (RSPM) DIY</t>
  </si>
  <si>
    <t>Pengembangan Sistem Prediksi Kelulusan Tepat Waktu Mahasiswa dengan Algoritma Support Vector Machine (Studi Kasus: Program Studi Sistem Informasi, Universitas Ahmad Dahlan)</t>
  </si>
  <si>
    <t>Development of a Student On-Time Graduation Prediction System Using the Support Vector Machine Algorithm (Case Study: Information Systems Study Program, Ahmad Dahlan University)</t>
  </si>
  <si>
    <t>Desain Sistem Informasi Barbershop Berbasis Website Menggunakan Metode UCD</t>
  </si>
  <si>
    <t>Design of a Web-Based Barbershop Information System Using the User-Centered Design (UCD) Method</t>
  </si>
  <si>
    <t>Evaluasi Keberhasilan Aplikasi Sistem Ketersediaan Pinjam Tempat (Si-KPT) Pemkab Brebes Berdasarkan Model DeLone dan McLean</t>
  </si>
  <si>
    <t>Evaluating the Success of the Si-KPT Application of the Brebes Regency Government Using the DeLone and McLean Information System Success Model</t>
  </si>
  <si>
    <t>PENILAIAN MANAJEMEN RISIKO PADA WEBSITE PEMERINTAHAN KABUPATEN MUARA ENIM MENGGUNAKAN ISO 31000</t>
  </si>
  <si>
    <t>Risk Management Assessment on the Government Website of Muara Enim Regency Using ISO 31000 Method</t>
  </si>
  <si>
    <t>Analisis Keamanan Risiko Informasi Website Jogja Library Menggunakan Metode Octave Allegro</t>
  </si>
  <si>
    <t>Information Security Risk Analysis of the Jogja Library Website Using the Octave Allegro Method</t>
  </si>
  <si>
    <t>Perancangan UI/UX Situs Web Wisata Religi Menggunakan Metode User Centered Design Studi Kasus Lereng Sentono Pleret Bantul</t>
  </si>
  <si>
    <t>UI/UX Design for Religious Tourism Websites Using the User Centered Design Method Case Study of the Slopes of Sentono Pleret Bantul</t>
  </si>
  <si>
    <t>ENDRO PUTRO</t>
  </si>
  <si>
    <t>Perancangan User Interface E-Katalog  UMKM Binaan UGM dengan Menggunakan Metode Design Thinking</t>
  </si>
  <si>
    <t>User Interface Design for an E-Catalog for UMKMs Under UGM Guidance Using the Design Thinking Method</t>
  </si>
  <si>
    <t>Thoriqin Maulana Ishaq</t>
  </si>
  <si>
    <t>Perancangan User Interface Aplikasi Mobile Perawatan Merpati Balap Menggunakan Metode Design Thinking Studi Kasus Penghobi Merpati Balap di Kabupaten Pekalongan</t>
  </si>
  <si>
    <t>User Interface Design for a Racing Pigeon Care Mobile Application Using Design Thinking Case Study of Racing Pigeon Enthusiasts in Pekalongan Regency</t>
  </si>
  <si>
    <t>Perancangan Sistem E-ticketing Pada Teater Wejang Dengan Metode UCD</t>
  </si>
  <si>
    <t>Designing an E-ticketing System at Wejang Theater Using the UCD Method</t>
  </si>
  <si>
    <t>Desain Proses Bisnis Layanan Pendaftaran Online Pasien RSKIA PKU Muhammadiyah Kotagede Menggunakan Business Process Model and Notation</t>
  </si>
  <si>
    <t>Business Process Design for Online Patient Registration Services at RSKIA PKU Muhammadiyah Kotagede Using Business Process Model and Notation</t>
  </si>
  <si>
    <t>Dian Toro</t>
  </si>
  <si>
    <t>dian2100016007@webmail.uad.ac.id</t>
  </si>
  <si>
    <t>Analisis Risiko Rantai Pasok Menggunakan Metode Supply Chain Operations Reference Studi Kasus Ailen Coffee Micro Roastery</t>
  </si>
  <si>
    <t>Prof. Dr. Imam Riadi, M.Kom.</t>
  </si>
  <si>
    <t>Supply Chain Risk Analysis Using the Supply Chain Operations Reference Method Case Study: Ailen Coffee Micro Roastery</t>
  </si>
  <si>
    <t>Web-Based Shoe Product Ordering Information System  OAKTREES MSME Case Study</t>
  </si>
  <si>
    <t>Dendi Nardiansyah Saputra</t>
  </si>
  <si>
    <t>dendi2100016115@webmail.uad.ac.id</t>
  </si>
  <si>
    <t>Perancangan Ulang User Interface pada Aplikasi Perpustakaan Digital iPustaka Jambi Menggunakan Metode Design Thinking</t>
  </si>
  <si>
    <t>Redesigning the User Interface of iPustaka Jambi Digital Library Application Using the Design Thinking Method</t>
  </si>
  <si>
    <t>Abrar Aji Hudayana</t>
  </si>
  <si>
    <t>abrar2100016104@webmail.uad.ac.id</t>
  </si>
  <si>
    <t>Penerapan Business Process Improvement dalam Perbaikan Proses Pencatatan dan Pelaporan Iuran Layanan Pengelolaan Sampah</t>
  </si>
  <si>
    <t>Implementation of Business Process Improvement in Improving the Process of Recording and Reporting Waste Management Service Fees</t>
  </si>
  <si>
    <t>Retdsu Apriyansah</t>
  </si>
  <si>
    <t>retdsu2100016100@webmail.uad.ac.id</t>
  </si>
  <si>
    <t>Redesain UI/UX untuk Meningkatakan Kepuasan Pengguna Pada Website Wisata Tour Belitung</t>
  </si>
  <si>
    <t>UI/UX Redesign to Improve User Satisfaction on the Belitung Tour Website</t>
  </si>
  <si>
    <t>Farida Regina Maharani</t>
  </si>
  <si>
    <t>farida2100016027@webmail.uad.ac.id</t>
  </si>
  <si>
    <t xml:space="preserve">Sistem Pendukung Keputusan Pemilihan Siswa Berprestasi Berbasis Website Menggunakan Metode SAW (Simple Additive Weighting)
Studi Kasus : SD INPRES 12/79 ARASOE
</t>
  </si>
  <si>
    <t>Web-Based Decision Support System for Selecting Outstanding Students Using the Simple Additive Weighting (SAW) Method 
A Case Study at SD Inpres 12/79 Arasoe</t>
  </si>
  <si>
    <t>Gabriel Raja Umar Sepandrilah</t>
  </si>
  <si>
    <t>gabriel1900016070@webmail.uad.ac.id</t>
  </si>
  <si>
    <t>Perancangan Desain UI/UX Rental Alat Berat PT. Nanda Sungai Melintang Menggunakan Metode Human Centered Design (HCD)</t>
  </si>
  <si>
    <t>UI/UX Design for Heavy Equipment Rental at PT. Nanda Sungai Melintang Using the Human-Centered Design (HCD) Method</t>
  </si>
  <si>
    <t>Gamification Design In English Learning Activities For Junior High School Students Using Framework Octalysis</t>
  </si>
  <si>
    <t>Adista Putra Suyatno</t>
  </si>
  <si>
    <t>Merancang ulang antarmuka dan pengalaman pengguna aplikasi e-coklit dengan metode Design Thinking</t>
  </si>
  <si>
    <t>Redesigning the interface and user experience of the e-coklit application using the Design Thinking method</t>
  </si>
  <si>
    <t>Komparasi Teknik Penyediaan Model 3D Menggunakan Alat Bantu Pemodelan 3D Untuk Media Penjualan Online UMKM</t>
  </si>
  <si>
    <t>Comparison of 3D Model Provision Techniques Using Modeling Tools 3D
for MSME Online Sales Media</t>
  </si>
  <si>
    <t>Pengembangan Sistem Manajemen Tiket Online Terintegrasi dengan Payment Gateway
Studi Kasus Taman Nasional Alas Purwo Banyuwangi</t>
  </si>
  <si>
    <t>Development of an Integrated Online Ticket Management System
with Payment Gateway
Case Study: Alas Purwo National Park, Banyuwangi</t>
  </si>
  <si>
    <t>Muhammad Fando bimantara</t>
  </si>
  <si>
    <t>muhammad1900016065@webmail.uad.ac.id</t>
  </si>
  <si>
    <t>Perancangan Desain UI/UX Reservasi Lapangan Badminton Matahari Menggunakan Metode Design Thinking</t>
  </si>
  <si>
    <t>UI/UX Design of the Matahari Badminton Court Reservation System Using the Design Thinking Method</t>
  </si>
  <si>
    <t>Zalfaa Nabilah Nasywah Hajar</t>
  </si>
  <si>
    <t>2200016060@webmail.uad.ac.id</t>
  </si>
  <si>
    <t>Analisis Pengaruh Tingkat Stres Akademik terhadap Prestasi Belajar Mahasiswa dengan Regresi Linier dan Pemetaan Klaster Menggunakan Algoritma K-Means</t>
  </si>
  <si>
    <t>Analysis of the Effect of Academic Stress Levels on Student Academic Achievement Using Linear Regression and Cluster Mapping with the K-Means Algorithm</t>
  </si>
  <si>
    <t>Almeyda Alfianto</t>
  </si>
  <si>
    <t>almeyda2100016037@webmail.uad.ac.id</t>
  </si>
  <si>
    <t>Perancangan Sistem Informasi Supply Chain Management Berbasis Web Menggunakan Metode Design Thinking</t>
  </si>
  <si>
    <t>Designing a Web-Based Supply Chain Management Information System Using the Design Thinking Method</t>
  </si>
  <si>
    <t>Rancangan Kebutuhan Sumber Daya TI Pada Proses Supply Chain Management (SCM) Menggunakan Metode Cobit-19 Studi Kasus Ailen Coffee Roastery</t>
  </si>
  <si>
    <t xml:space="preserve">IT Resource Requirements Design in the Supply Chain Management (SCM) Process Using the Cobit-19 Case Study: Ailen Coffee Roastery
</t>
  </si>
  <si>
    <t>Sulci Suharmi</t>
  </si>
  <si>
    <t>2200016113@webmail.uad.ac.id</t>
  </si>
  <si>
    <t>Analisis Varians Pilar Konten terhadap Engagement Rate pada Akun Instagram Brand Parfum Mykonos</t>
  </si>
  <si>
    <t>Variance Analysis of Content Pillars on the Engagement Rate of the Mykonos Perfume Brand Instagram Account.</t>
  </si>
  <si>
    <t>Rico Aji Herlambang</t>
  </si>
  <si>
    <t>rico2100016102@webmail.uad.ac.id</t>
  </si>
  <si>
    <t>Perancangan Antarmuka Pengguna Fitur Reservasi Online pada Website Konco Space Menggunakan Metode Design Thinking</t>
  </si>
  <si>
    <t>Designing the User Interface for the Online Reservation Feature on the Konco Space Website Using the Design Thinking Method</t>
  </si>
  <si>
    <t>Perancangan UI/UX Aplikasi Mobile Sistem Informasi Pesantren Mahasiswa Kyai Haji Ahmad Dahlan menggunakan metode Design Thinking</t>
  </si>
  <si>
    <t>UI/UX Design of a Mobile Application for the Kyai Haji Ahmad Dahlan Student Islamic Boarding School Information System Using the Design Thinking Method</t>
  </si>
  <si>
    <t>Perancangan proses customer relationship management berbasi IT menggunakan metode bisnis proses analisis pada studi kasus ailen coffee</t>
  </si>
  <si>
    <t>Designing a customer relationship management process based on information technology using the business process analysis method in the Ailen Coffee case study.</t>
  </si>
  <si>
    <t>Reza Nagita Nurhazizah</t>
  </si>
  <si>
    <t>2200016080@webmail.uad.ac.id</t>
  </si>
  <si>
    <t>Analisis Komparatif Content Marketing Instagram @madaniah.co.id Berdasarkan Sifat dan Format Konten Terhadap Engagement Rate</t>
  </si>
  <si>
    <t>Comparative Analysis of Instagram Content Marketing at @madaniah.co.id Based on Content Type and Format Toward Engagement Rate</t>
  </si>
  <si>
    <t>Icca Firstika Wibowo</t>
  </si>
  <si>
    <t>2200016125@webmail.uad.ac.id</t>
  </si>
  <si>
    <t>Analisis Pola Hubungan Fitur Fisik Audio terhadap Persepsi Emosi Musik Berdasarkan Model Thayer</t>
  </si>
  <si>
    <t>Analysis of the Relationship Between Audio Physical Features and Perceived Musical Emotions Based on Thayer’s Model</t>
  </si>
  <si>
    <t>Eka Putri Pertiwi</t>
  </si>
  <si>
    <t>2200016133@webmail.uad.ac.id</t>
  </si>
  <si>
    <t>Analisis Komparatif Reputasi Merek dan Keterlibatan Konsumen pada Makeup Lokal dan Global melalui Konten Ulasan Produk di Platform TikTok</t>
  </si>
  <si>
    <t>A Comparative Analysis of Brand Reputation and Consumer Engagement with Local and Global Makeup through Product Review Content on TikTok</t>
  </si>
  <si>
    <t>Reza Diva Alfiansyah</t>
  </si>
  <si>
    <t>2200016094@webmail.uad.ac.id</t>
  </si>
  <si>
    <t>Rancangan Sistem Informasi Pengelolaan Gudang Persewaan Alat Event Berbasis Object Oriented Analysis and Design (OOAD) Studi Kasus Desibel Production</t>
  </si>
  <si>
    <t>Design of an Information System for Managing Event Equipment Rental Warehouses Based on Object Oriented Analysis and Design (OOAD) Case Study of Decibel Production</t>
  </si>
  <si>
    <t>Nadia Farah Adiba</t>
  </si>
  <si>
    <t>2200016104@webmail.uad.ac.id</t>
  </si>
  <si>
    <t>Analisis Sentimen Komentar YouTube Terhadap Program Clash Of Champions Berdasarkan Teori Motivasi ARCS</t>
  </si>
  <si>
    <t>Sentiment Analysis of YouTube Comments on the Clash Of Champions Program Based on ARCS Motivation Theory</t>
  </si>
  <si>
    <t>Azimatul Chamidah</t>
  </si>
  <si>
    <t>2200016105@webmail.uad.ac.id</t>
  </si>
  <si>
    <t>Analisis Pengaruh Sentimen dan Engagement Rate Konten Review Produk Somethinc di TikTok terhadap Minat Beli Konsumen</t>
  </si>
  <si>
    <t>Analyzing the Effect of Sentiment and Engagement Rates in Somethinc TikTok Product Reviews on Consumer Purchase Intention</t>
  </si>
  <si>
    <t>Alfya Maharani Julzyan</t>
  </si>
  <si>
    <t>Perancangan UI/UX Sistem Untuk Identifikasi Jenis Udanag Berbasis Website Menggunakan  Metode Design Thinking</t>
  </si>
  <si>
    <t>Designing a UI/UX System for Website-Based Shrimp Type Identification Using the Design Thinking Method</t>
  </si>
</sst>
</file>

<file path=xl/styles.xml><?xml version="1.0" encoding="utf-8"?>
<styleSheet xmlns="http://schemas.openxmlformats.org/spreadsheetml/2006/main" xmlns:x14ac="http://schemas.microsoft.com/office/spreadsheetml/2009/9/ac" xmlns:mc="http://schemas.openxmlformats.org/markup-compatibility/2006">
  <numFmts count="19">
    <numFmt numFmtId="164" formatCode="m/d/yyyy h:mm:ss"/>
    <numFmt numFmtId="165" formatCode="dddd, d mmmm"/>
    <numFmt numFmtId="166" formatCode="dddd, d mmmm yyyy"/>
    <numFmt numFmtId="167" formatCode="dddd d mmm yyyy"/>
    <numFmt numFmtId="168" formatCode="dddd d mmmm"/>
    <numFmt numFmtId="169" formatCode="dddd, d-m"/>
    <numFmt numFmtId="170" formatCode="dddd, d mmm yyyy"/>
    <numFmt numFmtId="171" formatCode="dddd, dd mmmm yyyy"/>
    <numFmt numFmtId="172" formatCode="dd/MM/yyyy"/>
    <numFmt numFmtId="173" formatCode="d mmmm yyyy"/>
    <numFmt numFmtId="174" formatCode="d mmmm"/>
    <numFmt numFmtId="175" formatCode="d mmm yyyy"/>
    <numFmt numFmtId="176" formatCode="dd/mm/yyyy"/>
    <numFmt numFmtId="177" formatCode="d/m/yyyy"/>
    <numFmt numFmtId="178" formatCode="d mmm yy"/>
    <numFmt numFmtId="179" formatCode="d mmm"/>
    <numFmt numFmtId="180" formatCode="dd/mm/yyyy h:mm:ss"/>
    <numFmt numFmtId="181" formatCode="yyyy-mm-dd h:mm:ss"/>
    <numFmt numFmtId="182" formatCode="yyyy-mm-dd h:mm"/>
  </numFmts>
  <fonts count="93">
    <font>
      <sz val="10.0"/>
      <color rgb="FF000000"/>
      <name val="Arial"/>
      <scheme val="minor"/>
    </font>
    <font>
      <color theme="1"/>
      <name val="Arial"/>
      <scheme val="minor"/>
    </font>
    <font>
      <b/>
      <color theme="1"/>
      <name val="Arial"/>
    </font>
    <font>
      <b/>
      <color theme="1"/>
      <name val="Arial"/>
      <scheme val="minor"/>
    </font>
    <font>
      <color theme="1"/>
      <name val="Arial"/>
    </font>
    <font>
      <u/>
      <color rgb="FF1155CC"/>
      <name val="Arial"/>
    </font>
    <font>
      <u/>
      <color rgb="FF1155CC"/>
      <name val="Arial"/>
    </font>
    <font>
      <color rgb="FF282828"/>
      <name val="Arial"/>
      <scheme val="minor"/>
    </font>
    <font>
      <color rgb="FF000000"/>
      <name val="Arial"/>
    </font>
    <font>
      <u/>
      <color rgb="FF1155CC"/>
      <name val="Arial"/>
    </font>
    <font>
      <u/>
      <color rgb="FF1155CC"/>
      <name val="Arial"/>
    </font>
    <font>
      <u/>
      <color rgb="FF1155CC"/>
      <name val="Arial"/>
    </font>
    <font>
      <u/>
      <color rgb="FF1155CC"/>
      <name val="Arial"/>
    </font>
    <font>
      <color rgb="FF000000"/>
      <name val="Roboto"/>
    </font>
    <font>
      <u/>
      <color rgb="FF1155CC"/>
      <name val="Arial"/>
    </font>
    <font>
      <u/>
      <color rgb="FF1155CC"/>
      <name val="Arial"/>
    </font>
    <font>
      <u/>
      <color rgb="FF1155CC"/>
      <name val="Arial"/>
    </font>
    <font>
      <u/>
      <color rgb="FF1155CC"/>
      <name val="Arial"/>
    </font>
    <font>
      <color rgb="FFFF0000"/>
      <name val="Arial"/>
    </font>
    <font>
      <u/>
      <color rgb="FF1155CC"/>
      <name val="Arial"/>
    </font>
    <font>
      <u/>
      <color rgb="FF1155CC"/>
      <name val="Arial"/>
    </font>
    <font>
      <u/>
      <color rgb="FF1155CC"/>
      <name val="Arial"/>
    </font>
    <font>
      <u/>
      <color rgb="FF1155CC"/>
      <name val="Arial"/>
    </font>
    <font>
      <u/>
      <color rgb="FF1155CC"/>
      <name val="Arial"/>
    </font>
    <font>
      <u/>
      <color rgb="FF1155CC"/>
      <name val="Arial"/>
    </font>
    <font>
      <u/>
      <color rgb="FF1155CC"/>
      <name val="Arial"/>
    </font>
    <font>
      <u/>
      <color rgb="FF1155CC"/>
      <name val="Arial"/>
    </font>
    <font>
      <u/>
      <color rgb="FF1155CC"/>
      <name val="Arial"/>
    </font>
    <font>
      <u/>
      <color rgb="FF1155CC"/>
      <name val="Arial"/>
    </font>
    <font>
      <u/>
      <color rgb="FF0000FF"/>
    </font>
    <font>
      <u/>
      <sz val="9.0"/>
      <color rgb="FF000000"/>
      <name val="&quot;Google Sans&quot;"/>
    </font>
    <font>
      <u/>
      <color rgb="FF0000FF"/>
      <name val="Arial"/>
    </font>
    <font>
      <u/>
      <color rgb="FF0000FF"/>
      <name val="Arial"/>
    </font>
    <font>
      <u/>
      <sz val="9.0"/>
      <color rgb="FF000000"/>
      <name val="&quot;Google Sans&quot;"/>
    </font>
    <font>
      <u/>
      <color rgb="FF0000FF"/>
    </font>
    <font>
      <u/>
      <color rgb="FF0000FF"/>
      <name val="Arial"/>
    </font>
    <font>
      <u/>
      <color rgb="FF1155CC"/>
      <name val="Arial"/>
    </font>
    <font>
      <u/>
      <color rgb="FF1155CC"/>
      <name val="Arial"/>
    </font>
    <font>
      <u/>
      <color rgb="FF0000FF"/>
      <name val="Arial"/>
    </font>
    <font>
      <u/>
      <color rgb="FF0000FF"/>
    </font>
    <font>
      <u/>
      <sz val="9.0"/>
      <color rgb="FF000000"/>
      <name val="&quot;Google Sans&quot;"/>
    </font>
    <font>
      <u/>
      <color rgb="FF0000FF"/>
    </font>
    <font>
      <u/>
      <color rgb="FF0000FF"/>
    </font>
    <font>
      <u/>
      <color rgb="FF0000FF"/>
    </font>
    <font>
      <u/>
      <color rgb="FF0000FF"/>
    </font>
    <font>
      <u/>
      <color rgb="FF0000FF"/>
    </font>
    <font>
      <u/>
      <color rgb="FF0000FF"/>
    </font>
    <font>
      <color rgb="FF000000"/>
      <name val="Arial"/>
      <scheme val="minor"/>
    </font>
    <font>
      <u/>
      <color rgb="FF000000"/>
    </font>
    <font>
      <u/>
      <color rgb="FF0000FF"/>
    </font>
    <font>
      <u/>
      <color rgb="FF0000FF"/>
    </font>
    <font>
      <u/>
      <color rgb="FF0000FF"/>
    </font>
    <font>
      <u/>
      <color rgb="FF0000FF"/>
    </font>
    <font>
      <sz val="11.0"/>
      <color rgb="FF000000"/>
      <name val="Roboto"/>
    </font>
    <font>
      <u/>
      <color theme="1"/>
      <name val="Arial"/>
      <scheme val="minor"/>
    </font>
    <font>
      <u/>
      <color theme="1"/>
      <name val="Arial"/>
      <scheme val="minor"/>
    </font>
    <font>
      <sz val="11.0"/>
      <color rgb="FF000000"/>
      <name val="Calibri"/>
    </font>
    <font>
      <u/>
      <color rgb="FF0000FF"/>
    </font>
    <font>
      <u/>
      <color rgb="FF0000FF"/>
    </font>
    <font>
      <sz val="11.0"/>
      <color theme="1"/>
      <name val="Calibri"/>
    </font>
    <font>
      <u/>
      <color rgb="FF0000FF"/>
    </font>
    <font>
      <u/>
      <color rgb="FF0000FF"/>
    </font>
    <font>
      <u/>
      <color rgb="FF0000FF"/>
    </font>
    <font>
      <sz val="9.0"/>
      <color rgb="FF1F1F1F"/>
      <name val="&quot;Google Sans&quot;"/>
    </font>
    <font>
      <u/>
      <color rgb="FF1155CC"/>
      <name val="Arial"/>
    </font>
    <font>
      <u/>
      <color rgb="FF1155CC"/>
      <name val="Arial"/>
    </font>
    <font>
      <color rgb="FF282828"/>
      <name val="Arial"/>
    </font>
    <font>
      <u/>
      <color rgb="FF1155CC"/>
      <name val="Arial"/>
    </font>
    <font>
      <u/>
      <color rgb="FF0000FF"/>
      <name val="Arial"/>
    </font>
    <font>
      <color theme="1"/>
      <name val="Roboto"/>
    </font>
    <font>
      <u/>
      <color rgb="FF1155CC"/>
      <name val="Arial"/>
    </font>
    <font>
      <u/>
      <color rgb="FF1155CC"/>
      <name val="Arial"/>
    </font>
    <font>
      <u/>
      <color rgb="FF1155CC"/>
      <name val="Arial"/>
    </font>
    <font>
      <u/>
      <color rgb="FF1155CC"/>
      <name val="Arial"/>
    </font>
    <font>
      <u/>
      <color rgb="FF1155CC"/>
      <name val="Arial"/>
    </font>
    <font>
      <u/>
      <color rgb="FF1155CC"/>
      <name val="Arial"/>
    </font>
    <font>
      <u/>
      <color rgb="FF1155CC"/>
      <name val="Arial"/>
    </font>
    <font>
      <u/>
      <color rgb="FF1155CC"/>
      <name val="Arial"/>
    </font>
    <font>
      <u/>
      <color rgb="FF1155CC"/>
      <name val="Arial"/>
    </font>
    <font>
      <u/>
      <color rgb="FF1155CC"/>
      <name val="Arial"/>
    </font>
    <font>
      <u/>
      <color rgb="FF1155CC"/>
      <name val="Arial"/>
    </font>
    <font>
      <u/>
      <color rgb="FF1155CC"/>
      <name val="Arial"/>
    </font>
    <font>
      <u/>
      <color rgb="FF1155CC"/>
      <name val="Arial"/>
    </font>
    <font>
      <u/>
      <color rgb="FF1155CC"/>
      <name val="Arial"/>
    </font>
    <font>
      <sz val="9.0"/>
      <color rgb="FF1F1F1F"/>
      <name val="Google Sans"/>
    </font>
    <font>
      <sz val="11.0"/>
      <color theme="1"/>
      <name val="Roboto"/>
    </font>
    <font>
      <u/>
      <color rgb="FF1155CC"/>
      <name val="Arial"/>
    </font>
    <font>
      <u/>
      <color rgb="FF1155CC"/>
      <name val="Arial"/>
    </font>
    <font>
      <u/>
      <color rgb="FF1155CC"/>
      <name val="Arial"/>
    </font>
    <font>
      <sz val="9.0"/>
      <color rgb="FF1F1F1F"/>
      <name val="Arial"/>
    </font>
    <font>
      <color rgb="FF1F1F1F"/>
      <name val="Arial"/>
    </font>
    <font>
      <u/>
      <color rgb="FF1155CC"/>
      <name val="Arial"/>
    </font>
    <font>
      <u/>
      <color rgb="FF1155CC"/>
      <name val="Arial"/>
    </font>
  </fonts>
  <fills count="12">
    <fill>
      <patternFill patternType="none"/>
    </fill>
    <fill>
      <patternFill patternType="lightGray"/>
    </fill>
    <fill>
      <patternFill patternType="solid">
        <fgColor rgb="FFFFFFFF"/>
        <bgColor rgb="FFFFFFFF"/>
      </patternFill>
    </fill>
    <fill>
      <patternFill patternType="solid">
        <fgColor theme="7"/>
        <bgColor theme="7"/>
      </patternFill>
    </fill>
    <fill>
      <patternFill patternType="solid">
        <fgColor rgb="FFD9D2E9"/>
        <bgColor rgb="FFD9D2E9"/>
      </patternFill>
    </fill>
    <fill>
      <patternFill patternType="solid">
        <fgColor rgb="FFEAD1DC"/>
        <bgColor rgb="FFEAD1DC"/>
      </patternFill>
    </fill>
    <fill>
      <patternFill patternType="solid">
        <fgColor rgb="FFC9DAF8"/>
        <bgColor rgb="FFC9DAF8"/>
      </patternFill>
    </fill>
    <fill>
      <patternFill patternType="solid">
        <fgColor rgb="FFFFF2CC"/>
        <bgColor rgb="FFFFF2CC"/>
      </patternFill>
    </fill>
    <fill>
      <patternFill patternType="solid">
        <fgColor rgb="FFF9F9F9"/>
        <bgColor rgb="FFF9F9F9"/>
      </patternFill>
    </fill>
    <fill>
      <patternFill patternType="solid">
        <fgColor rgb="FFD9D9D9"/>
        <bgColor rgb="FFD9D9D9"/>
      </patternFill>
    </fill>
    <fill>
      <patternFill patternType="solid">
        <fgColor rgb="FF00FF00"/>
        <bgColor rgb="FF00FF00"/>
      </patternFill>
    </fill>
    <fill>
      <patternFill patternType="solid">
        <fgColor rgb="FF34A853"/>
        <bgColor rgb="FF34A853"/>
      </patternFill>
    </fill>
  </fills>
  <borders count="3">
    <border/>
    <border>
      <left style="thin">
        <color rgb="FF000000"/>
      </left>
      <right style="thin">
        <color rgb="FF000000"/>
      </right>
      <top style="thin">
        <color rgb="FF000000"/>
      </top>
      <bottom style="thin">
        <color rgb="FF000000"/>
      </bottom>
    </border>
    <border>
      <right/>
    </border>
  </borders>
  <cellStyleXfs count="1">
    <xf borderId="0" fillId="0" fontId="0" numFmtId="0" applyAlignment="1" applyFont="1"/>
  </cellStyleXfs>
  <cellXfs count="510">
    <xf borderId="0" fillId="0" fontId="0" numFmtId="0" xfId="0" applyAlignment="1" applyFont="1">
      <alignment readingOrder="0" shrinkToFit="0" vertical="bottom" wrapText="0"/>
    </xf>
    <xf borderId="0" fillId="0" fontId="1" numFmtId="0" xfId="0" applyAlignment="1" applyFont="1">
      <alignment vertical="center"/>
    </xf>
    <xf borderId="0" fillId="0" fontId="2" numFmtId="0" xfId="0" applyAlignment="1" applyFont="1">
      <alignment horizontal="center" readingOrder="0" vertical="bottom"/>
    </xf>
    <xf borderId="0" fillId="0" fontId="2" numFmtId="0" xfId="0" applyAlignment="1" applyFont="1">
      <alignment horizontal="center" vertical="bottom"/>
    </xf>
    <xf borderId="0" fillId="0" fontId="2" numFmtId="0" xfId="0" applyAlignment="1" applyFont="1">
      <alignment horizontal="center" vertical="bottom"/>
    </xf>
    <xf borderId="0" fillId="0" fontId="2" numFmtId="0" xfId="0" applyAlignment="1" applyFont="1">
      <alignment horizontal="center" shrinkToFit="0" vertical="bottom" wrapText="0"/>
    </xf>
    <xf borderId="0" fillId="2" fontId="2" numFmtId="0" xfId="0" applyAlignment="1" applyFill="1" applyFont="1">
      <alignment horizontal="center" vertical="bottom"/>
    </xf>
    <xf borderId="0" fillId="2" fontId="2" numFmtId="0" xfId="0" applyAlignment="1" applyFont="1">
      <alignment horizontal="center" readingOrder="0" vertical="bottom"/>
    </xf>
    <xf borderId="0" fillId="2" fontId="2" numFmtId="0" xfId="0" applyAlignment="1" applyFont="1">
      <alignment horizontal="center" shrinkToFit="0" vertical="bottom" wrapText="0"/>
    </xf>
    <xf borderId="0" fillId="2" fontId="2" numFmtId="0" xfId="0" applyAlignment="1" applyFont="1">
      <alignment horizontal="center" readingOrder="0" vertical="center"/>
    </xf>
    <xf borderId="0" fillId="2" fontId="2" numFmtId="0" xfId="0" applyAlignment="1" applyFont="1">
      <alignment horizontal="center" readingOrder="0" shrinkToFit="0" vertical="center" wrapText="0"/>
    </xf>
    <xf borderId="0" fillId="0" fontId="1" numFmtId="0" xfId="0" applyAlignment="1" applyFont="1">
      <alignment horizontal="left" readingOrder="0"/>
    </xf>
    <xf borderId="0" fillId="0" fontId="1" numFmtId="0" xfId="0" applyAlignment="1" applyFont="1">
      <alignment readingOrder="0" shrinkToFit="0" wrapText="0"/>
    </xf>
    <xf borderId="0" fillId="0" fontId="1" numFmtId="0" xfId="0" applyAlignment="1" applyFont="1">
      <alignment readingOrder="0"/>
    </xf>
    <xf borderId="0" fillId="0" fontId="1" numFmtId="0" xfId="0" applyAlignment="1" applyFont="1">
      <alignment shrinkToFit="0" wrapText="0"/>
    </xf>
    <xf borderId="0" fillId="0" fontId="2" numFmtId="0" xfId="0" applyAlignment="1" applyFont="1">
      <alignment readingOrder="0" vertical="bottom"/>
    </xf>
    <xf borderId="0" fillId="0" fontId="2" numFmtId="0" xfId="0" applyAlignment="1" applyFont="1">
      <alignment vertical="bottom"/>
    </xf>
    <xf borderId="0" fillId="0" fontId="2" numFmtId="0" xfId="0" applyAlignment="1" applyFont="1">
      <alignment vertical="bottom"/>
    </xf>
    <xf borderId="0" fillId="0" fontId="2" numFmtId="0" xfId="0" applyAlignment="1" applyFont="1">
      <alignment shrinkToFit="0" vertical="bottom" wrapText="0"/>
    </xf>
    <xf borderId="0" fillId="2" fontId="2" numFmtId="0" xfId="0" applyAlignment="1" applyFont="1">
      <alignment vertical="bottom"/>
    </xf>
    <xf borderId="0" fillId="2" fontId="2" numFmtId="0" xfId="0" applyAlignment="1" applyFont="1">
      <alignment shrinkToFit="0" vertical="top" wrapText="1"/>
    </xf>
    <xf borderId="0" fillId="2" fontId="2" numFmtId="0" xfId="0" applyAlignment="1" applyFont="1">
      <alignment readingOrder="0" shrinkToFit="0" vertical="bottom" wrapText="0"/>
    </xf>
    <xf borderId="0" fillId="2" fontId="3" numFmtId="0" xfId="0" applyFont="1"/>
    <xf borderId="0" fillId="2" fontId="3" numFmtId="0" xfId="0" applyAlignment="1" applyFont="1">
      <alignment horizontal="center"/>
    </xf>
    <xf borderId="0" fillId="2" fontId="4" numFmtId="0" xfId="0" applyAlignment="1" applyFont="1">
      <alignment horizontal="right" readingOrder="0" vertical="top"/>
    </xf>
    <xf borderId="0" fillId="2" fontId="4" numFmtId="164" xfId="0" applyAlignment="1" applyFont="1" applyNumberFormat="1">
      <alignment horizontal="right" vertical="top"/>
    </xf>
    <xf borderId="0" fillId="2" fontId="4" numFmtId="0" xfId="0" applyAlignment="1" applyFont="1">
      <alignment vertical="top"/>
    </xf>
    <xf borderId="0" fillId="2" fontId="4" numFmtId="0" xfId="0" applyAlignment="1" applyFont="1">
      <alignment horizontal="right" vertical="top"/>
    </xf>
    <xf quotePrefix="1" borderId="0" fillId="2" fontId="4" numFmtId="0" xfId="0" applyAlignment="1" applyFont="1">
      <alignment vertical="top"/>
    </xf>
    <xf borderId="0" fillId="2" fontId="4" numFmtId="0" xfId="0" applyAlignment="1" applyFont="1">
      <alignment readingOrder="0" vertical="top"/>
    </xf>
    <xf borderId="0" fillId="2" fontId="5" numFmtId="0" xfId="0" applyAlignment="1" applyFont="1">
      <alignment vertical="top"/>
    </xf>
    <xf borderId="0" fillId="2" fontId="6" numFmtId="0" xfId="0" applyAlignment="1" applyFont="1">
      <alignment shrinkToFit="0" vertical="top" wrapText="0"/>
    </xf>
    <xf borderId="0" fillId="2" fontId="4" numFmtId="0" xfId="0" applyAlignment="1" applyFont="1">
      <alignment vertical="bottom"/>
    </xf>
    <xf borderId="0" fillId="2" fontId="4" numFmtId="0" xfId="0" applyAlignment="1" applyFont="1">
      <alignment shrinkToFit="0" vertical="top" wrapText="1"/>
    </xf>
    <xf borderId="0" fillId="2" fontId="4" numFmtId="165" xfId="0" applyAlignment="1" applyFont="1" applyNumberFormat="1">
      <alignment horizontal="right" vertical="bottom"/>
    </xf>
    <xf borderId="0" fillId="2" fontId="4" numFmtId="0" xfId="0" applyAlignment="1" applyFont="1">
      <alignment shrinkToFit="0" vertical="bottom" wrapText="0"/>
    </xf>
    <xf borderId="0" fillId="2" fontId="4" numFmtId="0" xfId="0" applyAlignment="1" applyFont="1">
      <alignment horizontal="center" vertical="bottom"/>
    </xf>
    <xf borderId="0" fillId="2" fontId="4" numFmtId="166" xfId="0" applyAlignment="1" applyFont="1" applyNumberFormat="1">
      <alignment horizontal="right" vertical="bottom"/>
    </xf>
    <xf borderId="0" fillId="2" fontId="4" numFmtId="167" xfId="0" applyAlignment="1" applyFont="1" applyNumberFormat="1">
      <alignment horizontal="right" vertical="bottom"/>
    </xf>
    <xf borderId="0" fillId="2" fontId="4" numFmtId="168" xfId="0" applyAlignment="1" applyFont="1" applyNumberFormat="1">
      <alignment horizontal="right" vertical="bottom"/>
    </xf>
    <xf borderId="0" fillId="2" fontId="4" numFmtId="169" xfId="0" applyAlignment="1" applyFont="1" applyNumberFormat="1">
      <alignment horizontal="right" vertical="bottom"/>
    </xf>
    <xf borderId="0" fillId="2" fontId="4" numFmtId="0" xfId="0" applyAlignment="1" applyFont="1">
      <alignment horizontal="right" shrinkToFit="0" vertical="bottom" wrapText="0"/>
    </xf>
    <xf borderId="0" fillId="2" fontId="7" numFmtId="0" xfId="0" applyAlignment="1" applyFont="1">
      <alignment horizontal="left" readingOrder="0"/>
    </xf>
    <xf borderId="0" fillId="2" fontId="1" numFmtId="0" xfId="0" applyFont="1"/>
    <xf borderId="0" fillId="2" fontId="1" numFmtId="0" xfId="0" applyAlignment="1" applyFont="1">
      <alignment horizontal="center"/>
    </xf>
    <xf borderId="0" fillId="2" fontId="4" numFmtId="0" xfId="0" applyAlignment="1" applyFont="1">
      <alignment readingOrder="0" vertical="bottom"/>
    </xf>
    <xf borderId="0" fillId="2" fontId="8" numFmtId="0" xfId="0" applyAlignment="1" applyFont="1">
      <alignment horizontal="left" readingOrder="0"/>
    </xf>
    <xf borderId="0" fillId="0" fontId="4" numFmtId="0" xfId="0" applyAlignment="1" applyFont="1">
      <alignment horizontal="right" readingOrder="0" vertical="bottom"/>
    </xf>
    <xf borderId="0" fillId="2" fontId="9" numFmtId="0" xfId="0" applyAlignment="1" applyFont="1">
      <alignment shrinkToFit="0" vertical="top" wrapText="0"/>
    </xf>
    <xf borderId="0" fillId="2" fontId="4" numFmtId="0" xfId="0" applyAlignment="1" applyFont="1">
      <alignment horizontal="center" readingOrder="0" vertical="bottom"/>
    </xf>
    <xf borderId="0" fillId="2" fontId="1" numFmtId="0" xfId="0" applyAlignment="1" applyFont="1">
      <alignment horizontal="center" readingOrder="0"/>
    </xf>
    <xf borderId="0" fillId="2" fontId="2" numFmtId="0" xfId="0" applyAlignment="1" applyFont="1">
      <alignment shrinkToFit="0" vertical="bottom" wrapText="0"/>
    </xf>
    <xf borderId="0" fillId="2" fontId="3" numFmtId="0" xfId="0" applyAlignment="1" applyFont="1">
      <alignment horizontal="center" readingOrder="0"/>
    </xf>
    <xf borderId="0" fillId="0" fontId="4" numFmtId="164" xfId="0" applyAlignment="1" applyFont="1" applyNumberFormat="1">
      <alignment horizontal="right" vertical="bottom"/>
    </xf>
    <xf borderId="0" fillId="0" fontId="4" numFmtId="0" xfId="0" applyAlignment="1" applyFont="1">
      <alignment vertical="bottom"/>
    </xf>
    <xf borderId="0" fillId="0" fontId="4" numFmtId="0" xfId="0" applyAlignment="1" applyFont="1">
      <alignment horizontal="right" vertical="bottom"/>
    </xf>
    <xf quotePrefix="1" borderId="0" fillId="0" fontId="4" numFmtId="0" xfId="0" applyAlignment="1" applyFont="1">
      <alignment vertical="bottom"/>
    </xf>
    <xf borderId="0" fillId="0" fontId="10" numFmtId="0" xfId="0" applyAlignment="1" applyFont="1">
      <alignment vertical="bottom"/>
    </xf>
    <xf borderId="0" fillId="0" fontId="11" numFmtId="0" xfId="0" applyAlignment="1" applyFont="1">
      <alignment shrinkToFit="0" vertical="bottom" wrapText="0"/>
    </xf>
    <xf borderId="0" fillId="2" fontId="4" numFmtId="0" xfId="0" applyAlignment="1" applyFont="1">
      <alignment readingOrder="0" shrinkToFit="0" vertical="top" wrapText="1"/>
    </xf>
    <xf borderId="0" fillId="0" fontId="4" numFmtId="0" xfId="0" applyAlignment="1" applyFont="1">
      <alignment readingOrder="0" vertical="bottom"/>
    </xf>
    <xf borderId="0" fillId="0" fontId="12" numFmtId="0" xfId="0" applyAlignment="1" applyFont="1">
      <alignment shrinkToFit="0" vertical="bottom" wrapText="0"/>
    </xf>
    <xf borderId="0" fillId="2" fontId="13" numFmtId="0" xfId="0" applyAlignment="1" applyFont="1">
      <alignment readingOrder="0" shrinkToFit="0" vertical="top" wrapText="1"/>
    </xf>
    <xf borderId="0" fillId="2" fontId="8" numFmtId="0" xfId="0" applyAlignment="1" applyFont="1">
      <alignment horizontal="left" readingOrder="0" shrinkToFit="0" vertical="top" wrapText="1"/>
    </xf>
    <xf borderId="0" fillId="2" fontId="8" numFmtId="0" xfId="0" applyAlignment="1" applyFont="1">
      <alignment readingOrder="0" shrinkToFit="0" vertical="top" wrapText="1"/>
    </xf>
    <xf borderId="0" fillId="0" fontId="4" numFmtId="164" xfId="0" applyAlignment="1" applyFont="1" applyNumberFormat="1">
      <alignment horizontal="right" vertical="top"/>
    </xf>
    <xf borderId="0" fillId="0" fontId="4" numFmtId="0" xfId="0" applyAlignment="1" applyFont="1">
      <alignment vertical="top"/>
    </xf>
    <xf borderId="0" fillId="0" fontId="4" numFmtId="0" xfId="0" applyAlignment="1" applyFont="1">
      <alignment horizontal="right" vertical="top"/>
    </xf>
    <xf quotePrefix="1" borderId="0" fillId="0" fontId="4" numFmtId="0" xfId="0" applyAlignment="1" applyFont="1">
      <alignment vertical="top"/>
    </xf>
    <xf borderId="0" fillId="0" fontId="14" numFmtId="0" xfId="0" applyAlignment="1" applyFont="1">
      <alignment shrinkToFit="0" vertical="top" wrapText="0"/>
    </xf>
    <xf borderId="0" fillId="2" fontId="4" numFmtId="0" xfId="0" applyAlignment="1" applyFont="1">
      <alignment shrinkToFit="0" vertical="top" wrapText="0"/>
    </xf>
    <xf borderId="0" fillId="2" fontId="8" numFmtId="166" xfId="0" applyAlignment="1" applyFont="1" applyNumberFormat="1">
      <alignment horizontal="left" readingOrder="0"/>
    </xf>
    <xf borderId="0" fillId="2" fontId="8" numFmtId="166" xfId="0" applyAlignment="1" applyFont="1" applyNumberFormat="1">
      <alignment horizontal="left" readingOrder="0" vertical="bottom"/>
    </xf>
    <xf borderId="0" fillId="2" fontId="8" numFmtId="0" xfId="0" applyAlignment="1" applyFont="1">
      <alignment readingOrder="0" vertical="bottom"/>
    </xf>
    <xf borderId="0" fillId="2" fontId="4" numFmtId="166" xfId="0" applyAlignment="1" applyFont="1" applyNumberFormat="1">
      <alignment horizontal="center" readingOrder="0" vertical="bottom"/>
    </xf>
    <xf borderId="0" fillId="2" fontId="1" numFmtId="0" xfId="0" applyAlignment="1" applyFont="1">
      <alignment horizontal="left" readingOrder="0"/>
    </xf>
    <xf borderId="0" fillId="2" fontId="8" numFmtId="0" xfId="0" applyAlignment="1" applyFont="1">
      <alignment horizontal="left" readingOrder="0" vertical="bottom"/>
    </xf>
    <xf borderId="0" fillId="2" fontId="4" numFmtId="0" xfId="0" applyAlignment="1" applyFont="1">
      <alignment horizontal="left" readingOrder="0" vertical="bottom"/>
    </xf>
    <xf borderId="0" fillId="2" fontId="4" numFmtId="166" xfId="0" applyAlignment="1" applyFont="1" applyNumberFormat="1">
      <alignment readingOrder="0" vertical="top"/>
    </xf>
    <xf borderId="0" fillId="0" fontId="4" numFmtId="0" xfId="0" applyAlignment="1" applyFont="1">
      <alignment readingOrder="0" vertical="top"/>
    </xf>
    <xf borderId="0" fillId="2" fontId="1" numFmtId="166" xfId="0" applyAlignment="1" applyFont="1" applyNumberFormat="1">
      <alignment readingOrder="0"/>
    </xf>
    <xf borderId="0" fillId="2" fontId="1" numFmtId="0" xfId="0" applyAlignment="1" applyFont="1">
      <alignment readingOrder="0"/>
    </xf>
    <xf borderId="0" fillId="2" fontId="4" numFmtId="166" xfId="0" applyAlignment="1" applyFont="1" applyNumberFormat="1">
      <alignment readingOrder="0" vertical="bottom"/>
    </xf>
    <xf borderId="0" fillId="2" fontId="15" numFmtId="0" xfId="0" applyAlignment="1" applyFont="1">
      <alignment shrinkToFit="0" vertical="bottom" wrapText="0"/>
    </xf>
    <xf borderId="0" fillId="2" fontId="16" numFmtId="0" xfId="0" applyAlignment="1" applyFont="1">
      <alignment shrinkToFit="0" vertical="bottom" wrapText="0"/>
    </xf>
    <xf borderId="0" fillId="2" fontId="4" numFmtId="0" xfId="0" applyAlignment="1" applyFont="1">
      <alignment horizontal="right" readingOrder="0" vertical="bottom"/>
    </xf>
    <xf borderId="1" fillId="0" fontId="17" numFmtId="0" xfId="0" applyAlignment="1" applyBorder="1" applyFont="1">
      <alignment shrinkToFit="0" vertical="bottom" wrapText="0"/>
    </xf>
    <xf borderId="0" fillId="0" fontId="4" numFmtId="166" xfId="0" applyAlignment="1" applyFont="1" applyNumberFormat="1">
      <alignment readingOrder="0" vertical="bottom"/>
    </xf>
    <xf borderId="0" fillId="0" fontId="4" numFmtId="0" xfId="0" applyAlignment="1" applyFont="1">
      <alignment shrinkToFit="0" vertical="bottom" wrapText="0"/>
    </xf>
    <xf borderId="0" fillId="0" fontId="4" numFmtId="0" xfId="0" applyAlignment="1" applyFont="1">
      <alignment readingOrder="0" shrinkToFit="0" vertical="top" wrapText="1"/>
    </xf>
    <xf borderId="0" fillId="0" fontId="18" numFmtId="166" xfId="0" applyAlignment="1" applyFont="1" applyNumberFormat="1">
      <alignment horizontal="left" readingOrder="0" vertical="bottom"/>
    </xf>
    <xf borderId="1" fillId="0" fontId="19" numFmtId="0" xfId="0" applyAlignment="1" applyBorder="1" applyFont="1">
      <alignment shrinkToFit="0" vertical="bottom" wrapText="0"/>
    </xf>
    <xf borderId="2" fillId="0" fontId="20" numFmtId="0" xfId="0" applyAlignment="1" applyBorder="1" applyFont="1">
      <alignment shrinkToFit="0" vertical="bottom" wrapText="0"/>
    </xf>
    <xf borderId="0" fillId="0" fontId="4" numFmtId="0" xfId="0" applyAlignment="1" applyFont="1">
      <alignment horizontal="right" vertical="bottom"/>
    </xf>
    <xf borderId="0" fillId="3" fontId="1" numFmtId="0" xfId="0" applyAlignment="1" applyFill="1" applyFont="1">
      <alignment readingOrder="0"/>
    </xf>
    <xf borderId="0" fillId="3" fontId="4" numFmtId="164" xfId="0" applyAlignment="1" applyFont="1" applyNumberFormat="1">
      <alignment horizontal="right" vertical="bottom"/>
    </xf>
    <xf borderId="0" fillId="3" fontId="4" numFmtId="0" xfId="0" applyAlignment="1" applyFont="1">
      <alignment vertical="bottom"/>
    </xf>
    <xf borderId="0" fillId="3" fontId="4" numFmtId="0" xfId="0" applyAlignment="1" applyFont="1">
      <alignment horizontal="right" vertical="bottom"/>
    </xf>
    <xf quotePrefix="1" borderId="0" fillId="3" fontId="4" numFmtId="0" xfId="0" applyAlignment="1" applyFont="1">
      <alignment vertical="bottom"/>
    </xf>
    <xf borderId="0" fillId="3" fontId="4" numFmtId="0" xfId="0" applyAlignment="1" applyFont="1">
      <alignment readingOrder="0" vertical="bottom"/>
    </xf>
    <xf borderId="1" fillId="3" fontId="21" numFmtId="0" xfId="0" applyAlignment="1" applyBorder="1" applyFont="1">
      <alignment shrinkToFit="0" vertical="bottom" wrapText="0"/>
    </xf>
    <xf borderId="0" fillId="3" fontId="22" numFmtId="0" xfId="0" applyAlignment="1" applyFont="1">
      <alignment shrinkToFit="0" vertical="bottom" wrapText="0"/>
    </xf>
    <xf borderId="0" fillId="3" fontId="4" numFmtId="0" xfId="0" applyAlignment="1" applyFont="1">
      <alignment readingOrder="0" shrinkToFit="0" vertical="top" wrapText="1"/>
    </xf>
    <xf borderId="0" fillId="3" fontId="4" numFmtId="170" xfId="0" applyAlignment="1" applyFont="1" applyNumberFormat="1">
      <alignment readingOrder="0" vertical="bottom"/>
    </xf>
    <xf borderId="0" fillId="3" fontId="4" numFmtId="0" xfId="0" applyAlignment="1" applyFont="1">
      <alignment shrinkToFit="0" vertical="bottom" wrapText="0"/>
    </xf>
    <xf borderId="0" fillId="3" fontId="1" numFmtId="0" xfId="0" applyFont="1"/>
    <xf borderId="0" fillId="3" fontId="1" numFmtId="0" xfId="0" applyAlignment="1" applyFont="1">
      <alignment horizontal="center" readingOrder="0"/>
    </xf>
    <xf borderId="0" fillId="4" fontId="1" numFmtId="0" xfId="0" applyAlignment="1" applyFill="1" applyFont="1">
      <alignment readingOrder="0"/>
    </xf>
    <xf borderId="0" fillId="4" fontId="4" numFmtId="164" xfId="0" applyAlignment="1" applyFont="1" applyNumberFormat="1">
      <alignment horizontal="right" vertical="bottom"/>
    </xf>
    <xf borderId="0" fillId="4" fontId="4" numFmtId="0" xfId="0" applyAlignment="1" applyFont="1">
      <alignment vertical="bottom"/>
    </xf>
    <xf borderId="0" fillId="4" fontId="4" numFmtId="0" xfId="0" applyAlignment="1" applyFont="1">
      <alignment horizontal="right" vertical="bottom"/>
    </xf>
    <xf quotePrefix="1" borderId="0" fillId="4" fontId="4" numFmtId="0" xfId="0" applyAlignment="1" applyFont="1">
      <alignment vertical="bottom"/>
    </xf>
    <xf borderId="0" fillId="4" fontId="4" numFmtId="0" xfId="0" applyAlignment="1" applyFont="1">
      <alignment readingOrder="0" vertical="bottom"/>
    </xf>
    <xf borderId="1" fillId="4" fontId="23" numFmtId="0" xfId="0" applyAlignment="1" applyBorder="1" applyFont="1">
      <alignment shrinkToFit="0" vertical="bottom" wrapText="0"/>
    </xf>
    <xf borderId="0" fillId="4" fontId="24" numFmtId="0" xfId="0" applyAlignment="1" applyFont="1">
      <alignment shrinkToFit="0" vertical="bottom" wrapText="0"/>
    </xf>
    <xf borderId="0" fillId="4" fontId="4" numFmtId="0" xfId="0" applyAlignment="1" applyFont="1">
      <alignment readingOrder="0" shrinkToFit="0" vertical="top" wrapText="1"/>
    </xf>
    <xf borderId="0" fillId="4" fontId="4" numFmtId="170" xfId="0" applyAlignment="1" applyFont="1" applyNumberFormat="1">
      <alignment readingOrder="0" vertical="bottom"/>
    </xf>
    <xf borderId="1" fillId="4" fontId="25" numFmtId="0" xfId="0" applyAlignment="1" applyBorder="1" applyFont="1">
      <alignment shrinkToFit="0" vertical="bottom" wrapText="0"/>
    </xf>
    <xf borderId="0" fillId="4" fontId="8" numFmtId="0" xfId="0" applyAlignment="1" applyFont="1">
      <alignment horizontal="left" readingOrder="0" shrinkToFit="0" vertical="top" wrapText="1"/>
    </xf>
    <xf borderId="0" fillId="4" fontId="13" numFmtId="0" xfId="0" applyAlignment="1" applyFont="1">
      <alignment readingOrder="0" shrinkToFit="0" vertical="top" wrapText="1"/>
    </xf>
    <xf borderId="0" fillId="4" fontId="13" numFmtId="0" xfId="0" applyAlignment="1" applyFont="1">
      <alignment readingOrder="0" shrinkToFit="0" vertical="top" wrapText="0"/>
    </xf>
    <xf borderId="0" fillId="4" fontId="4" numFmtId="170" xfId="0" applyAlignment="1" applyFont="1" applyNumberFormat="1">
      <alignment readingOrder="0" vertical="center"/>
    </xf>
    <xf borderId="0" fillId="4" fontId="4" numFmtId="0" xfId="0" applyAlignment="1" applyFont="1">
      <alignment readingOrder="0" vertical="center"/>
    </xf>
    <xf borderId="0" fillId="2" fontId="1" numFmtId="0" xfId="0" applyAlignment="1" applyFont="1">
      <alignment shrinkToFit="0" wrapText="0"/>
    </xf>
    <xf borderId="0" fillId="4" fontId="8" numFmtId="0" xfId="0" applyAlignment="1" applyFont="1">
      <alignment readingOrder="0" shrinkToFit="0" vertical="top" wrapText="0"/>
    </xf>
    <xf borderId="0" fillId="4" fontId="4" numFmtId="166" xfId="0" applyAlignment="1" applyFont="1" applyNumberFormat="1">
      <alignment readingOrder="0" vertical="bottom"/>
    </xf>
    <xf borderId="0" fillId="4" fontId="8" numFmtId="0" xfId="0" applyAlignment="1" applyFont="1">
      <alignment horizontal="left" readingOrder="0" shrinkToFit="0" vertical="top" wrapText="0"/>
    </xf>
    <xf borderId="0" fillId="4" fontId="4" numFmtId="166" xfId="0" applyAlignment="1" applyFont="1" applyNumberFormat="1">
      <alignment readingOrder="0" vertical="center"/>
    </xf>
    <xf borderId="0" fillId="4" fontId="4" numFmtId="0" xfId="0" applyAlignment="1" applyFont="1">
      <alignment readingOrder="0" shrinkToFit="0" vertical="top" wrapText="0"/>
    </xf>
    <xf borderId="0" fillId="4" fontId="4" numFmtId="0" xfId="0" applyAlignment="1" applyFont="1">
      <alignment vertical="center"/>
    </xf>
    <xf borderId="0" fillId="4" fontId="4" numFmtId="0" xfId="0" applyAlignment="1" applyFont="1">
      <alignment readingOrder="0" shrinkToFit="0" vertical="bottom" wrapText="0"/>
    </xf>
    <xf borderId="0" fillId="4" fontId="1" numFmtId="0" xfId="0" applyFont="1"/>
    <xf borderId="0" fillId="4" fontId="4" numFmtId="0" xfId="0" applyAlignment="1" applyFont="1">
      <alignment horizontal="right" readingOrder="0" vertical="bottom"/>
    </xf>
    <xf borderId="0" fillId="4" fontId="1" numFmtId="0" xfId="0" applyAlignment="1" applyFont="1">
      <alignment readingOrder="0" shrinkToFit="0" vertical="top" wrapText="0"/>
    </xf>
    <xf borderId="0" fillId="4" fontId="1" numFmtId="0" xfId="0" applyAlignment="1" applyFont="1">
      <alignment readingOrder="0" vertical="center"/>
    </xf>
    <xf borderId="2" fillId="4" fontId="26" numFmtId="0" xfId="0" applyAlignment="1" applyBorder="1" applyFont="1">
      <alignment shrinkToFit="0" vertical="bottom" wrapText="0"/>
    </xf>
    <xf borderId="0" fillId="4" fontId="4" numFmtId="0" xfId="0" applyAlignment="1" applyFont="1">
      <alignment vertical="bottom"/>
    </xf>
    <xf borderId="0" fillId="4" fontId="4" numFmtId="0" xfId="0" applyAlignment="1" applyFont="1">
      <alignment shrinkToFit="0" vertical="bottom" wrapText="0"/>
    </xf>
    <xf borderId="0" fillId="4" fontId="1" numFmtId="0" xfId="0" applyAlignment="1" applyFont="1">
      <alignment horizontal="center" readingOrder="0"/>
    </xf>
    <xf borderId="0" fillId="4" fontId="1" numFmtId="0" xfId="0" applyAlignment="1" applyFont="1">
      <alignment shrinkToFit="0" wrapText="0"/>
    </xf>
    <xf borderId="0" fillId="4" fontId="1" numFmtId="166" xfId="0" applyAlignment="1" applyFont="1" applyNumberFormat="1">
      <alignment readingOrder="0" vertical="center"/>
    </xf>
    <xf borderId="0" fillId="4" fontId="27" numFmtId="0" xfId="0" applyAlignment="1" applyFont="1">
      <alignment shrinkToFit="0" vertical="bottom" wrapText="0"/>
    </xf>
    <xf borderId="0" fillId="4" fontId="13" numFmtId="0" xfId="0" applyAlignment="1" applyFont="1">
      <alignment readingOrder="0" vertical="center"/>
    </xf>
    <xf borderId="0" fillId="0" fontId="4" numFmtId="0" xfId="0" applyAlignment="1" applyFont="1">
      <alignment readingOrder="0" shrinkToFit="0" vertical="bottom" wrapText="0"/>
    </xf>
    <xf borderId="0" fillId="4" fontId="4" numFmtId="171" xfId="0" applyAlignment="1" applyFont="1" applyNumberFormat="1">
      <alignment readingOrder="0" vertical="center"/>
    </xf>
    <xf borderId="0" fillId="4" fontId="8" numFmtId="0" xfId="0" applyAlignment="1" applyFont="1">
      <alignment horizontal="left" readingOrder="0"/>
    </xf>
    <xf borderId="0" fillId="4" fontId="4" numFmtId="171" xfId="0" applyAlignment="1" applyFont="1" applyNumberFormat="1">
      <alignment readingOrder="0" vertical="bottom"/>
    </xf>
    <xf borderId="0" fillId="4" fontId="28" numFmtId="0" xfId="0" applyAlignment="1" applyFont="1">
      <alignment vertical="bottom"/>
    </xf>
    <xf borderId="0" fillId="4" fontId="1" numFmtId="0" xfId="0" applyAlignment="1" applyFont="1">
      <alignment readingOrder="0" shrinkToFit="0" wrapText="0"/>
    </xf>
    <xf borderId="0" fillId="4" fontId="4" numFmtId="0" xfId="0" applyAlignment="1" applyFont="1">
      <alignment horizontal="center" readingOrder="0" vertical="bottom"/>
    </xf>
    <xf borderId="0" fillId="4" fontId="29" numFmtId="0" xfId="0" applyAlignment="1" applyFont="1">
      <alignment readingOrder="0" shrinkToFit="0" wrapText="0"/>
    </xf>
    <xf borderId="0" fillId="4" fontId="30" numFmtId="0" xfId="0" applyAlignment="1" applyFont="1">
      <alignment readingOrder="0" shrinkToFit="0" wrapText="0"/>
    </xf>
    <xf borderId="0" fillId="4" fontId="31" numFmtId="0" xfId="0" applyAlignment="1" applyFont="1">
      <alignment readingOrder="0" vertical="bottom"/>
    </xf>
    <xf borderId="0" fillId="4" fontId="32" numFmtId="0" xfId="0" applyAlignment="1" applyFont="1">
      <alignment readingOrder="0" shrinkToFit="0" vertical="bottom" wrapText="0"/>
    </xf>
    <xf borderId="0" fillId="4" fontId="4" numFmtId="166" xfId="0" applyAlignment="1" applyFont="1" applyNumberFormat="1">
      <alignment horizontal="right" readingOrder="0" vertical="center"/>
    </xf>
    <xf borderId="0" fillId="4" fontId="33" numFmtId="0" xfId="0" applyAlignment="1" applyFont="1">
      <alignment readingOrder="0" shrinkToFit="0" wrapText="0"/>
    </xf>
    <xf borderId="0" fillId="4" fontId="34" numFmtId="0" xfId="0" applyAlignment="1" applyFont="1">
      <alignment readingOrder="0" shrinkToFit="0" wrapText="0"/>
    </xf>
    <xf borderId="0" fillId="4" fontId="35" numFmtId="0" xfId="0" applyAlignment="1" applyFont="1">
      <alignment readingOrder="0" shrinkToFit="0" vertical="bottom" wrapText="0"/>
    </xf>
    <xf borderId="0" fillId="5" fontId="1" numFmtId="0" xfId="0" applyAlignment="1" applyFill="1" applyFont="1">
      <alignment readingOrder="0"/>
    </xf>
    <xf borderId="0" fillId="5" fontId="1" numFmtId="0" xfId="0" applyFont="1"/>
    <xf borderId="0" fillId="5" fontId="4" numFmtId="164" xfId="0" applyAlignment="1" applyFont="1" applyNumberFormat="1">
      <alignment horizontal="right" vertical="bottom"/>
    </xf>
    <xf borderId="0" fillId="5" fontId="4" numFmtId="0" xfId="0" applyAlignment="1" applyFont="1">
      <alignment vertical="bottom"/>
    </xf>
    <xf borderId="0" fillId="5" fontId="4" numFmtId="0" xfId="0" applyAlignment="1" applyFont="1">
      <alignment horizontal="right" vertical="bottom"/>
    </xf>
    <xf quotePrefix="1" borderId="0" fillId="5" fontId="4" numFmtId="0" xfId="0" applyAlignment="1" applyFont="1">
      <alignment vertical="bottom"/>
    </xf>
    <xf borderId="0" fillId="5" fontId="4" numFmtId="0" xfId="0" applyAlignment="1" applyFont="1">
      <alignment readingOrder="0" vertical="bottom"/>
    </xf>
    <xf borderId="0" fillId="5" fontId="36" numFmtId="0" xfId="0" applyAlignment="1" applyFont="1">
      <alignment shrinkToFit="0" vertical="bottom" wrapText="0"/>
    </xf>
    <xf borderId="0" fillId="5" fontId="37" numFmtId="0" xfId="0" applyAlignment="1" applyFont="1">
      <alignment vertical="bottom"/>
    </xf>
    <xf borderId="0" fillId="5" fontId="1" numFmtId="0" xfId="0" applyAlignment="1" applyFont="1">
      <alignment readingOrder="0" shrinkToFit="0" wrapText="0"/>
    </xf>
    <xf borderId="0" fillId="5" fontId="4" numFmtId="166" xfId="0" applyAlignment="1" applyFont="1" applyNumberFormat="1">
      <alignment readingOrder="0" vertical="center"/>
    </xf>
    <xf borderId="0" fillId="5" fontId="4" numFmtId="0" xfId="0" applyAlignment="1" applyFont="1">
      <alignment readingOrder="0" vertical="center"/>
    </xf>
    <xf borderId="0" fillId="5" fontId="4" numFmtId="0" xfId="0" applyAlignment="1" applyFont="1">
      <alignment horizontal="center" readingOrder="0" vertical="bottom"/>
    </xf>
    <xf borderId="0" fillId="5" fontId="1" numFmtId="0" xfId="0" applyAlignment="1" applyFont="1">
      <alignment shrinkToFit="0" wrapText="0"/>
    </xf>
    <xf borderId="0" fillId="4" fontId="38" numFmtId="0" xfId="0" applyAlignment="1" applyFont="1">
      <alignment vertical="bottom"/>
    </xf>
    <xf borderId="0" fillId="4" fontId="1" numFmtId="164" xfId="0" applyAlignment="1" applyFont="1" applyNumberFormat="1">
      <alignment vertical="top"/>
    </xf>
    <xf borderId="0" fillId="4" fontId="1" numFmtId="0" xfId="0" applyAlignment="1" applyFont="1">
      <alignment vertical="top"/>
    </xf>
    <xf borderId="0" fillId="4" fontId="1" numFmtId="0" xfId="0" applyAlignment="1" applyFont="1">
      <alignment vertical="top"/>
    </xf>
    <xf borderId="0" fillId="4" fontId="39" numFmtId="0" xfId="0" applyAlignment="1" applyFont="1">
      <alignment readingOrder="0" vertical="top"/>
    </xf>
    <xf borderId="0" fillId="4" fontId="1" numFmtId="0" xfId="0" applyAlignment="1" applyFont="1">
      <alignment shrinkToFit="0" vertical="top" wrapText="0"/>
    </xf>
    <xf borderId="0" fillId="4" fontId="1" numFmtId="0" xfId="0" applyAlignment="1" applyFont="1">
      <alignment shrinkToFit="0" vertical="bottom" wrapText="0"/>
    </xf>
    <xf borderId="0" fillId="4" fontId="1" numFmtId="0" xfId="0" applyAlignment="1" applyFont="1">
      <alignment readingOrder="0" shrinkToFit="0" vertical="top" wrapText="0"/>
    </xf>
    <xf borderId="0" fillId="4" fontId="1" numFmtId="0" xfId="0" applyAlignment="1" applyFont="1">
      <alignment shrinkToFit="0" vertical="top" wrapText="0"/>
    </xf>
    <xf borderId="0" fillId="4" fontId="1" numFmtId="164" xfId="0" applyAlignment="1" applyFont="1" applyNumberFormat="1">
      <alignment shrinkToFit="0" vertical="top" wrapText="0"/>
    </xf>
    <xf borderId="0" fillId="4" fontId="1" numFmtId="0" xfId="0" applyAlignment="1" applyFont="1">
      <alignment shrinkToFit="0" vertical="top" wrapText="0"/>
    </xf>
    <xf borderId="0" fillId="4" fontId="1" numFmtId="166" xfId="0" applyAlignment="1" applyFont="1" applyNumberFormat="1">
      <alignment readingOrder="0" shrinkToFit="0" vertical="center" wrapText="0"/>
    </xf>
    <xf borderId="0" fillId="4" fontId="1" numFmtId="0" xfId="0" applyAlignment="1" applyFont="1">
      <alignment readingOrder="0" shrinkToFit="0" vertical="center" wrapText="0"/>
    </xf>
    <xf borderId="0" fillId="4" fontId="40" numFmtId="0" xfId="0" applyAlignment="1" applyFont="1">
      <alignment readingOrder="0" shrinkToFit="0" vertical="top" wrapText="0"/>
    </xf>
    <xf borderId="0" fillId="4" fontId="1" numFmtId="0" xfId="0" applyAlignment="1" applyFont="1">
      <alignment horizontal="center" readingOrder="0" shrinkToFit="0" vertical="top" wrapText="0"/>
    </xf>
    <xf borderId="0" fillId="4" fontId="1" numFmtId="164" xfId="0" applyAlignment="1" applyFont="1" applyNumberFormat="1">
      <alignment shrinkToFit="0" wrapText="0"/>
    </xf>
    <xf borderId="0" fillId="4" fontId="1" numFmtId="0" xfId="0" applyAlignment="1" applyFont="1">
      <alignment shrinkToFit="0" wrapText="0"/>
    </xf>
    <xf borderId="0" fillId="4" fontId="1" numFmtId="0" xfId="0" applyAlignment="1" applyFont="1">
      <alignment shrinkToFit="0" wrapText="0"/>
    </xf>
    <xf borderId="0" fillId="4" fontId="41" numFmtId="0" xfId="0" applyAlignment="1" applyFont="1">
      <alignment shrinkToFit="0" wrapText="0"/>
    </xf>
    <xf borderId="0" fillId="4" fontId="1" numFmtId="0" xfId="0" applyAlignment="1" applyFont="1">
      <alignment vertical="center"/>
    </xf>
    <xf borderId="0" fillId="4" fontId="1" numFmtId="164" xfId="0" applyAlignment="1" applyFont="1" applyNumberFormat="1">
      <alignment vertical="center"/>
    </xf>
    <xf borderId="0" fillId="4" fontId="1" numFmtId="0" xfId="0" applyAlignment="1" applyFont="1">
      <alignment vertical="center"/>
    </xf>
    <xf borderId="0" fillId="4" fontId="1" numFmtId="0" xfId="0" applyAlignment="1" applyFont="1">
      <alignment shrinkToFit="0" vertical="center" wrapText="0"/>
    </xf>
    <xf borderId="0" fillId="4" fontId="1" numFmtId="0" xfId="0" applyAlignment="1" applyFont="1">
      <alignment readingOrder="0" shrinkToFit="0" vertical="center" wrapText="0"/>
    </xf>
    <xf borderId="0" fillId="4" fontId="1" numFmtId="171" xfId="0" applyAlignment="1" applyFont="1" applyNumberFormat="1">
      <alignment readingOrder="0" vertical="center"/>
    </xf>
    <xf borderId="0" fillId="4" fontId="42" numFmtId="0" xfId="0" applyAlignment="1" applyFont="1">
      <alignment readingOrder="0" shrinkToFit="0" vertical="center" wrapText="0"/>
    </xf>
    <xf borderId="0" fillId="4" fontId="1" numFmtId="0" xfId="0" applyAlignment="1" applyFont="1">
      <alignment horizontal="center" readingOrder="0" vertical="center"/>
    </xf>
    <xf borderId="0" fillId="6" fontId="1" numFmtId="0" xfId="0" applyAlignment="1" applyFill="1" applyFont="1">
      <alignment readingOrder="0"/>
    </xf>
    <xf borderId="0" fillId="6" fontId="1" numFmtId="0" xfId="0" applyFont="1"/>
    <xf borderId="0" fillId="6" fontId="1" numFmtId="164" xfId="0" applyAlignment="1" applyFont="1" applyNumberFormat="1">
      <alignment shrinkToFit="0" wrapText="0"/>
    </xf>
    <xf borderId="0" fillId="6" fontId="1" numFmtId="0" xfId="0" applyAlignment="1" applyFont="1">
      <alignment shrinkToFit="0" wrapText="0"/>
    </xf>
    <xf borderId="0" fillId="6" fontId="1" numFmtId="0" xfId="0" applyAlignment="1" applyFont="1">
      <alignment shrinkToFit="0" wrapText="0"/>
    </xf>
    <xf borderId="0" fillId="6" fontId="43" numFmtId="0" xfId="0" applyAlignment="1" applyFont="1">
      <alignment readingOrder="0" shrinkToFit="0" wrapText="0"/>
    </xf>
    <xf borderId="0" fillId="6" fontId="1" numFmtId="0" xfId="0" applyAlignment="1" applyFont="1">
      <alignment shrinkToFit="0" wrapText="0"/>
    </xf>
    <xf borderId="0" fillId="6" fontId="1" numFmtId="0" xfId="0" applyAlignment="1" applyFont="1">
      <alignment readingOrder="0" shrinkToFit="0" vertical="top" wrapText="0"/>
    </xf>
    <xf borderId="0" fillId="6" fontId="1" numFmtId="171" xfId="0" applyAlignment="1" applyFont="1" applyNumberFormat="1">
      <alignment readingOrder="0" vertical="center"/>
    </xf>
    <xf borderId="0" fillId="6" fontId="1" numFmtId="0" xfId="0" applyAlignment="1" applyFont="1">
      <alignment readingOrder="0" vertical="center"/>
    </xf>
    <xf borderId="0" fillId="6" fontId="44" numFmtId="0" xfId="0" applyAlignment="1" applyFont="1">
      <alignment readingOrder="0" shrinkToFit="0" wrapText="0"/>
    </xf>
    <xf borderId="0" fillId="6" fontId="1" numFmtId="0" xfId="0" applyAlignment="1" applyFont="1">
      <alignment horizontal="center" readingOrder="0"/>
    </xf>
    <xf borderId="0" fillId="4" fontId="1" numFmtId="164" xfId="0" applyAlignment="1" applyFont="1" applyNumberFormat="1">
      <alignment shrinkToFit="0" vertical="top" wrapText="0"/>
    </xf>
    <xf borderId="0" fillId="4" fontId="1" numFmtId="0" xfId="0" applyAlignment="1" applyFont="1">
      <alignment shrinkToFit="0" vertical="top" wrapText="0"/>
    </xf>
    <xf borderId="0" fillId="4" fontId="45" numFmtId="0" xfId="0" applyAlignment="1" applyFont="1">
      <alignment readingOrder="0" shrinkToFit="0" vertical="top" wrapText="0"/>
    </xf>
    <xf borderId="0" fillId="4" fontId="1" numFmtId="164" xfId="0" applyFont="1" applyNumberFormat="1"/>
    <xf borderId="0" fillId="4" fontId="1" numFmtId="0" xfId="0" applyAlignment="1" applyFont="1">
      <alignment shrinkToFit="0" wrapText="0"/>
    </xf>
    <xf borderId="0" fillId="4" fontId="46" numFmtId="0" xfId="0" applyAlignment="1" applyFont="1">
      <alignment shrinkToFit="0" vertical="top" wrapText="0"/>
    </xf>
    <xf borderId="0" fillId="4" fontId="1" numFmtId="164" xfId="0" applyAlignment="1" applyFont="1" applyNumberFormat="1">
      <alignment shrinkToFit="0" vertical="center" wrapText="0"/>
    </xf>
    <xf borderId="0" fillId="4" fontId="1" numFmtId="0" xfId="0" applyAlignment="1" applyFont="1">
      <alignment shrinkToFit="0" vertical="center" wrapText="0"/>
    </xf>
    <xf borderId="0" fillId="4" fontId="47" numFmtId="0" xfId="0" applyAlignment="1" applyFont="1">
      <alignment readingOrder="0"/>
    </xf>
    <xf borderId="0" fillId="4" fontId="47" numFmtId="0" xfId="0" applyFont="1"/>
    <xf borderId="0" fillId="4" fontId="47" numFmtId="164" xfId="0" applyAlignment="1" applyFont="1" applyNumberFormat="1">
      <alignment shrinkToFit="0" vertical="center" wrapText="0"/>
    </xf>
    <xf borderId="0" fillId="4" fontId="47" numFmtId="0" xfId="0" applyAlignment="1" applyFont="1">
      <alignment shrinkToFit="0" vertical="center" wrapText="0"/>
    </xf>
    <xf borderId="0" fillId="4" fontId="47" numFmtId="0" xfId="0" applyAlignment="1" applyFont="1">
      <alignment shrinkToFit="0" vertical="center" wrapText="0"/>
    </xf>
    <xf borderId="0" fillId="4" fontId="47" numFmtId="0" xfId="0" applyAlignment="1" applyFont="1">
      <alignment readingOrder="0" shrinkToFit="0" vertical="top" wrapText="0"/>
    </xf>
    <xf borderId="0" fillId="4" fontId="47" numFmtId="171" xfId="0" applyAlignment="1" applyFont="1" applyNumberFormat="1">
      <alignment readingOrder="0" vertical="center"/>
    </xf>
    <xf borderId="0" fillId="4" fontId="47" numFmtId="0" xfId="0" applyAlignment="1" applyFont="1">
      <alignment readingOrder="0" vertical="center"/>
    </xf>
    <xf borderId="0" fillId="4" fontId="48" numFmtId="0" xfId="0" applyAlignment="1" applyFont="1">
      <alignment readingOrder="0" shrinkToFit="0" wrapText="0"/>
    </xf>
    <xf borderId="0" fillId="4" fontId="47" numFmtId="0" xfId="0" applyAlignment="1" applyFont="1">
      <alignment horizontal="center" readingOrder="0"/>
    </xf>
    <xf borderId="0" fillId="4" fontId="47" numFmtId="0" xfId="0" applyAlignment="1" applyFont="1">
      <alignment shrinkToFit="0" wrapText="0"/>
    </xf>
    <xf borderId="0" fillId="4" fontId="1" numFmtId="164" xfId="0" applyAlignment="1" applyFont="1" applyNumberFormat="1">
      <alignment shrinkToFit="0" wrapText="0"/>
    </xf>
    <xf borderId="0" fillId="4" fontId="49" numFmtId="0" xfId="0" applyAlignment="1" applyFont="1">
      <alignment readingOrder="0" shrinkToFit="0" vertical="center" wrapText="0"/>
    </xf>
    <xf borderId="0" fillId="4" fontId="1" numFmtId="164" xfId="0" applyAlignment="1" applyFont="1" applyNumberFormat="1">
      <alignment shrinkToFit="0" vertical="center" wrapText="0"/>
    </xf>
    <xf borderId="0" fillId="4" fontId="1" numFmtId="0" xfId="0" applyAlignment="1" applyFont="1">
      <alignment shrinkToFit="0" vertical="center" wrapText="0"/>
    </xf>
    <xf borderId="0" fillId="4" fontId="1" numFmtId="0" xfId="0" applyAlignment="1" applyFont="1">
      <alignment shrinkToFit="0" vertical="center" wrapText="0"/>
    </xf>
    <xf borderId="0" fillId="4" fontId="50" numFmtId="0" xfId="0" applyAlignment="1" applyFont="1">
      <alignment readingOrder="0" shrinkToFit="0" vertical="center" wrapText="0"/>
    </xf>
    <xf borderId="0" fillId="4" fontId="1" numFmtId="0" xfId="0" applyAlignment="1" applyFont="1">
      <alignment readingOrder="0" shrinkToFit="0" vertical="top" wrapText="1"/>
    </xf>
    <xf borderId="0" fillId="4" fontId="1" numFmtId="166" xfId="0" applyAlignment="1" applyFont="1" applyNumberFormat="1">
      <alignment readingOrder="0"/>
    </xf>
    <xf borderId="0" fillId="4" fontId="51" numFmtId="0" xfId="0" applyAlignment="1" applyFont="1">
      <alignment shrinkToFit="0" vertical="center" wrapText="0"/>
    </xf>
    <xf borderId="0" fillId="4" fontId="1" numFmtId="0" xfId="0" applyAlignment="1" applyFont="1">
      <alignment horizontal="center" readingOrder="0" shrinkToFit="0" vertical="center" wrapText="0"/>
    </xf>
    <xf borderId="0" fillId="4" fontId="8" numFmtId="0" xfId="0" applyAlignment="1" applyFont="1">
      <alignment horizontal="right" readingOrder="0"/>
    </xf>
    <xf borderId="0" fillId="4" fontId="52" numFmtId="0" xfId="0" applyAlignment="1" applyFont="1">
      <alignment shrinkToFit="0" vertical="center" wrapText="0"/>
    </xf>
    <xf borderId="0" fillId="4" fontId="1" numFmtId="0" xfId="0" applyAlignment="1" applyFont="1">
      <alignment horizontal="center" readingOrder="0" shrinkToFit="0" wrapText="0"/>
    </xf>
    <xf borderId="0" fillId="4" fontId="1" numFmtId="166" xfId="0" applyAlignment="1" applyFont="1" applyNumberFormat="1">
      <alignment readingOrder="0" shrinkToFit="0" vertical="center" wrapText="0"/>
    </xf>
    <xf borderId="0" fillId="4" fontId="53" numFmtId="0" xfId="0" applyAlignment="1" applyFont="1">
      <alignment readingOrder="0" vertical="center"/>
    </xf>
    <xf borderId="0" fillId="4" fontId="1" numFmtId="0" xfId="0" applyAlignment="1" applyFont="1">
      <alignment horizontal="center" readingOrder="0" shrinkToFit="0" wrapText="0"/>
    </xf>
    <xf borderId="0" fillId="4" fontId="1" numFmtId="166" xfId="0" applyAlignment="1" applyFont="1" applyNumberFormat="1">
      <alignment readingOrder="0" shrinkToFit="0" wrapText="0"/>
    </xf>
    <xf borderId="0" fillId="0" fontId="1" numFmtId="166" xfId="0" applyAlignment="1" applyFont="1" applyNumberFormat="1">
      <alignment readingOrder="0" shrinkToFit="0" vertical="center" wrapText="0"/>
    </xf>
    <xf borderId="0" fillId="0" fontId="1" numFmtId="0" xfId="0" applyFont="1"/>
    <xf borderId="0" fillId="4" fontId="4" numFmtId="164" xfId="0" applyAlignment="1" applyFont="1" applyNumberFormat="1">
      <alignment horizontal="right" shrinkToFit="0" vertical="bottom" wrapText="0"/>
    </xf>
    <xf borderId="0" fillId="4" fontId="4" numFmtId="0" xfId="0" applyAlignment="1" applyFont="1">
      <alignment horizontal="right" shrinkToFit="0" vertical="bottom" wrapText="0"/>
    </xf>
    <xf borderId="0" fillId="4" fontId="4" numFmtId="0" xfId="0" applyAlignment="1" applyFont="1">
      <alignment horizontal="center" readingOrder="0" shrinkToFit="0" vertical="bottom" wrapText="0"/>
    </xf>
    <xf borderId="0" fillId="4" fontId="1" numFmtId="0" xfId="0" applyAlignment="1" applyFont="1">
      <alignment readingOrder="0" shrinkToFit="0" wrapText="0"/>
    </xf>
    <xf borderId="0" fillId="4" fontId="1" numFmtId="0" xfId="0" applyAlignment="1" applyFont="1">
      <alignment horizontal="right" readingOrder="0" shrinkToFit="0" wrapText="0"/>
    </xf>
    <xf borderId="0" fillId="4" fontId="1" numFmtId="0" xfId="0" applyAlignment="1" applyFont="1">
      <alignment horizontal="left" shrinkToFit="0" wrapText="0"/>
    </xf>
    <xf borderId="0" fillId="4" fontId="1" numFmtId="164" xfId="0" applyAlignment="1" applyFont="1" applyNumberFormat="1">
      <alignment horizontal="left" shrinkToFit="0" wrapText="0"/>
    </xf>
    <xf borderId="0" fillId="4" fontId="1" numFmtId="0" xfId="0" applyAlignment="1" applyFont="1">
      <alignment horizontal="left" shrinkToFit="0" wrapText="0"/>
    </xf>
    <xf borderId="0" fillId="4" fontId="1" numFmtId="0" xfId="0" applyAlignment="1" applyFont="1">
      <alignment horizontal="left" shrinkToFit="0" wrapText="0"/>
    </xf>
    <xf borderId="0" fillId="4" fontId="1" numFmtId="0" xfId="0" applyAlignment="1" applyFont="1">
      <alignment horizontal="left" readingOrder="0" shrinkToFit="0" wrapText="0"/>
    </xf>
    <xf borderId="0" fillId="4" fontId="1" numFmtId="0" xfId="0" applyAlignment="1" applyFont="1">
      <alignment horizontal="left" readingOrder="0" shrinkToFit="0" vertical="center" wrapText="0"/>
    </xf>
    <xf borderId="0" fillId="4" fontId="1" numFmtId="166" xfId="0" applyAlignment="1" applyFont="1" applyNumberFormat="1">
      <alignment readingOrder="0" shrinkToFit="0" wrapText="0"/>
    </xf>
    <xf borderId="0" fillId="4" fontId="4" numFmtId="164" xfId="0" applyAlignment="1" applyFont="1" applyNumberFormat="1">
      <alignment horizontal="right" shrinkToFit="0" vertical="bottom" wrapText="0"/>
    </xf>
    <xf borderId="0" fillId="4" fontId="4" numFmtId="0" xfId="0" applyAlignment="1" applyFont="1">
      <alignment shrinkToFit="0" vertical="bottom" wrapText="0"/>
    </xf>
    <xf borderId="0" fillId="4" fontId="4" numFmtId="0" xfId="0" applyAlignment="1" applyFont="1">
      <alignment horizontal="right" shrinkToFit="0" vertical="bottom" wrapText="0"/>
    </xf>
    <xf borderId="0" fillId="4" fontId="4" numFmtId="0" xfId="0" applyAlignment="1" applyFont="1">
      <alignment readingOrder="0" shrinkToFit="0" vertical="bottom" wrapText="0"/>
    </xf>
    <xf borderId="0" fillId="4" fontId="4" numFmtId="0" xfId="0" applyAlignment="1" applyFont="1">
      <alignment readingOrder="0" shrinkToFit="0" vertical="center" wrapText="0"/>
    </xf>
    <xf borderId="0" fillId="4" fontId="4" numFmtId="0" xfId="0" applyAlignment="1" applyFont="1">
      <alignment horizontal="center" readingOrder="0" shrinkToFit="0" vertical="bottom" wrapText="0"/>
    </xf>
    <xf borderId="0" fillId="4" fontId="54" numFmtId="0" xfId="0" applyAlignment="1" applyFont="1">
      <alignment shrinkToFit="0" wrapText="0"/>
    </xf>
    <xf borderId="0" fillId="4" fontId="1" numFmtId="0" xfId="0" applyAlignment="1" applyFont="1">
      <alignment readingOrder="0" shrinkToFit="0" wrapText="0"/>
    </xf>
    <xf borderId="0" fillId="4" fontId="55" numFmtId="0" xfId="0" applyAlignment="1" applyFont="1">
      <alignment shrinkToFit="0" vertical="center" wrapText="0"/>
    </xf>
    <xf borderId="0" fillId="7" fontId="1" numFmtId="0" xfId="0" applyAlignment="1" applyFill="1" applyFont="1">
      <alignment readingOrder="0"/>
    </xf>
    <xf borderId="0" fillId="7" fontId="1" numFmtId="0" xfId="0" applyFont="1"/>
    <xf borderId="0" fillId="7" fontId="1" numFmtId="164" xfId="0" applyAlignment="1" applyFont="1" applyNumberFormat="1">
      <alignment shrinkToFit="0" wrapText="0"/>
    </xf>
    <xf borderId="0" fillId="7" fontId="1" numFmtId="0" xfId="0" applyAlignment="1" applyFont="1">
      <alignment shrinkToFit="0" wrapText="0"/>
    </xf>
    <xf borderId="0" fillId="7" fontId="1" numFmtId="0" xfId="0" applyAlignment="1" applyFont="1">
      <alignment readingOrder="0" shrinkToFit="0" wrapText="0"/>
    </xf>
    <xf borderId="0" fillId="7" fontId="1" numFmtId="0" xfId="0" applyAlignment="1" applyFont="1">
      <alignment readingOrder="0" shrinkToFit="0" wrapText="0"/>
    </xf>
    <xf borderId="0" fillId="7" fontId="1" numFmtId="0" xfId="0" applyAlignment="1" applyFont="1">
      <alignment shrinkToFit="0" wrapText="0"/>
    </xf>
    <xf borderId="0" fillId="7" fontId="1" numFmtId="0" xfId="0" applyAlignment="1" applyFont="1">
      <alignment readingOrder="0" shrinkToFit="0" wrapText="0"/>
    </xf>
    <xf borderId="0" fillId="7" fontId="56" numFmtId="166" xfId="0" applyAlignment="1" applyFont="1" applyNumberFormat="1">
      <alignment readingOrder="0" shrinkToFit="0" vertical="center" wrapText="0"/>
    </xf>
    <xf borderId="0" fillId="7" fontId="56" numFmtId="0" xfId="0" applyAlignment="1" applyFont="1">
      <alignment readingOrder="0" shrinkToFit="0" vertical="center" wrapText="0"/>
    </xf>
    <xf borderId="0" fillId="7" fontId="57" numFmtId="0" xfId="0" applyAlignment="1" applyFont="1">
      <alignment shrinkToFit="0" wrapText="0"/>
    </xf>
    <xf borderId="0" fillId="7" fontId="56" numFmtId="0" xfId="0" applyAlignment="1" applyFont="1">
      <alignment readingOrder="0" shrinkToFit="0" wrapText="0"/>
    </xf>
    <xf borderId="0" fillId="7" fontId="1" numFmtId="0" xfId="0" applyAlignment="1" applyFont="1">
      <alignment horizontal="center" readingOrder="0"/>
    </xf>
    <xf borderId="0" fillId="7" fontId="58" numFmtId="0" xfId="0" applyAlignment="1" applyFont="1">
      <alignment readingOrder="0" shrinkToFit="0" wrapText="0"/>
    </xf>
    <xf borderId="0" fillId="7" fontId="1" numFmtId="164" xfId="0" applyAlignment="1" applyFont="1" applyNumberFormat="1">
      <alignment shrinkToFit="0" wrapText="0"/>
    </xf>
    <xf borderId="0" fillId="7" fontId="1" numFmtId="0" xfId="0" applyAlignment="1" applyFont="1">
      <alignment horizontal="center" readingOrder="0" shrinkToFit="0" wrapText="0"/>
    </xf>
    <xf borderId="0" fillId="7" fontId="1" numFmtId="0" xfId="0" applyAlignment="1" applyFont="1">
      <alignment horizontal="center" readingOrder="0" shrinkToFit="0" wrapText="0"/>
    </xf>
    <xf borderId="0" fillId="4" fontId="56" numFmtId="166" xfId="0" applyAlignment="1" applyFont="1" applyNumberFormat="1">
      <alignment readingOrder="0" shrinkToFit="0" vertical="center" wrapText="0"/>
    </xf>
    <xf borderId="0" fillId="4" fontId="56" numFmtId="0" xfId="0" applyAlignment="1" applyFont="1">
      <alignment readingOrder="0" shrinkToFit="0" vertical="center" wrapText="0"/>
    </xf>
    <xf borderId="0" fillId="4" fontId="56" numFmtId="0" xfId="0" applyAlignment="1" applyFont="1">
      <alignment readingOrder="0" shrinkToFit="0" wrapText="0"/>
    </xf>
    <xf borderId="0" fillId="7" fontId="59" numFmtId="166" xfId="0" applyAlignment="1" applyFont="1" applyNumberFormat="1">
      <alignment horizontal="right" vertical="center"/>
    </xf>
    <xf borderId="0" fillId="7" fontId="59" numFmtId="0" xfId="0" applyAlignment="1" applyFont="1">
      <alignment vertical="center"/>
    </xf>
    <xf borderId="0" fillId="7" fontId="59" numFmtId="0" xfId="0" applyFont="1"/>
    <xf borderId="0" fillId="0" fontId="1" numFmtId="0" xfId="0" applyAlignment="1" applyFont="1">
      <alignment horizontal="center" readingOrder="0" shrinkToFit="0" wrapText="0"/>
    </xf>
    <xf borderId="0" fillId="2" fontId="1" numFmtId="0" xfId="0" applyAlignment="1" applyFont="1">
      <alignment horizontal="center" readingOrder="0" shrinkToFit="0" wrapText="0"/>
    </xf>
    <xf borderId="0" fillId="7" fontId="1" numFmtId="164" xfId="0" applyAlignment="1" applyFont="1" applyNumberFormat="1">
      <alignment shrinkToFit="0" vertical="center" wrapText="0"/>
    </xf>
    <xf borderId="0" fillId="7" fontId="1" numFmtId="0" xfId="0" applyAlignment="1" applyFont="1">
      <alignment shrinkToFit="0" vertical="center" wrapText="0"/>
    </xf>
    <xf borderId="0" fillId="7" fontId="1" numFmtId="0" xfId="0" applyAlignment="1" applyFont="1">
      <alignment readingOrder="0" shrinkToFit="0" vertical="center" wrapText="0"/>
    </xf>
    <xf borderId="0" fillId="7" fontId="60" numFmtId="0" xfId="0" applyAlignment="1" applyFont="1">
      <alignment shrinkToFit="0" vertical="center" wrapText="0"/>
    </xf>
    <xf borderId="0" fillId="7" fontId="1" numFmtId="0" xfId="0" applyAlignment="1" applyFont="1">
      <alignment readingOrder="0" shrinkToFit="0" vertical="center" wrapText="0"/>
    </xf>
    <xf borderId="0" fillId="4" fontId="59" numFmtId="166" xfId="0" applyAlignment="1" applyFont="1" applyNumberFormat="1">
      <alignment horizontal="right" vertical="center"/>
    </xf>
    <xf borderId="0" fillId="4" fontId="4" numFmtId="0" xfId="0" applyAlignment="1" applyFont="1">
      <alignment readingOrder="0" shrinkToFit="0" vertical="center" wrapText="0"/>
    </xf>
    <xf borderId="0" fillId="4" fontId="59" numFmtId="0" xfId="0" applyFont="1"/>
    <xf borderId="0" fillId="4" fontId="61" numFmtId="0" xfId="0" applyAlignment="1" applyFont="1">
      <alignment shrinkToFit="0" vertical="center" wrapText="0"/>
    </xf>
    <xf borderId="0" fillId="4" fontId="1" numFmtId="0" xfId="0" applyAlignment="1" applyFont="1">
      <alignment horizontal="center" readingOrder="0" shrinkToFit="0" vertical="center" wrapText="0"/>
    </xf>
    <xf borderId="0" fillId="4" fontId="4" numFmtId="166" xfId="0" applyAlignment="1" applyFont="1" applyNumberFormat="1">
      <alignment readingOrder="0" shrinkToFit="0" vertical="center" wrapText="0"/>
    </xf>
    <xf borderId="0" fillId="4" fontId="1" numFmtId="0" xfId="0" applyAlignment="1" applyFont="1">
      <alignment shrinkToFit="0" vertical="center" wrapText="1"/>
    </xf>
    <xf borderId="0" fillId="4" fontId="1" numFmtId="0" xfId="0" applyAlignment="1" applyFont="1">
      <alignment readingOrder="0" shrinkToFit="0" vertical="center" wrapText="1"/>
    </xf>
    <xf borderId="0" fillId="5" fontId="1" numFmtId="164" xfId="0" applyFont="1" applyNumberFormat="1"/>
    <xf borderId="0" fillId="5" fontId="1" numFmtId="0" xfId="0" applyFont="1"/>
    <xf borderId="0" fillId="5" fontId="1" numFmtId="0" xfId="0" applyAlignment="1" applyFont="1">
      <alignment readingOrder="0" shrinkToFit="0" vertical="top" wrapText="0"/>
    </xf>
    <xf borderId="0" fillId="5" fontId="1" numFmtId="166" xfId="0" applyAlignment="1" applyFont="1" applyNumberFormat="1">
      <alignment readingOrder="0" shrinkToFit="0" vertical="center" wrapText="0"/>
    </xf>
    <xf borderId="0" fillId="5" fontId="1" numFmtId="0" xfId="0" applyAlignment="1" applyFont="1">
      <alignment readingOrder="0" vertical="center"/>
    </xf>
    <xf borderId="0" fillId="2" fontId="62" numFmtId="0" xfId="0" applyAlignment="1" applyFont="1">
      <alignment readingOrder="0" shrinkToFit="0" wrapText="0"/>
    </xf>
    <xf borderId="0" fillId="5" fontId="1" numFmtId="0" xfId="0" applyAlignment="1" applyFont="1">
      <alignment horizontal="center" readingOrder="0"/>
    </xf>
    <xf borderId="0" fillId="4" fontId="1" numFmtId="0" xfId="0" applyFont="1"/>
    <xf borderId="0" fillId="4" fontId="63" numFmtId="0" xfId="0" applyAlignment="1" applyFont="1">
      <alignment readingOrder="0" shrinkToFit="0" wrapText="0"/>
    </xf>
    <xf borderId="0" fillId="4" fontId="1" numFmtId="0" xfId="0" applyAlignment="1" applyFont="1">
      <alignment horizontal="left"/>
    </xf>
    <xf borderId="0" fillId="4" fontId="63" numFmtId="0" xfId="0" applyAlignment="1" applyFont="1">
      <alignment readingOrder="0" vertical="center"/>
    </xf>
    <xf borderId="0" fillId="4" fontId="4" numFmtId="164" xfId="0" applyAlignment="1" applyFont="1" applyNumberFormat="1">
      <alignment horizontal="right" vertical="center"/>
    </xf>
    <xf borderId="0" fillId="4" fontId="4" numFmtId="0" xfId="0" applyAlignment="1" applyFont="1">
      <alignment horizontal="right" vertical="center"/>
    </xf>
    <xf borderId="0" fillId="4" fontId="64" numFmtId="0" xfId="0" applyAlignment="1" applyFont="1">
      <alignment shrinkToFit="0" vertical="center" wrapText="0"/>
    </xf>
    <xf borderId="0" fillId="4" fontId="4" numFmtId="0" xfId="0" applyAlignment="1" applyFont="1">
      <alignment vertical="center"/>
    </xf>
    <xf borderId="0" fillId="4" fontId="4" numFmtId="0" xfId="0" applyAlignment="1" applyFont="1">
      <alignment horizontal="center" readingOrder="0" vertical="center"/>
    </xf>
    <xf borderId="0" fillId="4" fontId="4" numFmtId="0" xfId="0" applyAlignment="1" applyFont="1">
      <alignment shrinkToFit="0" vertical="center" wrapText="0"/>
    </xf>
    <xf borderId="0" fillId="4" fontId="1" numFmtId="0" xfId="0" applyAlignment="1" applyFont="1">
      <alignment horizontal="right" readingOrder="0"/>
    </xf>
    <xf borderId="0" fillId="2" fontId="1" numFmtId="0" xfId="0" applyAlignment="1" applyFont="1">
      <alignment readingOrder="0" vertical="center"/>
    </xf>
    <xf borderId="0" fillId="4" fontId="4" numFmtId="0" xfId="0" applyAlignment="1" applyFont="1">
      <alignment horizontal="right" vertical="bottom"/>
    </xf>
    <xf borderId="0" fillId="4" fontId="4" numFmtId="0" xfId="0" applyAlignment="1" applyFont="1">
      <alignment readingOrder="0" vertical="top"/>
    </xf>
    <xf borderId="0" fillId="4" fontId="4" numFmtId="0" xfId="0" applyAlignment="1" applyFont="1">
      <alignment readingOrder="0"/>
    </xf>
    <xf borderId="0" fillId="0" fontId="1" numFmtId="164" xfId="0" applyFont="1" applyNumberFormat="1"/>
    <xf borderId="0" fillId="0" fontId="1" numFmtId="0" xfId="0" applyFont="1"/>
    <xf borderId="0" fillId="0" fontId="1" numFmtId="0" xfId="0" applyAlignment="1" applyFont="1">
      <alignment shrinkToFit="0" vertical="center" wrapText="0"/>
    </xf>
    <xf borderId="0" fillId="2" fontId="1" numFmtId="0" xfId="0" applyAlignment="1" applyFont="1">
      <alignment shrinkToFit="0" vertical="center" wrapText="0"/>
    </xf>
    <xf borderId="0" fillId="2" fontId="1" numFmtId="0" xfId="0" applyAlignment="1" applyFont="1">
      <alignment vertical="center"/>
    </xf>
    <xf borderId="0" fillId="0" fontId="1" numFmtId="0" xfId="0" applyAlignment="1" applyFont="1">
      <alignment vertical="center"/>
    </xf>
    <xf borderId="0" fillId="2" fontId="1" numFmtId="0" xfId="0" applyAlignment="1" applyFont="1">
      <alignment horizontal="center" vertical="center"/>
    </xf>
    <xf borderId="0" fillId="2" fontId="1" numFmtId="0" xfId="0" applyAlignment="1" applyFont="1">
      <alignment shrinkToFit="0" vertical="top" wrapText="0"/>
    </xf>
    <xf borderId="0" fillId="0" fontId="2" numFmtId="172" xfId="0" applyAlignment="1" applyFont="1" applyNumberFormat="1">
      <alignment vertical="bottom"/>
    </xf>
    <xf borderId="0" fillId="0" fontId="2" numFmtId="0" xfId="0" applyAlignment="1" applyFont="1">
      <alignment horizontal="center"/>
    </xf>
    <xf borderId="0" fillId="0" fontId="2" numFmtId="0" xfId="0" applyAlignment="1" applyFont="1">
      <alignment shrinkToFit="0" vertical="bottom" wrapText="0"/>
    </xf>
    <xf borderId="0" fillId="0" fontId="4" numFmtId="0" xfId="0" applyAlignment="1" applyFont="1">
      <alignment horizontal="center"/>
    </xf>
    <xf borderId="0" fillId="2" fontId="4" numFmtId="0" xfId="0" applyAlignment="1" applyFont="1">
      <alignment horizontal="right" vertical="bottom"/>
    </xf>
    <xf borderId="0" fillId="2" fontId="4" numFmtId="172" xfId="0" applyAlignment="1" applyFont="1" applyNumberFormat="1">
      <alignment horizontal="right" vertical="bottom"/>
    </xf>
    <xf quotePrefix="1" borderId="0" fillId="2" fontId="4" numFmtId="0" xfId="0" applyAlignment="1" applyFont="1">
      <alignment vertical="bottom"/>
    </xf>
    <xf borderId="0" fillId="2" fontId="65" numFmtId="0" xfId="0" applyAlignment="1" applyFont="1">
      <alignment vertical="bottom"/>
    </xf>
    <xf borderId="0" fillId="2" fontId="4" numFmtId="0" xfId="0" applyFont="1"/>
    <xf borderId="0" fillId="2" fontId="4" numFmtId="173" xfId="0" applyAlignment="1" applyFont="1" applyNumberFormat="1">
      <alignment horizontal="center"/>
    </xf>
    <xf borderId="0" fillId="0" fontId="4" numFmtId="172" xfId="0" applyAlignment="1" applyFont="1" applyNumberFormat="1">
      <alignment horizontal="right" vertical="bottom"/>
    </xf>
    <xf borderId="0" fillId="0" fontId="4" numFmtId="173" xfId="0" applyAlignment="1" applyFont="1" applyNumberFormat="1">
      <alignment vertical="bottom"/>
    </xf>
    <xf borderId="0" fillId="0" fontId="4" numFmtId="0" xfId="0" applyFont="1"/>
    <xf borderId="0" fillId="8" fontId="66" numFmtId="0" xfId="0" applyAlignment="1" applyFill="1" applyFont="1">
      <alignment vertical="bottom"/>
    </xf>
    <xf borderId="0" fillId="0" fontId="4" numFmtId="173" xfId="0" applyAlignment="1" applyFont="1" applyNumberFormat="1">
      <alignment horizontal="center"/>
    </xf>
    <xf borderId="0" fillId="0" fontId="2" numFmtId="0" xfId="0" applyAlignment="1" applyFont="1">
      <alignment horizontal="right" vertical="bottom"/>
    </xf>
    <xf borderId="0" fillId="0" fontId="4" numFmtId="164" xfId="0" applyAlignment="1" applyFont="1" applyNumberFormat="1">
      <alignment vertical="bottom"/>
    </xf>
    <xf borderId="0" fillId="0" fontId="4" numFmtId="14" xfId="0" applyAlignment="1" applyFont="1" applyNumberFormat="1">
      <alignment horizontal="right" vertical="bottom"/>
    </xf>
    <xf borderId="0" fillId="0" fontId="67" numFmtId="14" xfId="0" applyAlignment="1" applyFont="1" applyNumberFormat="1">
      <alignment vertical="bottom"/>
    </xf>
    <xf borderId="0" fillId="0" fontId="4" numFmtId="173" xfId="0" applyAlignment="1" applyFont="1" applyNumberFormat="1">
      <alignment horizontal="right" vertical="bottom"/>
    </xf>
    <xf borderId="0" fillId="0" fontId="68" numFmtId="0" xfId="0" applyAlignment="1" applyFont="1">
      <alignment vertical="bottom"/>
    </xf>
    <xf borderId="0" fillId="2" fontId="4" numFmtId="173" xfId="0" applyAlignment="1" applyFont="1" applyNumberFormat="1">
      <alignment horizontal="right" vertical="bottom"/>
    </xf>
    <xf borderId="0" fillId="2" fontId="69" numFmtId="0" xfId="0" applyAlignment="1" applyFont="1">
      <alignment vertical="bottom"/>
    </xf>
    <xf borderId="0" fillId="2" fontId="4" numFmtId="14" xfId="0" applyAlignment="1" applyFont="1" applyNumberFormat="1">
      <alignment horizontal="right" vertical="bottom"/>
    </xf>
    <xf borderId="0" fillId="0" fontId="4" numFmtId="166" xfId="0" applyAlignment="1" applyFont="1" applyNumberFormat="1">
      <alignment horizontal="right" vertical="bottom"/>
    </xf>
    <xf borderId="0" fillId="0" fontId="4" numFmtId="174" xfId="0" applyAlignment="1" applyFont="1" applyNumberFormat="1">
      <alignment horizontal="center"/>
    </xf>
    <xf borderId="0" fillId="0" fontId="4" numFmtId="175" xfId="0" applyAlignment="1" applyFont="1" applyNumberFormat="1">
      <alignment horizontal="center"/>
    </xf>
    <xf borderId="2" fillId="0" fontId="70" numFmtId="0" xfId="0" applyAlignment="1" applyBorder="1" applyFont="1">
      <alignment vertical="bottom"/>
    </xf>
    <xf borderId="0" fillId="0" fontId="4" numFmtId="0" xfId="0" applyAlignment="1" applyFont="1">
      <alignment horizontal="right" vertical="top"/>
    </xf>
    <xf borderId="0" fillId="0" fontId="4" numFmtId="172" xfId="0" applyAlignment="1" applyFont="1" applyNumberFormat="1">
      <alignment horizontal="right" vertical="top"/>
    </xf>
    <xf borderId="0" fillId="0" fontId="4" numFmtId="14" xfId="0" applyAlignment="1" applyFont="1" applyNumberFormat="1">
      <alignment horizontal="right" vertical="top"/>
    </xf>
    <xf borderId="0" fillId="0" fontId="71" numFmtId="0" xfId="0" applyAlignment="1" applyFont="1">
      <alignment vertical="top"/>
    </xf>
    <xf borderId="0" fillId="0" fontId="4" numFmtId="176" xfId="0" applyAlignment="1" applyFont="1" applyNumberFormat="1">
      <alignment horizontal="right" vertical="bottom"/>
    </xf>
    <xf borderId="0" fillId="0" fontId="4" numFmtId="177" xfId="0" applyAlignment="1" applyFont="1" applyNumberFormat="1">
      <alignment horizontal="right" vertical="bottom"/>
    </xf>
    <xf borderId="0" fillId="0" fontId="4" numFmtId="178" xfId="0" applyAlignment="1" applyFont="1" applyNumberFormat="1">
      <alignment horizontal="center"/>
    </xf>
    <xf borderId="1" fillId="0" fontId="72" numFmtId="0" xfId="0" applyAlignment="1" applyBorder="1" applyFont="1">
      <alignment vertical="bottom"/>
    </xf>
    <xf borderId="0" fillId="0" fontId="4" numFmtId="179" xfId="0" applyAlignment="1" applyFont="1" applyNumberFormat="1">
      <alignment horizontal="center"/>
    </xf>
    <xf borderId="0" fillId="9" fontId="4" numFmtId="172" xfId="0" applyAlignment="1" applyFill="1" applyFont="1" applyNumberFormat="1">
      <alignment horizontal="right" vertical="bottom"/>
    </xf>
    <xf borderId="0" fillId="9" fontId="4" numFmtId="0" xfId="0" applyAlignment="1" applyFont="1">
      <alignment vertical="bottom"/>
    </xf>
    <xf borderId="0" fillId="9" fontId="4" numFmtId="0" xfId="0" applyAlignment="1" applyFont="1">
      <alignment horizontal="right" vertical="bottom"/>
    </xf>
    <xf quotePrefix="1" borderId="0" fillId="9" fontId="4" numFmtId="0" xfId="0" applyAlignment="1" applyFont="1">
      <alignment vertical="bottom"/>
    </xf>
    <xf borderId="0" fillId="9" fontId="4" numFmtId="14" xfId="0" applyAlignment="1" applyFont="1" applyNumberFormat="1">
      <alignment horizontal="right" vertical="bottom"/>
    </xf>
    <xf borderId="0" fillId="9" fontId="73" numFmtId="0" xfId="0" applyAlignment="1" applyFont="1">
      <alignment vertical="bottom"/>
    </xf>
    <xf borderId="0" fillId="9" fontId="4" numFmtId="175" xfId="0" applyAlignment="1" applyFont="1" applyNumberFormat="1">
      <alignment horizontal="center"/>
    </xf>
    <xf borderId="1" fillId="9" fontId="74" numFmtId="0" xfId="0" applyAlignment="1" applyBorder="1" applyFont="1">
      <alignment vertical="bottom"/>
    </xf>
    <xf borderId="0" fillId="9" fontId="4" numFmtId="173" xfId="0" applyAlignment="1" applyFont="1" applyNumberFormat="1">
      <alignment horizontal="center"/>
    </xf>
    <xf borderId="1" fillId="0" fontId="75" numFmtId="0" xfId="0" applyAlignment="1" applyBorder="1" applyFont="1">
      <alignment vertical="top"/>
    </xf>
    <xf borderId="0" fillId="10" fontId="4" numFmtId="0" xfId="0" applyAlignment="1" applyFill="1" applyFont="1">
      <alignment horizontal="right" vertical="bottom"/>
    </xf>
    <xf borderId="0" fillId="10" fontId="4" numFmtId="172" xfId="0" applyAlignment="1" applyFont="1" applyNumberFormat="1">
      <alignment horizontal="right" vertical="bottom"/>
    </xf>
    <xf borderId="0" fillId="10" fontId="4" numFmtId="0" xfId="0" applyAlignment="1" applyFont="1">
      <alignment vertical="bottom"/>
    </xf>
    <xf quotePrefix="1" borderId="0" fillId="10" fontId="4" numFmtId="0" xfId="0" applyAlignment="1" applyFont="1">
      <alignment vertical="bottom"/>
    </xf>
    <xf borderId="0" fillId="10" fontId="4" numFmtId="14" xfId="0" applyAlignment="1" applyFont="1" applyNumberFormat="1">
      <alignment horizontal="right" vertical="bottom"/>
    </xf>
    <xf borderId="0" fillId="10" fontId="76" numFmtId="0" xfId="0" applyAlignment="1" applyFont="1">
      <alignment vertical="bottom"/>
    </xf>
    <xf borderId="0" fillId="10" fontId="4" numFmtId="173" xfId="0" applyAlignment="1" applyFont="1" applyNumberFormat="1">
      <alignment horizontal="center"/>
    </xf>
    <xf borderId="1" fillId="10" fontId="77" numFmtId="0" xfId="0" applyAlignment="1" applyBorder="1" applyFont="1">
      <alignment vertical="bottom"/>
    </xf>
    <xf borderId="0" fillId="10" fontId="4" numFmtId="170" xfId="0" applyAlignment="1" applyFont="1" applyNumberFormat="1">
      <alignment horizontal="right" vertical="bottom"/>
    </xf>
    <xf borderId="0" fillId="10" fontId="4" numFmtId="166" xfId="0" applyAlignment="1" applyFont="1" applyNumberFormat="1">
      <alignment horizontal="right" vertical="bottom"/>
    </xf>
    <xf borderId="0" fillId="10" fontId="4" numFmtId="164" xfId="0" applyAlignment="1" applyFont="1" applyNumberFormat="1">
      <alignment horizontal="right" vertical="bottom"/>
    </xf>
    <xf borderId="2" fillId="10" fontId="78" numFmtId="0" xfId="0" applyAlignment="1" applyBorder="1" applyFont="1">
      <alignment vertical="bottom"/>
    </xf>
    <xf borderId="0" fillId="10" fontId="4" numFmtId="0" xfId="0" applyAlignment="1" applyFont="1">
      <alignment horizontal="center"/>
    </xf>
    <xf borderId="0" fillId="11" fontId="4" numFmtId="0" xfId="0" applyAlignment="1" applyFill="1" applyFont="1">
      <alignment horizontal="right" vertical="bottom"/>
    </xf>
    <xf borderId="0" fillId="11" fontId="4" numFmtId="164" xfId="0" applyAlignment="1" applyFont="1" applyNumberFormat="1">
      <alignment horizontal="right" vertical="bottom"/>
    </xf>
    <xf borderId="0" fillId="11" fontId="4" numFmtId="0" xfId="0" applyAlignment="1" applyFont="1">
      <alignment vertical="bottom"/>
    </xf>
    <xf quotePrefix="1" borderId="0" fillId="11" fontId="4" numFmtId="0" xfId="0" applyAlignment="1" applyFont="1">
      <alignment vertical="bottom"/>
    </xf>
    <xf borderId="0" fillId="11" fontId="4" numFmtId="14" xfId="0" applyAlignment="1" applyFont="1" applyNumberFormat="1">
      <alignment horizontal="right" vertical="bottom"/>
    </xf>
    <xf borderId="0" fillId="11" fontId="79" numFmtId="0" xfId="0" applyAlignment="1" applyFont="1">
      <alignment vertical="bottom"/>
    </xf>
    <xf borderId="0" fillId="11" fontId="4" numFmtId="166" xfId="0" applyAlignment="1" applyFont="1" applyNumberFormat="1">
      <alignment horizontal="right" vertical="bottom"/>
    </xf>
    <xf borderId="0" fillId="11" fontId="4" numFmtId="0" xfId="0" applyAlignment="1" applyFont="1">
      <alignment horizontal="center"/>
    </xf>
    <xf borderId="1" fillId="11" fontId="80" numFmtId="0" xfId="0" applyAlignment="1" applyBorder="1" applyFont="1">
      <alignment vertical="bottom"/>
    </xf>
    <xf borderId="0" fillId="10" fontId="4" numFmtId="175" xfId="0" applyAlignment="1" applyFont="1" applyNumberFormat="1">
      <alignment horizontal="center"/>
    </xf>
    <xf borderId="0" fillId="10" fontId="4" numFmtId="0" xfId="0" applyFont="1"/>
    <xf borderId="0" fillId="10" fontId="4" numFmtId="165" xfId="0" applyAlignment="1" applyFont="1" applyNumberFormat="1">
      <alignment horizontal="right" vertical="bottom"/>
    </xf>
    <xf borderId="0" fillId="10" fontId="69" numFmtId="0" xfId="0" applyAlignment="1" applyFont="1">
      <alignment vertical="bottom"/>
    </xf>
    <xf borderId="0" fillId="10" fontId="4" numFmtId="171" xfId="0" applyAlignment="1" applyFont="1" applyNumberFormat="1">
      <alignment horizontal="right" vertical="bottom"/>
    </xf>
    <xf borderId="0" fillId="10" fontId="4" numFmtId="0" xfId="0" applyAlignment="1" applyFont="1">
      <alignment horizontal="right" vertical="top"/>
    </xf>
    <xf borderId="0" fillId="10" fontId="4" numFmtId="164" xfId="0" applyAlignment="1" applyFont="1" applyNumberFormat="1">
      <alignment horizontal="right" vertical="top"/>
    </xf>
    <xf borderId="0" fillId="10" fontId="4" numFmtId="0" xfId="0" applyAlignment="1" applyFont="1">
      <alignment vertical="top"/>
    </xf>
    <xf quotePrefix="1" borderId="0" fillId="10" fontId="4" numFmtId="0" xfId="0" applyAlignment="1" applyFont="1">
      <alignment vertical="top"/>
    </xf>
    <xf borderId="0" fillId="10" fontId="4" numFmtId="14" xfId="0" applyAlignment="1" applyFont="1" applyNumberFormat="1">
      <alignment horizontal="right" vertical="top"/>
    </xf>
    <xf borderId="0" fillId="10" fontId="81" numFmtId="0" xfId="0" applyAlignment="1" applyFont="1">
      <alignment vertical="top"/>
    </xf>
    <xf borderId="0" fillId="10" fontId="4" numFmtId="166" xfId="0" applyAlignment="1" applyFont="1" applyNumberFormat="1">
      <alignment horizontal="right" vertical="top"/>
    </xf>
    <xf borderId="0" fillId="10" fontId="4" numFmtId="0" xfId="0" applyAlignment="1" applyFont="1">
      <alignment horizontal="right"/>
    </xf>
    <xf borderId="0" fillId="10" fontId="4" numFmtId="180" xfId="0" applyAlignment="1" applyFont="1" applyNumberFormat="1">
      <alignment horizontal="right"/>
    </xf>
    <xf borderId="0" fillId="10" fontId="4" numFmtId="14" xfId="0" applyAlignment="1" applyFont="1" applyNumberFormat="1">
      <alignment horizontal="right"/>
    </xf>
    <xf borderId="0" fillId="10" fontId="82" numFmtId="0" xfId="0" applyFont="1"/>
    <xf borderId="0" fillId="10" fontId="4" numFmtId="171" xfId="0" applyAlignment="1" applyFont="1" applyNumberFormat="1">
      <alignment horizontal="right"/>
    </xf>
    <xf borderId="0" fillId="10" fontId="4" numFmtId="180" xfId="0" applyAlignment="1" applyFont="1" applyNumberFormat="1">
      <alignment horizontal="right" vertical="bottom"/>
    </xf>
    <xf borderId="0" fillId="10" fontId="4" numFmtId="0" xfId="0" applyAlignment="1" applyFont="1">
      <alignment shrinkToFit="0" vertical="top" wrapText="0"/>
    </xf>
    <xf borderId="0" fillId="10" fontId="4" numFmtId="0" xfId="0" applyAlignment="1" applyFont="1">
      <alignment horizontal="right" shrinkToFit="0" wrapText="0"/>
    </xf>
    <xf borderId="0" fillId="10" fontId="4" numFmtId="164" xfId="0" applyAlignment="1" applyFont="1" applyNumberFormat="1">
      <alignment horizontal="right" shrinkToFit="0" wrapText="0"/>
    </xf>
    <xf borderId="0" fillId="10" fontId="4" numFmtId="0" xfId="0" applyAlignment="1" applyFont="1">
      <alignment shrinkToFit="0" wrapText="0"/>
    </xf>
    <xf borderId="0" fillId="10" fontId="4" numFmtId="14" xfId="0" applyAlignment="1" applyFont="1" applyNumberFormat="1">
      <alignment horizontal="right" shrinkToFit="0" wrapText="0"/>
    </xf>
    <xf borderId="0" fillId="10" fontId="83" numFmtId="0" xfId="0" applyAlignment="1" applyFont="1">
      <alignment shrinkToFit="0" wrapText="0"/>
    </xf>
    <xf borderId="0" fillId="10" fontId="4" numFmtId="166" xfId="0" applyAlignment="1" applyFont="1" applyNumberFormat="1">
      <alignment horizontal="right" shrinkToFit="0" wrapText="0"/>
    </xf>
    <xf borderId="0" fillId="10" fontId="4" numFmtId="173" xfId="0" applyFont="1" applyNumberFormat="1"/>
    <xf borderId="0" fillId="10" fontId="4" numFmtId="0" xfId="0" applyAlignment="1" applyFont="1">
      <alignment horizontal="center" shrinkToFit="0" wrapText="0"/>
    </xf>
    <xf borderId="0" fillId="10" fontId="4" numFmtId="173" xfId="0" applyAlignment="1" applyFont="1" applyNumberFormat="1">
      <alignment vertical="bottom"/>
    </xf>
    <xf borderId="0" fillId="10" fontId="4" numFmtId="164" xfId="0" applyAlignment="1" applyFont="1" applyNumberFormat="1">
      <alignment horizontal="right"/>
    </xf>
    <xf borderId="0" fillId="10" fontId="84" numFmtId="0" xfId="0" applyAlignment="1" applyFont="1">
      <alignment vertical="bottom"/>
    </xf>
    <xf borderId="0" fillId="10" fontId="85" numFmtId="0" xfId="0" applyAlignment="1" applyFont="1">
      <alignment vertical="bottom"/>
    </xf>
    <xf borderId="0" fillId="10" fontId="4" numFmtId="176" xfId="0" applyAlignment="1" applyFont="1" applyNumberFormat="1">
      <alignment vertical="bottom"/>
    </xf>
    <xf borderId="0" fillId="10" fontId="4" numFmtId="164" xfId="0" applyFont="1" applyNumberFormat="1"/>
    <xf borderId="0" fillId="10" fontId="4" numFmtId="14" xfId="0" applyFont="1" applyNumberFormat="1"/>
    <xf borderId="0" fillId="10" fontId="4" numFmtId="166" xfId="0" applyFont="1" applyNumberFormat="1"/>
    <xf borderId="0" fillId="10" fontId="4" numFmtId="177" xfId="0" applyAlignment="1" applyFont="1" applyNumberFormat="1">
      <alignment vertical="bottom"/>
    </xf>
    <xf borderId="0" fillId="10" fontId="4" numFmtId="166" xfId="0" applyAlignment="1" applyFont="1" applyNumberFormat="1">
      <alignment horizontal="right"/>
    </xf>
    <xf borderId="0" fillId="10" fontId="4" numFmtId="177" xfId="0" applyAlignment="1" applyFont="1" applyNumberFormat="1">
      <alignment horizontal="right" vertical="bottom"/>
    </xf>
    <xf borderId="0" fillId="10" fontId="4" numFmtId="164" xfId="0" applyAlignment="1" applyFont="1" applyNumberFormat="1">
      <alignment horizontal="right" shrinkToFit="0" vertical="bottom" wrapText="0"/>
    </xf>
    <xf borderId="0" fillId="10" fontId="4" numFmtId="0" xfId="0" applyAlignment="1" applyFont="1">
      <alignment shrinkToFit="0" vertical="bottom" wrapText="0"/>
    </xf>
    <xf borderId="0" fillId="10" fontId="4" numFmtId="0" xfId="0" applyAlignment="1" applyFont="1">
      <alignment horizontal="right" shrinkToFit="0" vertical="bottom" wrapText="0"/>
    </xf>
    <xf borderId="0" fillId="10" fontId="4" numFmtId="14" xfId="0" applyAlignment="1" applyFont="1" applyNumberFormat="1">
      <alignment horizontal="right" shrinkToFit="0" vertical="bottom" wrapText="0"/>
    </xf>
    <xf borderId="0" fillId="10" fontId="86" numFmtId="0" xfId="0" applyAlignment="1" applyFont="1">
      <alignment shrinkToFit="0" vertical="bottom" wrapText="0"/>
    </xf>
    <xf borderId="0" fillId="10" fontId="4" numFmtId="166" xfId="0" applyAlignment="1" applyFont="1" applyNumberFormat="1">
      <alignment horizontal="right" shrinkToFit="0" vertical="bottom" wrapText="0"/>
    </xf>
    <xf borderId="0" fillId="10" fontId="4" numFmtId="176" xfId="0" applyAlignment="1" applyFont="1" applyNumberFormat="1">
      <alignment horizontal="right" vertical="bottom"/>
    </xf>
    <xf borderId="0" fillId="10" fontId="2" numFmtId="166" xfId="0" applyAlignment="1" applyFont="1" applyNumberFormat="1">
      <alignment horizontal="right" vertical="bottom"/>
    </xf>
    <xf borderId="0" fillId="10" fontId="2" numFmtId="0" xfId="0" applyAlignment="1" applyFont="1">
      <alignment vertical="bottom"/>
    </xf>
    <xf borderId="0" fillId="10" fontId="2" numFmtId="0" xfId="0" applyAlignment="1" applyFont="1">
      <alignment horizontal="center"/>
    </xf>
    <xf borderId="0" fillId="10" fontId="4" numFmtId="0" xfId="0" applyAlignment="1" applyFont="1">
      <alignment readingOrder="0"/>
    </xf>
    <xf borderId="0" fillId="10" fontId="4" numFmtId="164" xfId="0" applyAlignment="1" applyFont="1" applyNumberFormat="1">
      <alignment horizontal="right" readingOrder="0"/>
    </xf>
    <xf borderId="0" fillId="10" fontId="4" numFmtId="0" xfId="0" applyAlignment="1" applyFont="1">
      <alignment horizontal="right" readingOrder="0"/>
    </xf>
    <xf borderId="0" fillId="10" fontId="4" numFmtId="14" xfId="0" applyAlignment="1" applyFont="1" applyNumberFormat="1">
      <alignment horizontal="right" readingOrder="0"/>
    </xf>
    <xf borderId="0" fillId="10" fontId="4" numFmtId="176" xfId="0" applyAlignment="1" applyFont="1" applyNumberFormat="1">
      <alignment horizontal="right" readingOrder="0"/>
    </xf>
    <xf borderId="0" fillId="10" fontId="87" numFmtId="0" xfId="0" applyAlignment="1" applyFont="1">
      <alignment readingOrder="0"/>
    </xf>
    <xf borderId="0" fillId="10" fontId="4" numFmtId="166" xfId="0" applyAlignment="1" applyFont="1" applyNumberFormat="1">
      <alignment horizontal="right" readingOrder="0"/>
    </xf>
    <xf borderId="0" fillId="10" fontId="4" numFmtId="0" xfId="0" applyAlignment="1" applyFont="1">
      <alignment horizontal="center" readingOrder="0"/>
    </xf>
    <xf borderId="0" fillId="10" fontId="88" numFmtId="0" xfId="0" applyAlignment="1" applyFont="1">
      <alignment readingOrder="0" vertical="bottom"/>
    </xf>
    <xf borderId="0" fillId="0" fontId="4" numFmtId="0" xfId="0" applyAlignment="1" applyFont="1">
      <alignment horizontal="center" readingOrder="0"/>
    </xf>
    <xf borderId="0" fillId="10" fontId="4" numFmtId="0" xfId="0" applyAlignment="1" applyFont="1">
      <alignment readingOrder="0" shrinkToFit="0" wrapText="0"/>
    </xf>
    <xf borderId="0" fillId="10" fontId="4" numFmtId="0" xfId="0" applyAlignment="1" applyFont="1">
      <alignment readingOrder="0" vertical="bottom"/>
    </xf>
    <xf borderId="0" fillId="10" fontId="4" numFmtId="164" xfId="0" applyAlignment="1" applyFont="1" applyNumberFormat="1">
      <alignment horizontal="right" readingOrder="0" vertical="bottom"/>
    </xf>
    <xf borderId="0" fillId="10" fontId="4" numFmtId="0" xfId="0" applyAlignment="1" applyFont="1">
      <alignment horizontal="right" readingOrder="0" vertical="bottom"/>
    </xf>
    <xf borderId="0" fillId="10" fontId="4" numFmtId="14" xfId="0" applyAlignment="1" applyFont="1" applyNumberFormat="1">
      <alignment horizontal="right" readingOrder="0" vertical="bottom"/>
    </xf>
    <xf borderId="0" fillId="10" fontId="4" numFmtId="176" xfId="0" applyAlignment="1" applyFont="1" applyNumberFormat="1">
      <alignment horizontal="right" readingOrder="0" vertical="bottom"/>
    </xf>
    <xf borderId="0" fillId="10" fontId="4" numFmtId="166" xfId="0" applyAlignment="1" applyFont="1" applyNumberFormat="1">
      <alignment horizontal="right" readingOrder="0" vertical="bottom"/>
    </xf>
    <xf borderId="0" fillId="10" fontId="2" numFmtId="0" xfId="0" applyAlignment="1" applyFont="1">
      <alignment readingOrder="0" vertical="bottom"/>
    </xf>
    <xf borderId="0" fillId="10" fontId="4" numFmtId="164" xfId="0" applyAlignment="1" applyFont="1" applyNumberFormat="1">
      <alignment readingOrder="0"/>
    </xf>
    <xf borderId="0" fillId="10" fontId="4" numFmtId="14" xfId="0" applyAlignment="1" applyFont="1" applyNumberFormat="1">
      <alignment readingOrder="0"/>
    </xf>
    <xf borderId="0" fillId="10" fontId="4" numFmtId="176" xfId="0" applyAlignment="1" applyFont="1" applyNumberFormat="1">
      <alignment readingOrder="0"/>
    </xf>
    <xf borderId="0" fillId="10" fontId="2" numFmtId="0" xfId="0" applyAlignment="1" applyFont="1">
      <alignment readingOrder="0"/>
    </xf>
    <xf borderId="0" fillId="10" fontId="4" numFmtId="171" xfId="0" applyAlignment="1" applyFont="1" applyNumberFormat="1">
      <alignment horizontal="right" readingOrder="0" vertical="bottom"/>
    </xf>
    <xf borderId="0" fillId="10" fontId="84" numFmtId="0" xfId="0" applyAlignment="1" applyFont="1">
      <alignment readingOrder="0" vertical="bottom"/>
    </xf>
    <xf borderId="0" fillId="10" fontId="4" numFmtId="166" xfId="0" applyAlignment="1" applyFont="1" applyNumberFormat="1">
      <alignment readingOrder="0"/>
    </xf>
    <xf borderId="0" fillId="10" fontId="4" numFmtId="171" xfId="0" applyAlignment="1" applyFont="1" applyNumberFormat="1">
      <alignment horizontal="right" readingOrder="0"/>
    </xf>
    <xf borderId="0" fillId="10" fontId="89" numFmtId="0" xfId="0" applyAlignment="1" applyFont="1">
      <alignment readingOrder="0" vertical="bottom"/>
    </xf>
    <xf borderId="0" fillId="10" fontId="4" numFmtId="0" xfId="0" applyAlignment="1" applyFont="1">
      <alignment horizontal="center" readingOrder="0" vertical="bottom"/>
    </xf>
    <xf borderId="0" fillId="10" fontId="89" numFmtId="0" xfId="0" applyAlignment="1" applyFont="1">
      <alignment readingOrder="0"/>
    </xf>
    <xf borderId="0" fillId="10" fontId="90" numFmtId="0" xfId="0" applyAlignment="1" applyFont="1">
      <alignment readingOrder="0" vertical="bottom"/>
    </xf>
    <xf borderId="0" fillId="10" fontId="4" numFmtId="0" xfId="0" applyAlignment="1" applyFont="1">
      <alignment readingOrder="0" shrinkToFit="0" vertical="bottom" wrapText="0"/>
    </xf>
    <xf borderId="0" fillId="10" fontId="4" numFmtId="181" xfId="0" applyAlignment="1" applyFont="1" applyNumberFormat="1">
      <alignment readingOrder="0" shrinkToFit="0" vertical="bottom" wrapText="0"/>
    </xf>
    <xf borderId="0" fillId="10" fontId="4" numFmtId="20" xfId="0" applyAlignment="1" applyFont="1" applyNumberFormat="1">
      <alignment readingOrder="0" shrinkToFit="0" vertical="bottom" wrapText="0"/>
    </xf>
    <xf borderId="0" fillId="10" fontId="4" numFmtId="181" xfId="0" applyAlignment="1" applyFont="1" applyNumberFormat="1">
      <alignment readingOrder="0" shrinkToFit="0" wrapText="0"/>
    </xf>
    <xf borderId="0" fillId="10" fontId="4" numFmtId="20" xfId="0" applyAlignment="1" applyFont="1" applyNumberFormat="1">
      <alignment readingOrder="0" shrinkToFit="0" wrapText="0"/>
    </xf>
    <xf borderId="0" fillId="7" fontId="4" numFmtId="0" xfId="0" applyAlignment="1" applyFont="1">
      <alignment horizontal="right" readingOrder="0" vertical="bottom"/>
    </xf>
    <xf borderId="0" fillId="7" fontId="4" numFmtId="164" xfId="0" applyAlignment="1" applyFont="1" applyNumberFormat="1">
      <alignment horizontal="right" readingOrder="0" vertical="bottom"/>
    </xf>
    <xf borderId="0" fillId="7" fontId="4" numFmtId="0" xfId="0" applyAlignment="1" applyFont="1">
      <alignment readingOrder="0" vertical="bottom"/>
    </xf>
    <xf borderId="0" fillId="7" fontId="4" numFmtId="14" xfId="0" applyAlignment="1" applyFont="1" applyNumberFormat="1">
      <alignment horizontal="right" readingOrder="0" vertical="bottom"/>
    </xf>
    <xf borderId="0" fillId="7" fontId="4" numFmtId="176" xfId="0" applyAlignment="1" applyFont="1" applyNumberFormat="1">
      <alignment horizontal="right" readingOrder="0" vertical="bottom"/>
    </xf>
    <xf borderId="0" fillId="7" fontId="91" numFmtId="0" xfId="0" applyAlignment="1" applyFont="1">
      <alignment readingOrder="0" vertical="bottom"/>
    </xf>
    <xf borderId="0" fillId="7" fontId="4" numFmtId="0" xfId="0" applyAlignment="1" applyFont="1">
      <alignment vertical="bottom"/>
    </xf>
    <xf borderId="0" fillId="7" fontId="4" numFmtId="166" xfId="0" applyAlignment="1" applyFont="1" applyNumberFormat="1">
      <alignment horizontal="right" readingOrder="0"/>
    </xf>
    <xf borderId="0" fillId="7" fontId="4" numFmtId="0" xfId="0" applyAlignment="1" applyFont="1">
      <alignment horizontal="center" readingOrder="0"/>
    </xf>
    <xf borderId="0" fillId="7" fontId="4" numFmtId="0" xfId="0" applyAlignment="1" applyFont="1">
      <alignment horizontal="center" readingOrder="0" vertical="bottom"/>
    </xf>
    <xf borderId="0" fillId="7" fontId="4" numFmtId="181" xfId="0" applyAlignment="1" applyFont="1" applyNumberFormat="1">
      <alignment readingOrder="0" shrinkToFit="0" wrapText="0"/>
    </xf>
    <xf borderId="0" fillId="7" fontId="4" numFmtId="20" xfId="0" applyAlignment="1" applyFont="1" applyNumberFormat="1">
      <alignment readingOrder="0" shrinkToFit="0" wrapText="0"/>
    </xf>
    <xf borderId="0" fillId="7" fontId="4" numFmtId="0" xfId="0" applyAlignment="1" applyFont="1">
      <alignment readingOrder="0" shrinkToFit="0" wrapText="0"/>
    </xf>
    <xf borderId="0" fillId="7" fontId="4" numFmtId="0" xfId="0" applyAlignment="1" applyFont="1">
      <alignment readingOrder="0"/>
    </xf>
    <xf borderId="0" fillId="0" fontId="4" numFmtId="164" xfId="0" applyAlignment="1" applyFont="1" applyNumberFormat="1">
      <alignment horizontal="right" readingOrder="0" vertical="bottom"/>
    </xf>
    <xf borderId="0" fillId="0" fontId="4" numFmtId="14" xfId="0" applyAlignment="1" applyFont="1" applyNumberFormat="1">
      <alignment horizontal="right" readingOrder="0" vertical="bottom"/>
    </xf>
    <xf borderId="0" fillId="0" fontId="4" numFmtId="176" xfId="0" applyAlignment="1" applyFont="1" applyNumberFormat="1">
      <alignment horizontal="right" readingOrder="0" vertical="bottom"/>
    </xf>
    <xf borderId="0" fillId="0" fontId="92" numFmtId="0" xfId="0" applyAlignment="1" applyFont="1">
      <alignment readingOrder="0" vertical="bottom"/>
    </xf>
    <xf borderId="0" fillId="7" fontId="4" numFmtId="182" xfId="0" applyAlignment="1" applyFont="1" applyNumberFormat="1">
      <alignment readingOrder="0" shrinkToFit="0" wrapText="0"/>
    </xf>
    <xf borderId="0" fillId="7" fontId="4"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18</xdr:col>
      <xdr:colOff>257175</xdr:colOff>
      <xdr:row>625</xdr:row>
      <xdr:rowOff>161925</xdr:rowOff>
    </xdr:from>
    <xdr:ext cx="2257425" cy="942975"/>
    <xdr:sp>
      <xdr:nvSpPr>
        <xdr:cNvPr id="3" name="Shape 3"/>
        <xdr:cNvSpPr/>
      </xdr:nvSpPr>
      <xdr:spPr>
        <a:xfrm>
          <a:off x="3346050" y="2093250"/>
          <a:ext cx="2238900" cy="921300"/>
        </a:xfrm>
        <a:prstGeom prst="roundRect">
          <a:avLst>
            <a:gd fmla="val 16667" name="adj"/>
          </a:avLst>
        </a:prstGeom>
        <a:solidFill>
          <a:srgbClr val="CFE2F3"/>
        </a:solidFill>
        <a:ln>
          <a:noFill/>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2200"/>
            <a:t>Jadwalkan</a:t>
          </a:r>
          <a:endParaRPr b="1" sz="2200"/>
        </a:p>
      </xdr:txBody>
    </xdr:sp>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rive.google.com/open?id=1TxAb8XQVTlQyVTtL8gBQBqo3COTD4sSf" TargetMode="External"/><Relationship Id="rId190" Type="http://schemas.openxmlformats.org/officeDocument/2006/relationships/hyperlink" Target="https://drive.google.com/open?id=1BCWOA3cK6jxc9p1TgyA0zRySWF89fpWu" TargetMode="External"/><Relationship Id="rId42" Type="http://schemas.openxmlformats.org/officeDocument/2006/relationships/hyperlink" Target="https://drive.google.com/open?id=1ZkyIDoqs_T30mI_JfG9n6BmTKpT6ydZq" TargetMode="External"/><Relationship Id="rId41" Type="http://schemas.openxmlformats.org/officeDocument/2006/relationships/hyperlink" Target="https://drive.google.com/open?id=1m8SX50eT0pY7ukBWwyTixTPYNwZXmGa6" TargetMode="External"/><Relationship Id="rId44" Type="http://schemas.openxmlformats.org/officeDocument/2006/relationships/hyperlink" Target="https://drive.google.com/open?id=1odJ597PAch27NOQV3nwdgAmW-HWQbYlY" TargetMode="External"/><Relationship Id="rId194" Type="http://schemas.openxmlformats.org/officeDocument/2006/relationships/hyperlink" Target="https://drive.google.com/open?id=1Ww7hrCKqDsBTGNlyS4AQkQ1kNVIrbtAK" TargetMode="External"/><Relationship Id="rId43" Type="http://schemas.openxmlformats.org/officeDocument/2006/relationships/hyperlink" Target="https://drive.google.com/open?id=1b3VhMrD8_-sJvFDxL9tIxmK1oeRLh7qU" TargetMode="External"/><Relationship Id="rId193" Type="http://schemas.openxmlformats.org/officeDocument/2006/relationships/hyperlink" Target="https://drive.google.com/open?id=1VZUP5tW1QAZdK18ykS2MPRqHcmbmeDh9" TargetMode="External"/><Relationship Id="rId46" Type="http://schemas.openxmlformats.org/officeDocument/2006/relationships/hyperlink" Target="https://drive.google.com/open?id=1Pss6t7JRIhIDx7BQCCFm7l1-1JKBdcFJ" TargetMode="External"/><Relationship Id="rId192" Type="http://schemas.openxmlformats.org/officeDocument/2006/relationships/hyperlink" Target="https://drive.google.com/open?id=16z4fcWUmy4A4jAchwbmNqV0LDcd_InZy" TargetMode="External"/><Relationship Id="rId45" Type="http://schemas.openxmlformats.org/officeDocument/2006/relationships/hyperlink" Target="https://drive.google.com/open?id=1LGWvAHd2SHPMZaa0Wwg7FYPzRcXVIKfU" TargetMode="External"/><Relationship Id="rId191" Type="http://schemas.openxmlformats.org/officeDocument/2006/relationships/hyperlink" Target="https://drive.google.com/open?id=1pmEVKU35j9vkwTVOgH-Ld9IgQRIIlWP1" TargetMode="External"/><Relationship Id="rId48" Type="http://schemas.openxmlformats.org/officeDocument/2006/relationships/hyperlink" Target="https://drive.google.com/open?id=1gpYZNUx1IhTBEstRp-Z3k5cCi60v3w-m" TargetMode="External"/><Relationship Id="rId187" Type="http://schemas.openxmlformats.org/officeDocument/2006/relationships/hyperlink" Target="https://drive.google.com/open?id=1NzNf0aLwO2WHCaJCMm5FjcwDdn0b0Npi" TargetMode="External"/><Relationship Id="rId47" Type="http://schemas.openxmlformats.org/officeDocument/2006/relationships/hyperlink" Target="http://wa.me/+6285229425025" TargetMode="External"/><Relationship Id="rId186" Type="http://schemas.openxmlformats.org/officeDocument/2006/relationships/hyperlink" Target="https://drive.google.com/open?id=1o4r5jv1jFvar9YEnKHUV5_a-absnJ4p3" TargetMode="External"/><Relationship Id="rId185" Type="http://schemas.openxmlformats.org/officeDocument/2006/relationships/hyperlink" Target="https://drive.google.com/open?id=1agvdApYenxu3R3eubKA6C_QBiwOq8kYT" TargetMode="External"/><Relationship Id="rId49" Type="http://schemas.openxmlformats.org/officeDocument/2006/relationships/hyperlink" Target="https://drive.google.com/open?id=1ArR1xOGJyRQdes4VdnT8zWUTwzF1YuBl" TargetMode="External"/><Relationship Id="rId184" Type="http://schemas.openxmlformats.org/officeDocument/2006/relationships/hyperlink" Target="https://drive.google.com/open?id=1N3IRKhHpmtGxuLFvWhm7Hg7UqQBta4QF" TargetMode="External"/><Relationship Id="rId189" Type="http://schemas.openxmlformats.org/officeDocument/2006/relationships/hyperlink" Target="https://drive.google.com/open?id=1ym0emjJVym-C72x7JiXGlwGDsguhUk8h" TargetMode="External"/><Relationship Id="rId188" Type="http://schemas.openxmlformats.org/officeDocument/2006/relationships/hyperlink" Target="https://drive.google.com/open?id=1FyZakKRWn6CQl1J6NRDcuZNehm0slXkK" TargetMode="External"/><Relationship Id="rId31" Type="http://schemas.openxmlformats.org/officeDocument/2006/relationships/hyperlink" Target="https://drive.google.com/open?id=1LHeUyueecCrCRzWxANPTdsaTtKmqf_rq" TargetMode="External"/><Relationship Id="rId30" Type="http://schemas.openxmlformats.org/officeDocument/2006/relationships/hyperlink" Target="https://drive.google.com/open?id=1lFZnA3Vbmyg6SNOq0a5G5NeEnaR5wW8G" TargetMode="External"/><Relationship Id="rId33" Type="http://schemas.openxmlformats.org/officeDocument/2006/relationships/hyperlink" Target="https://drive.google.com/open?id=12yjzy9jdKDNGzJfrRU2jJzf7FhC5q3V3" TargetMode="External"/><Relationship Id="rId183" Type="http://schemas.openxmlformats.org/officeDocument/2006/relationships/hyperlink" Target="https://drive.google.com/open?id=10NrF5JpKoIS3J5UGZxTBcK9IeePJ4FIz" TargetMode="External"/><Relationship Id="rId32" Type="http://schemas.openxmlformats.org/officeDocument/2006/relationships/hyperlink" Target="https://drive.google.com/open?id=1Z0xRvv0Q-hO1oWGBvL1Aph-7t9kSD0N1" TargetMode="External"/><Relationship Id="rId182" Type="http://schemas.openxmlformats.org/officeDocument/2006/relationships/hyperlink" Target="https://drive.google.com/open?id=1j0vX2SD0tFWFp0y209TZP3TXJY6_PvES" TargetMode="External"/><Relationship Id="rId35" Type="http://schemas.openxmlformats.org/officeDocument/2006/relationships/hyperlink" Target="https://drive.google.com/open?id=1plMU4F8IVFX7OYV6NQM7xivmOBSFqqml" TargetMode="External"/><Relationship Id="rId181" Type="http://schemas.openxmlformats.org/officeDocument/2006/relationships/hyperlink" Target="https://drive.google.com/open?id=1g0YRAIPrkr3fFFBOEHygC9PHfvpmN9sM" TargetMode="External"/><Relationship Id="rId34" Type="http://schemas.openxmlformats.org/officeDocument/2006/relationships/hyperlink" Target="https://drive.google.com/open?id=1cmzWBdp7oaUbPxEs8W4onKMGHtx7rpXv" TargetMode="External"/><Relationship Id="rId180" Type="http://schemas.openxmlformats.org/officeDocument/2006/relationships/hyperlink" Target="https://drive.google.com/open?id=1iJCASnD4AALm7hPJ_ujcIkGipgVD0o3E" TargetMode="External"/><Relationship Id="rId37" Type="http://schemas.openxmlformats.org/officeDocument/2006/relationships/hyperlink" Target="https://drive.google.com/open?id=1UMz8GpP7opJVBcUnk1G8_bmAu8flOHby" TargetMode="External"/><Relationship Id="rId176" Type="http://schemas.openxmlformats.org/officeDocument/2006/relationships/hyperlink" Target="https://drive.google.com/open?id=1jgdKIXYWFCYjRtDIAM_n5LZinto-PzAT" TargetMode="External"/><Relationship Id="rId36" Type="http://schemas.openxmlformats.org/officeDocument/2006/relationships/hyperlink" Target="http://m.it/" TargetMode="External"/><Relationship Id="rId175" Type="http://schemas.openxmlformats.org/officeDocument/2006/relationships/hyperlink" Target="https://drive.google.com/open?id=1zwARxgstEPlHpuz1g97Bua-bXLE_vDWJ" TargetMode="External"/><Relationship Id="rId39" Type="http://schemas.openxmlformats.org/officeDocument/2006/relationships/hyperlink" Target="https://drive.google.com/open?id=1zXYAOv6r0zmH4AMj881qZYetYvsU3fDr" TargetMode="External"/><Relationship Id="rId174" Type="http://schemas.openxmlformats.org/officeDocument/2006/relationships/hyperlink" Target="https://drive.google.com/open?id=1Cen03S-pbO-1K-pPoUURfv2uDrUaNJt5" TargetMode="External"/><Relationship Id="rId38" Type="http://schemas.openxmlformats.org/officeDocument/2006/relationships/hyperlink" Target="https://drive.google.com/open?id=1ju0AGKH129mxHJ7vRFjeR_DTwoQEqyIn" TargetMode="External"/><Relationship Id="rId173" Type="http://schemas.openxmlformats.org/officeDocument/2006/relationships/hyperlink" Target="https://drive.google.com/open?id=1qpbg3E3UwmEcJt6u9e0-oemNoNSbA4D3" TargetMode="External"/><Relationship Id="rId179" Type="http://schemas.openxmlformats.org/officeDocument/2006/relationships/hyperlink" Target="https://drive.google.com/open?id=13VdEX5qvAGqL7kQAz15NDMAfzt6fe5P3" TargetMode="External"/><Relationship Id="rId178" Type="http://schemas.openxmlformats.org/officeDocument/2006/relationships/hyperlink" Target="https://drive.google.com/open?id=1Nxw6mCJyRecKyHceooWat0TsHH9PrGpq" TargetMode="External"/><Relationship Id="rId177" Type="http://schemas.openxmlformats.org/officeDocument/2006/relationships/hyperlink" Target="https://drive.google.com/open?id=1Ys8CeMgomVSWzUXsAipn_mBa9DkKIzLT" TargetMode="External"/><Relationship Id="rId20" Type="http://schemas.openxmlformats.org/officeDocument/2006/relationships/hyperlink" Target="https://drive.google.com/open?id=18VRgc-k2bSbmsQZy46V0vT-22x02mROa" TargetMode="External"/><Relationship Id="rId22" Type="http://schemas.openxmlformats.org/officeDocument/2006/relationships/hyperlink" Target="https://drive.google.com/open?id=1SF_E4sw0RMaVtOyYet53_GtIJAG4RUfq" TargetMode="External"/><Relationship Id="rId21" Type="http://schemas.openxmlformats.org/officeDocument/2006/relationships/hyperlink" Target="http://wa.me/0895339168728" TargetMode="External"/><Relationship Id="rId24" Type="http://schemas.openxmlformats.org/officeDocument/2006/relationships/hyperlink" Target="https://drive.google.com/open?id=1wgjBcxl9anRZTU2BlMzhMH0AUQGoY4J7" TargetMode="External"/><Relationship Id="rId23" Type="http://schemas.openxmlformats.org/officeDocument/2006/relationships/hyperlink" Target="http://wa.me/082248050154" TargetMode="External"/><Relationship Id="rId26" Type="http://schemas.openxmlformats.org/officeDocument/2006/relationships/hyperlink" Target="https://drive.google.com/open?id=1UC7Uz-O2NJyyHPUovAp0VxVFssqmJppL" TargetMode="External"/><Relationship Id="rId25" Type="http://schemas.openxmlformats.org/officeDocument/2006/relationships/hyperlink" Target="https://drive.google.com/open?id=1v0i0a2vKFV9Ly_tI6eXVqpu4Q_3BUKhk" TargetMode="External"/><Relationship Id="rId28" Type="http://schemas.openxmlformats.org/officeDocument/2006/relationships/hyperlink" Target="https://drive.google.com/open?id=1bnHdpIYNGaV5k5IAKBKwrnZyGk4drZPq" TargetMode="External"/><Relationship Id="rId27" Type="http://schemas.openxmlformats.org/officeDocument/2006/relationships/hyperlink" Target="https://drive.google.com/open?id=1IV1NsSoKchKjyymL5pYCaDYWIL28yDhz" TargetMode="External"/><Relationship Id="rId29" Type="http://schemas.openxmlformats.org/officeDocument/2006/relationships/hyperlink" Target="https://drive.google.com/open?id=1NDLQLHaQc7fIdXV9e3RES8mloi_S-y4p" TargetMode="External"/><Relationship Id="rId11" Type="http://schemas.openxmlformats.org/officeDocument/2006/relationships/hyperlink" Target="https://drive.google.com/open?id=1ceTJXJ6eYvbUPjxXuaL8si70fQgtT88N" TargetMode="External"/><Relationship Id="rId10" Type="http://schemas.openxmlformats.org/officeDocument/2006/relationships/hyperlink" Target="https://drive.google.com/open?id=14NQTJoxMuGxniuf9NGXecRNpTpKVcyLD" TargetMode="External"/><Relationship Id="rId13" Type="http://schemas.openxmlformats.org/officeDocument/2006/relationships/hyperlink" Target="http://wa.me/+6282175900230" TargetMode="External"/><Relationship Id="rId12" Type="http://schemas.openxmlformats.org/officeDocument/2006/relationships/hyperlink" Target="https://drive.google.com/open?id=1ZLpMDqJTcuSEtH_wsaiY9MQUVHZfWWVe" TargetMode="External"/><Relationship Id="rId15" Type="http://schemas.openxmlformats.org/officeDocument/2006/relationships/hyperlink" Target="https://drive.google.com/open?id=1BKJ6DPjIQsf5463BsfS_yp9k6Qy7KxxW" TargetMode="External"/><Relationship Id="rId198" Type="http://schemas.openxmlformats.org/officeDocument/2006/relationships/hyperlink" Target="https://drive.google.com/open?id=1qpUfIC4RkTMeBKVrf7V66YAS0uAOvzib" TargetMode="External"/><Relationship Id="rId14" Type="http://schemas.openxmlformats.org/officeDocument/2006/relationships/hyperlink" Target="https://drive.google.com/open?id=1brzVKLm5EQVgGliJ5IlcaB0dmd3IE5yQ" TargetMode="External"/><Relationship Id="rId197" Type="http://schemas.openxmlformats.org/officeDocument/2006/relationships/hyperlink" Target="https://drive.google.com/open?id=1DZJ8PIYIs1HH-JvU5XaJDBTP2g1sp7sy" TargetMode="External"/><Relationship Id="rId17" Type="http://schemas.openxmlformats.org/officeDocument/2006/relationships/hyperlink" Target="https://drive.google.com/open?id=1dJaprGMbGn6HFPwhvuW4SwlKFDL4H9CU" TargetMode="External"/><Relationship Id="rId196" Type="http://schemas.openxmlformats.org/officeDocument/2006/relationships/hyperlink" Target="https://drive.google.com/open?id=175q9uvmBehGSjNM59O5-NQDz-oJHJNLY" TargetMode="External"/><Relationship Id="rId16" Type="http://schemas.openxmlformats.org/officeDocument/2006/relationships/hyperlink" Target="https://drive.google.com/open?id=1ZWYGW2s_pgiv5LbjXUCKr5JopTq8wQfI" TargetMode="External"/><Relationship Id="rId195" Type="http://schemas.openxmlformats.org/officeDocument/2006/relationships/hyperlink" Target="https://drive.google.com/open?id=153c7ftljezTc7feJObw9-Fd86-qW1iR4" TargetMode="External"/><Relationship Id="rId19" Type="http://schemas.openxmlformats.org/officeDocument/2006/relationships/hyperlink" Target="https://drive.google.com/open?id=1uKKA0v6oF8HaZ6uwM5Zz_pP8jc19ss9e" TargetMode="External"/><Relationship Id="rId18" Type="http://schemas.openxmlformats.org/officeDocument/2006/relationships/hyperlink" Target="https://drive.google.com/open?id=1l1yOgbruam2-ZDLRve-Ft1H9LYKiISTQ" TargetMode="External"/><Relationship Id="rId199" Type="http://schemas.openxmlformats.org/officeDocument/2006/relationships/hyperlink" Target="https://drive.google.com/open?id=1TBXzyOnzge2lLZ1poB4lrWvW7jQDmcE6" TargetMode="External"/><Relationship Id="rId84" Type="http://schemas.openxmlformats.org/officeDocument/2006/relationships/hyperlink" Target="https://drive.google.com/open?id=13Q0tZ-7BPcpxnDcCG2KXR6L3J4Ijn69n" TargetMode="External"/><Relationship Id="rId83" Type="http://schemas.openxmlformats.org/officeDocument/2006/relationships/hyperlink" Target="https://drive.google.com/open?id=190ryPrietjptlMxG3wNVBOBisUolAGkM" TargetMode="External"/><Relationship Id="rId86" Type="http://schemas.openxmlformats.org/officeDocument/2006/relationships/hyperlink" Target="https://drive.google.com/open?id=1XLhEA8QujvA524c7xcIXO2Bpsk7sep4u" TargetMode="External"/><Relationship Id="rId85" Type="http://schemas.openxmlformats.org/officeDocument/2006/relationships/hyperlink" Target="https://drive.google.com/open?id=1OxJKXpHGxCF7ur0mLnbxelAmHk1RFcxX" TargetMode="External"/><Relationship Id="rId88" Type="http://schemas.openxmlformats.org/officeDocument/2006/relationships/hyperlink" Target="https://drive.google.com/open?id=12w2QFqqNBmBP0JizrC32tjFCT1e6kBJI" TargetMode="External"/><Relationship Id="rId150" Type="http://schemas.openxmlformats.org/officeDocument/2006/relationships/hyperlink" Target="https://drive.google.com/open?id=1j1Gfbvm7NpKmML39lHXv5gbbeYEBjCBX" TargetMode="External"/><Relationship Id="rId87" Type="http://schemas.openxmlformats.org/officeDocument/2006/relationships/hyperlink" Target="https://drive.google.com/open?id=1VGGER9M2K8_lDr4rMtm9ov-W9_hpm3FP" TargetMode="External"/><Relationship Id="rId89" Type="http://schemas.openxmlformats.org/officeDocument/2006/relationships/hyperlink" Target="https://drive.google.com/open?id=1lqHhTGowW5ly0Usdz0zliyQbKeVWzakS" TargetMode="External"/><Relationship Id="rId80" Type="http://schemas.openxmlformats.org/officeDocument/2006/relationships/hyperlink" Target="http://wa.me/+628974102936" TargetMode="External"/><Relationship Id="rId82" Type="http://schemas.openxmlformats.org/officeDocument/2006/relationships/hyperlink" Target="https://drive.google.com/open?id=1JwRqX1lPvFYi-jrGaWSEfuc4HJ01ZlHd" TargetMode="External"/><Relationship Id="rId81" Type="http://schemas.openxmlformats.org/officeDocument/2006/relationships/hyperlink" Target="https://drive.google.com/open?id=1VMR0t4I0VL7kpc2qWx30ouQijj5P9iXX" TargetMode="External"/><Relationship Id="rId1" Type="http://schemas.openxmlformats.org/officeDocument/2006/relationships/hyperlink" Target="https://drive.google.com/open?id=1aYAGFhey-6l3_S48HXItpIqo_phBenq8" TargetMode="External"/><Relationship Id="rId2" Type="http://schemas.openxmlformats.org/officeDocument/2006/relationships/hyperlink" Target="https://drive.google.com/open?id=1y7HGwy-gSyWOCRCea_-Fnf5xDPt_Xvtq" TargetMode="External"/><Relationship Id="rId3" Type="http://schemas.openxmlformats.org/officeDocument/2006/relationships/hyperlink" Target="https://drive.google.com/open?id=1aSMXUPrXrxRaOnbn9u7nvSMzAF74OjFN" TargetMode="External"/><Relationship Id="rId149" Type="http://schemas.openxmlformats.org/officeDocument/2006/relationships/hyperlink" Target="https://drive.google.com/open?id=1ESxzLa2o2HI9z2-5RKfsxFhdXRlt3FUL" TargetMode="External"/><Relationship Id="rId4" Type="http://schemas.openxmlformats.org/officeDocument/2006/relationships/hyperlink" Target="https://drive.google.com/open?id=1BXDRlUS-LuCTijLqs5fel3kVTEsaRI20" TargetMode="External"/><Relationship Id="rId148" Type="http://schemas.openxmlformats.org/officeDocument/2006/relationships/hyperlink" Target="https://drive.google.com/open?id=1thN7GYbRr12ZFjQq1_EgbE4UfQvRQIxF" TargetMode="External"/><Relationship Id="rId9" Type="http://schemas.openxmlformats.org/officeDocument/2006/relationships/hyperlink" Target="https://drive.google.com/open?id=1_Z6GfYqpqy4pnSyMFdiDP9K9qeftme6G" TargetMode="External"/><Relationship Id="rId143" Type="http://schemas.openxmlformats.org/officeDocument/2006/relationships/hyperlink" Target="https://drive.google.com/open?id=13MBjbFqER8nkBrNdtw982ldWrbt77WPh" TargetMode="External"/><Relationship Id="rId142" Type="http://schemas.openxmlformats.org/officeDocument/2006/relationships/hyperlink" Target="https://drive.google.com/open?id=1LrMWMhpvZnQRaSebtVZNVoFN-p0Kgdi4" TargetMode="External"/><Relationship Id="rId141" Type="http://schemas.openxmlformats.org/officeDocument/2006/relationships/hyperlink" Target="https://drive.google.com/open?id=1wNaICQfauI3UDGmsPyyvj41YcWYozdAM" TargetMode="External"/><Relationship Id="rId140" Type="http://schemas.openxmlformats.org/officeDocument/2006/relationships/hyperlink" Target="https://drive.google.com/open?id=1RLakwJJl0zcndO9nz4sIv5VhuVDMfH7h" TargetMode="External"/><Relationship Id="rId5" Type="http://schemas.openxmlformats.org/officeDocument/2006/relationships/hyperlink" Target="https://drive.google.com/open?id=1xCiY-K-_fpmHPCtg0Ha5n5vAkuYvjK7g" TargetMode="External"/><Relationship Id="rId147" Type="http://schemas.openxmlformats.org/officeDocument/2006/relationships/hyperlink" Target="https://drive.google.com/open?id=1AQh7NsOzKERwb4kHVPVBpyy7ry1WAvl4" TargetMode="External"/><Relationship Id="rId6" Type="http://schemas.openxmlformats.org/officeDocument/2006/relationships/hyperlink" Target="https://drive.google.com/open?id=1kZ8btBF7BKzr5WkXJYOyTcUTk30YRgBr" TargetMode="External"/><Relationship Id="rId146" Type="http://schemas.openxmlformats.org/officeDocument/2006/relationships/hyperlink" Target="https://drive.google.com/open?id=1pQ8sRVXzQmt82PL4oYr8t18o-m7o14iC" TargetMode="External"/><Relationship Id="rId7" Type="http://schemas.openxmlformats.org/officeDocument/2006/relationships/hyperlink" Target="https://drive.google.com/open?id=1RiLT-oKceJMj5m8EwfoYZjLyzi7I-SpB" TargetMode="External"/><Relationship Id="rId145" Type="http://schemas.openxmlformats.org/officeDocument/2006/relationships/hyperlink" Target="https://drive.google.com/open?id=175_zJjrujzm-rzvXwLKZ6b4wgA_Gie4X" TargetMode="External"/><Relationship Id="rId8" Type="http://schemas.openxmlformats.org/officeDocument/2006/relationships/hyperlink" Target="https://drive.google.com/open?id=1q6UNEEopU3RGGmrMnrlS_YPuXI-olxV8" TargetMode="External"/><Relationship Id="rId144" Type="http://schemas.openxmlformats.org/officeDocument/2006/relationships/hyperlink" Target="https://drive.google.com/open?id=19zj4LtDrPYOMSbAQWx0VBuH2YOCprkrI" TargetMode="External"/><Relationship Id="rId73" Type="http://schemas.openxmlformats.org/officeDocument/2006/relationships/hyperlink" Target="http://m.it/" TargetMode="External"/><Relationship Id="rId72" Type="http://schemas.openxmlformats.org/officeDocument/2006/relationships/hyperlink" Target="https://drive.google.com/open?id=1tXDezEl0pKYIVt6t-TEKdJeFN_cPhjrK" TargetMode="External"/><Relationship Id="rId75" Type="http://schemas.openxmlformats.org/officeDocument/2006/relationships/hyperlink" Target="https://drive.google.com/open?id=1Vl36SzUXX-m4VS6_daf8hU1dhHqIhoms" TargetMode="External"/><Relationship Id="rId74" Type="http://schemas.openxmlformats.org/officeDocument/2006/relationships/hyperlink" Target="https://drive.google.com/open?id=1eQ735L_tytQ1VkH1W_1O7bm0jzwlx9US" TargetMode="External"/><Relationship Id="rId77" Type="http://schemas.openxmlformats.org/officeDocument/2006/relationships/hyperlink" Target="https://drive.google.com/open?id=1BpKpFP2OWYShjHpajuH2iA8WbQGHyKJM" TargetMode="External"/><Relationship Id="rId76" Type="http://schemas.openxmlformats.org/officeDocument/2006/relationships/hyperlink" Target="https://drive.google.com/open?id=1ACpyhzP_wROsOxcNPAlNHYyT0omCKcKo" TargetMode="External"/><Relationship Id="rId79" Type="http://schemas.openxmlformats.org/officeDocument/2006/relationships/hyperlink" Target="https://drive.google.com/open?id=1jpy2QMg2Az85gwuprRaQlzxu0KTLfU2o" TargetMode="External"/><Relationship Id="rId78" Type="http://schemas.openxmlformats.org/officeDocument/2006/relationships/hyperlink" Target="http://wa.me/+6285600387715" TargetMode="External"/><Relationship Id="rId71" Type="http://schemas.openxmlformats.org/officeDocument/2006/relationships/hyperlink" Target="https://drive.google.com/open?id=1UhWKqo2npTWUqjxUeTFhcZhaXeclchZV" TargetMode="External"/><Relationship Id="rId70" Type="http://schemas.openxmlformats.org/officeDocument/2006/relationships/hyperlink" Target="http://wa.me/+6282348162448" TargetMode="External"/><Relationship Id="rId139" Type="http://schemas.openxmlformats.org/officeDocument/2006/relationships/hyperlink" Target="https://drive.google.com/open?id=1rFgj3H_I7hs4cdvVpLvPFTIYep_ciz_v" TargetMode="External"/><Relationship Id="rId138" Type="http://schemas.openxmlformats.org/officeDocument/2006/relationships/hyperlink" Target="https://drive.google.com/open?id=1n3HBrGA7OMzM2zHMrMldCuWvtpaT-i3I" TargetMode="External"/><Relationship Id="rId137" Type="http://schemas.openxmlformats.org/officeDocument/2006/relationships/hyperlink" Target="https://drive.google.com/open?id=1tDTCejF37dyig57azudLfZVYHLvn49Gh" TargetMode="External"/><Relationship Id="rId132" Type="http://schemas.openxmlformats.org/officeDocument/2006/relationships/hyperlink" Target="https://drive.google.com/open?id=1Vp6XXjR8q2WeF8x3izbGGvzGf4o8z2Hk" TargetMode="External"/><Relationship Id="rId131" Type="http://schemas.openxmlformats.org/officeDocument/2006/relationships/hyperlink" Target="https://drive.google.com/open?id=1MSOlUiHH-5gvL6LQvcDNmuFqYKAv1H2C" TargetMode="External"/><Relationship Id="rId130" Type="http://schemas.openxmlformats.org/officeDocument/2006/relationships/hyperlink" Target="https://drive.google.com/open?id=1vWNyU01EJk9GnAwla1cF2C0SvR4duexE" TargetMode="External"/><Relationship Id="rId136" Type="http://schemas.openxmlformats.org/officeDocument/2006/relationships/hyperlink" Target="https://drive.google.com/open?id=1mYrk1dcEy_TIFpBbDhZjtxcfDHe8nozX" TargetMode="External"/><Relationship Id="rId135" Type="http://schemas.openxmlformats.org/officeDocument/2006/relationships/hyperlink" Target="https://drive.google.com/open?id=19phHrcx2_S_S5KIeO6Ca3Z4YsW8mLpNw" TargetMode="External"/><Relationship Id="rId134" Type="http://schemas.openxmlformats.org/officeDocument/2006/relationships/hyperlink" Target="https://drive.google.com/open?id=1BipJs5T00kDYEHXHanZjNheHSISDwt3R" TargetMode="External"/><Relationship Id="rId133" Type="http://schemas.openxmlformats.org/officeDocument/2006/relationships/hyperlink" Target="https://drive.google.com/open?id=10HatvQSgc2FXylF_ddziDqfUQ_Q4SiHN" TargetMode="External"/><Relationship Id="rId62" Type="http://schemas.openxmlformats.org/officeDocument/2006/relationships/hyperlink" Target="https://drive.google.com/open?id=1EWC_UbOGR2HzTv31xIJXbe8MCrIWBzvm" TargetMode="External"/><Relationship Id="rId61" Type="http://schemas.openxmlformats.org/officeDocument/2006/relationships/hyperlink" Target="https://drive.google.com/open?id=1_dShfJqVaBphkk9sJCeCdjNtOTyv-BvH" TargetMode="External"/><Relationship Id="rId64" Type="http://schemas.openxmlformats.org/officeDocument/2006/relationships/hyperlink" Target="https://drive.google.com/open?id=1X6xvn5_9RAquhNeS5LQi3NOVos278o0V" TargetMode="External"/><Relationship Id="rId63" Type="http://schemas.openxmlformats.org/officeDocument/2006/relationships/hyperlink" Target="https://drive.google.com/open?id=18EXeEpmniY3hQtWaRaCTavHR2znrqTLO" TargetMode="External"/><Relationship Id="rId66" Type="http://schemas.openxmlformats.org/officeDocument/2006/relationships/hyperlink" Target="https://drive.google.com/open?id=1NRiMdK5wsRboKDWMXpI6k9eQpfuKYz9c" TargetMode="External"/><Relationship Id="rId172" Type="http://schemas.openxmlformats.org/officeDocument/2006/relationships/hyperlink" Target="https://drive.google.com/open?id=11lZPYuYqJxqrkPTVIWLzpkt9wbfLWZhx" TargetMode="External"/><Relationship Id="rId65" Type="http://schemas.openxmlformats.org/officeDocument/2006/relationships/hyperlink" Target="http://wa.me/+6288224150249" TargetMode="External"/><Relationship Id="rId171" Type="http://schemas.openxmlformats.org/officeDocument/2006/relationships/hyperlink" Target="https://drive.google.com/open?id=1C0mUz-N1UAiZwuXPZLC9KCfepcwVhTgF" TargetMode="External"/><Relationship Id="rId68" Type="http://schemas.openxmlformats.org/officeDocument/2006/relationships/hyperlink" Target="http://wa.me/+62895330120400" TargetMode="External"/><Relationship Id="rId170" Type="http://schemas.openxmlformats.org/officeDocument/2006/relationships/hyperlink" Target="https://drive.google.com/open?id=12QWj0jejdb11Zt7iydWSh2VlvZGFk9BM" TargetMode="External"/><Relationship Id="rId67" Type="http://schemas.openxmlformats.org/officeDocument/2006/relationships/hyperlink" Target="https://drive.google.com/open?id=1vn1pBPvirenijfAtzS2NiUKR3nk1dGU6" TargetMode="External"/><Relationship Id="rId60" Type="http://schemas.openxmlformats.org/officeDocument/2006/relationships/hyperlink" Target="https://drive.google.com/open?id=1Zrr1q5WjrsE4evnA0ksOK1pV_QohkpS7" TargetMode="External"/><Relationship Id="rId165" Type="http://schemas.openxmlformats.org/officeDocument/2006/relationships/hyperlink" Target="https://drive.google.com/open?id=1zFl7Sue6hZBmvk1SYJOBpkRUGmYJYFpz" TargetMode="External"/><Relationship Id="rId69" Type="http://schemas.openxmlformats.org/officeDocument/2006/relationships/hyperlink" Target="https://drive.google.com/open?id=16a9pM3qasrHFWjd_wNth5BrwMz_xzGzS" TargetMode="External"/><Relationship Id="rId164" Type="http://schemas.openxmlformats.org/officeDocument/2006/relationships/hyperlink" Target="https://drive.google.com/open?id=1HQVru9mJrmPV1cOv8QdKZIcSOLltGzl9" TargetMode="External"/><Relationship Id="rId163" Type="http://schemas.openxmlformats.org/officeDocument/2006/relationships/hyperlink" Target="https://drive.google.com/open?id=1XLeWdJENP_MT4BN9EuaHEbnZ4jhf6WdT" TargetMode="External"/><Relationship Id="rId162" Type="http://schemas.openxmlformats.org/officeDocument/2006/relationships/hyperlink" Target="https://drive.google.com/open?id=15Y7SWg6pcqu-o68IE90DKPrBGhGejbHY" TargetMode="External"/><Relationship Id="rId169" Type="http://schemas.openxmlformats.org/officeDocument/2006/relationships/hyperlink" Target="https://drive.google.com/open?id=1hEF8rqPFLv6KdeUJiP4upPe2qWTCw8w-" TargetMode="External"/><Relationship Id="rId168" Type="http://schemas.openxmlformats.org/officeDocument/2006/relationships/hyperlink" Target="https://drive.google.com/open?id=1FKKML1PhL58bJls_U-sILsQGXVt8nOF0" TargetMode="External"/><Relationship Id="rId167" Type="http://schemas.openxmlformats.org/officeDocument/2006/relationships/hyperlink" Target="https://drive.google.com/open?id=1tdxOCEjoowxkP305UBnF_E1RUYciP6_R" TargetMode="External"/><Relationship Id="rId166" Type="http://schemas.openxmlformats.org/officeDocument/2006/relationships/hyperlink" Target="https://drive.google.com/open?id=1wArFbAkWODiV_B_MuHj_zFbQonfaCkpa" TargetMode="External"/><Relationship Id="rId51" Type="http://schemas.openxmlformats.org/officeDocument/2006/relationships/hyperlink" Target="http://wa.me/+6285351985500" TargetMode="External"/><Relationship Id="rId50" Type="http://schemas.openxmlformats.org/officeDocument/2006/relationships/hyperlink" Target="https://drive.google.com/open?id=1J9l1fzuZgRD7nAXx-jgQpXuns7jpCvyP" TargetMode="External"/><Relationship Id="rId53" Type="http://schemas.openxmlformats.org/officeDocument/2006/relationships/hyperlink" Target="https://drive.google.com/open?id=1Vj1H9zyl7ZXs9UXXupVO4eU6Uzsy6ePm" TargetMode="External"/><Relationship Id="rId52" Type="http://schemas.openxmlformats.org/officeDocument/2006/relationships/hyperlink" Target="https://drive.google.com/open?id=1oSuplVHgcVg7P0HadVLPdFTaF-YOFg0c" TargetMode="External"/><Relationship Id="rId55" Type="http://schemas.openxmlformats.org/officeDocument/2006/relationships/hyperlink" Target="https://drive.google.com/open?id=1WflQlrKn6gb08ryQZIjxs4V5GiGODqiM" TargetMode="External"/><Relationship Id="rId161" Type="http://schemas.openxmlformats.org/officeDocument/2006/relationships/hyperlink" Target="https://drive.google.com/open?id=1O960betA8k1HMdjOr7tM9ooIAp0FDImP" TargetMode="External"/><Relationship Id="rId54" Type="http://schemas.openxmlformats.org/officeDocument/2006/relationships/hyperlink" Target="http://wa.me/+6282122536137" TargetMode="External"/><Relationship Id="rId160" Type="http://schemas.openxmlformats.org/officeDocument/2006/relationships/hyperlink" Target="https://drive.google.com/open?id=1W6tTPE3gUGrV_iEPvYAFcNT9MPAI2st3" TargetMode="External"/><Relationship Id="rId57" Type="http://schemas.openxmlformats.org/officeDocument/2006/relationships/hyperlink" Target="https://drive.google.com/open?id=1G7BJ28qxq9YoCJMOjOZif7EoJgrFrzfQ" TargetMode="External"/><Relationship Id="rId56" Type="http://schemas.openxmlformats.org/officeDocument/2006/relationships/hyperlink" Target="https://drive.google.com/open?id=13xF_I5OXEFWdEfARi0RaOhJ2ougziw6y" TargetMode="External"/><Relationship Id="rId159" Type="http://schemas.openxmlformats.org/officeDocument/2006/relationships/hyperlink" Target="https://drive.google.com/open?id=1UJhYkRbCroSOaAhJgm5XDaXfd0QCNXwL" TargetMode="External"/><Relationship Id="rId59" Type="http://schemas.openxmlformats.org/officeDocument/2006/relationships/hyperlink" Target="https://drive.google.com/open?id=1OUiaBwGsvQIcH9-R7P2BBAc89w3oiqff" TargetMode="External"/><Relationship Id="rId154" Type="http://schemas.openxmlformats.org/officeDocument/2006/relationships/hyperlink" Target="https://drive.google.com/open?id=1n6V8T2JgPq5BoC75h8BbfvgxvBnfjZoQ" TargetMode="External"/><Relationship Id="rId58" Type="http://schemas.openxmlformats.org/officeDocument/2006/relationships/hyperlink" Target="https://drive.google.com/open?id=1eC3XCigltMYJuwPz5nkYtnuq_Z6hvU-8" TargetMode="External"/><Relationship Id="rId153" Type="http://schemas.openxmlformats.org/officeDocument/2006/relationships/hyperlink" Target="https://drive.google.com/open?id=1Rhe04_87B9lFTOoZkdj30WmLfDbcOxum" TargetMode="External"/><Relationship Id="rId152" Type="http://schemas.openxmlformats.org/officeDocument/2006/relationships/hyperlink" Target="https://drive.google.com/open?id=1P9xUBX3yekq5vlgjg2MzDuozIgEg95gy" TargetMode="External"/><Relationship Id="rId151" Type="http://schemas.openxmlformats.org/officeDocument/2006/relationships/hyperlink" Target="https://drive.google.com/open?id=10N7BpQQYvxCBF_Tv--IHEiKDfO7sXq9J" TargetMode="External"/><Relationship Id="rId158" Type="http://schemas.openxmlformats.org/officeDocument/2006/relationships/hyperlink" Target="https://drive.google.com/open?id=1GfLHf6KjHF5rkVYMSOb7v36SE1yXE7VD" TargetMode="External"/><Relationship Id="rId157" Type="http://schemas.openxmlformats.org/officeDocument/2006/relationships/hyperlink" Target="https://drive.google.com/open?id=1bay9YJXEVIsZjClEcf2j8ey9liGPTHJ4" TargetMode="External"/><Relationship Id="rId156" Type="http://schemas.openxmlformats.org/officeDocument/2006/relationships/hyperlink" Target="https://drive.google.com/open?id=1KCxlCIfSB1wTygF8xMIAVOyCIRVKLkve" TargetMode="External"/><Relationship Id="rId155" Type="http://schemas.openxmlformats.org/officeDocument/2006/relationships/hyperlink" Target="https://drive.google.com/open?id=1uW8IZ24R8XG657krV-eWzGR4aDzDJvRL" TargetMode="External"/><Relationship Id="rId107" Type="http://schemas.openxmlformats.org/officeDocument/2006/relationships/hyperlink" Target="https://drive.google.com/open?id=1KfsjWeuEiVTccREB7a1pjk8-Xebr-8KQ" TargetMode="External"/><Relationship Id="rId106" Type="http://schemas.openxmlformats.org/officeDocument/2006/relationships/hyperlink" Target="https://drive.google.com/open?id=1VVh3bWqkou_v2isn2-wnp0M60xIeJsEg" TargetMode="External"/><Relationship Id="rId105" Type="http://schemas.openxmlformats.org/officeDocument/2006/relationships/hyperlink" Target="https://drive.google.com/open?id=12iGYO-NGQ-cjUw9zzrTXj1kyItH4Vu2N" TargetMode="External"/><Relationship Id="rId104" Type="http://schemas.openxmlformats.org/officeDocument/2006/relationships/hyperlink" Target="https://drive.google.com/open?id=1CnHb1fAVRkSeOAl7EGABKvXFpHDnoLDQ" TargetMode="External"/><Relationship Id="rId109" Type="http://schemas.openxmlformats.org/officeDocument/2006/relationships/hyperlink" Target="https://drive.google.com/open?id=18Nyqw2NcD936sMDQYeelUF4Ha-ifsFnK" TargetMode="External"/><Relationship Id="rId108" Type="http://schemas.openxmlformats.org/officeDocument/2006/relationships/hyperlink" Target="https://drive.google.com/open?id=14gB6K4bwjjvqX4C4VpiT2RkrpVmp3mOH" TargetMode="External"/><Relationship Id="rId220" Type="http://schemas.openxmlformats.org/officeDocument/2006/relationships/drawing" Target="../drawings/drawing1.xml"/><Relationship Id="rId103" Type="http://schemas.openxmlformats.org/officeDocument/2006/relationships/hyperlink" Target="https://drive.google.com/open?id=1ferxoKXI5xesfBWKsGr5o2aMPzEC3Xbs" TargetMode="External"/><Relationship Id="rId102" Type="http://schemas.openxmlformats.org/officeDocument/2006/relationships/hyperlink" Target="https://drive.google.com/open?id=1rv-5Cgco09tScbuXIDXliNpZNHX2z6E2" TargetMode="External"/><Relationship Id="rId101" Type="http://schemas.openxmlformats.org/officeDocument/2006/relationships/hyperlink" Target="https://drive.google.com/open?id=1FyGNy_5G2sNeRkZGMsHF6gP0KKLLzIPb" TargetMode="External"/><Relationship Id="rId100" Type="http://schemas.openxmlformats.org/officeDocument/2006/relationships/hyperlink" Target="https://drive.google.com/open?id=1XFyKbTyATBDtTDyT0Yv7A9tjoyoX-qGH" TargetMode="External"/><Relationship Id="rId217" Type="http://schemas.openxmlformats.org/officeDocument/2006/relationships/hyperlink" Target="https://drive.google.com/open?id=1XV0pvLBbzSpt8FdBXYEoDYzb97gKK1t1" TargetMode="External"/><Relationship Id="rId216" Type="http://schemas.openxmlformats.org/officeDocument/2006/relationships/hyperlink" Target="https://drive.google.com/open?id=1PeHSthEwo9ppR4YchoPqna0J1D2Yqb4X" TargetMode="External"/><Relationship Id="rId215" Type="http://schemas.openxmlformats.org/officeDocument/2006/relationships/hyperlink" Target="https://drive.google.com/open?id=11ecuirhVyVzyi0YKUOTGhus-s7uN1Hbn" TargetMode="External"/><Relationship Id="rId214" Type="http://schemas.openxmlformats.org/officeDocument/2006/relationships/hyperlink" Target="https://drive.google.com/open?id=1tPgXiOWxfl0PdkyNI6-3UsggVo1I7Qde" TargetMode="External"/><Relationship Id="rId219" Type="http://schemas.openxmlformats.org/officeDocument/2006/relationships/hyperlink" Target="https://drive.google.com/open?id=1qc332XfajHA1UTQDSvElsmMDrUEhyYyi" TargetMode="External"/><Relationship Id="rId218" Type="http://schemas.openxmlformats.org/officeDocument/2006/relationships/hyperlink" Target="https://drive.google.com/open?id=1DKBWIS91Y6SxVYxbwVrW7iKf7ZzqK1Mh" TargetMode="External"/><Relationship Id="rId213" Type="http://schemas.openxmlformats.org/officeDocument/2006/relationships/hyperlink" Target="https://drive.google.com/open?id=14S1g2TNzbSXy6OJAkOTv0IfCpHJoDMlk" TargetMode="External"/><Relationship Id="rId212" Type="http://schemas.openxmlformats.org/officeDocument/2006/relationships/hyperlink" Target="https://drive.google.com/open?id=1us0PCMrs2W_We8uyFvc3mNrLpwrwOBC_" TargetMode="External"/><Relationship Id="rId211" Type="http://schemas.openxmlformats.org/officeDocument/2006/relationships/hyperlink" Target="https://drive.google.com/open?id=1QiSxmc43GopoSWERuUJz0NI4LfURnv24" TargetMode="External"/><Relationship Id="rId210" Type="http://schemas.openxmlformats.org/officeDocument/2006/relationships/hyperlink" Target="https://drive.google.com/open?id=1yId4laGMvNuuxqETrN9HhF5UoS0MYjmb" TargetMode="External"/><Relationship Id="rId129" Type="http://schemas.openxmlformats.org/officeDocument/2006/relationships/hyperlink" Target="https://drive.google.com/open?id=1iJ3XZ6cniq16PxlPeqpPqVwdGM6VNxej" TargetMode="External"/><Relationship Id="rId128" Type="http://schemas.openxmlformats.org/officeDocument/2006/relationships/hyperlink" Target="https://drive.google.com/open?id=1zfjHDXqayo9K2D_fsQIOORQKz2pes2fT" TargetMode="External"/><Relationship Id="rId127" Type="http://schemas.openxmlformats.org/officeDocument/2006/relationships/hyperlink" Target="https://drive.google.com/open?id=1w8WZe3eik6wDoxIYrFe1G2Z4ry3ws2iv" TargetMode="External"/><Relationship Id="rId126" Type="http://schemas.openxmlformats.org/officeDocument/2006/relationships/hyperlink" Target="https://drive.google.com/open?id=1YT6QJpEf0_Q2iSQepN8LNeE-lJN03hWh" TargetMode="External"/><Relationship Id="rId121" Type="http://schemas.openxmlformats.org/officeDocument/2006/relationships/hyperlink" Target="https://drive.google.com/open?id=1d6_OgGfeaH1CvdvBriUgLx3ke4d0rO1p" TargetMode="External"/><Relationship Id="rId120" Type="http://schemas.openxmlformats.org/officeDocument/2006/relationships/hyperlink" Target="https://drive.google.com/open?id=1MBTZCp5jCSgDa3jNk7VfcXnYhhIqCrLQ" TargetMode="External"/><Relationship Id="rId125" Type="http://schemas.openxmlformats.org/officeDocument/2006/relationships/hyperlink" Target="https://drive.google.com/open?id=1fnxXkD90CRVAG5QQBXihQTeYNT094M_l" TargetMode="External"/><Relationship Id="rId124" Type="http://schemas.openxmlformats.org/officeDocument/2006/relationships/hyperlink" Target="https://drive.google.com/open?id=16ZWUBEizkwb1Z0rxyJolRWQNhe6P9R6T" TargetMode="External"/><Relationship Id="rId123" Type="http://schemas.openxmlformats.org/officeDocument/2006/relationships/hyperlink" Target="https://drive.google.com/open?id=1LAllAlCS5O_zYQLYmpg84JX51zVjS4s1" TargetMode="External"/><Relationship Id="rId122" Type="http://schemas.openxmlformats.org/officeDocument/2006/relationships/hyperlink" Target="https://drive.google.com/open?id=1anVpg3Q4QCyITvl36PQSBlwruOUjnb0G" TargetMode="External"/><Relationship Id="rId95" Type="http://schemas.openxmlformats.org/officeDocument/2006/relationships/hyperlink" Target="https://drive.google.com/open?id=1ne_btk-op5yTgTYulEGW-YZGyEAEPKOX" TargetMode="External"/><Relationship Id="rId94" Type="http://schemas.openxmlformats.org/officeDocument/2006/relationships/hyperlink" Target="https://drive.google.com/open?id=1PR7lMKa-u0y0JRbSswnJhjPRvcvyDMUc" TargetMode="External"/><Relationship Id="rId97" Type="http://schemas.openxmlformats.org/officeDocument/2006/relationships/hyperlink" Target="https://drive.google.com/open?id=1BBPTRfdeUhx0tJOYvYUO08RZpHSkrH10" TargetMode="External"/><Relationship Id="rId96" Type="http://schemas.openxmlformats.org/officeDocument/2006/relationships/hyperlink" Target="https://drive.google.com/open?id=1VSX4VjrqZIdPBbofU_bL1yJkmtDYbvg0" TargetMode="External"/><Relationship Id="rId99" Type="http://schemas.openxmlformats.org/officeDocument/2006/relationships/hyperlink" Target="https://drive.google.com/open?id=1_WLI239bTfo_yn_dgOgkOA2n-Esn_jrT" TargetMode="External"/><Relationship Id="rId98" Type="http://schemas.openxmlformats.org/officeDocument/2006/relationships/hyperlink" Target="https://drive.google.com/open?id=1G1-G22UlvBvO3yfVVuwEa47ZJE9of0vj" TargetMode="External"/><Relationship Id="rId91" Type="http://schemas.openxmlformats.org/officeDocument/2006/relationships/hyperlink" Target="https://drive.google.com/open?id=1j8_2HssHshh2TMPWPLysymi2CNWqeYj2" TargetMode="External"/><Relationship Id="rId90" Type="http://schemas.openxmlformats.org/officeDocument/2006/relationships/hyperlink" Target="https://drive.google.com/open?id=1RutrJac1XXIC4d3xBVGg9eRWx5mFbp0F" TargetMode="External"/><Relationship Id="rId93" Type="http://schemas.openxmlformats.org/officeDocument/2006/relationships/hyperlink" Target="https://drive.google.com/open?id=1Mf4lnhpc7QYAXnxc7uLW1_kEsilpATJ3" TargetMode="External"/><Relationship Id="rId92" Type="http://schemas.openxmlformats.org/officeDocument/2006/relationships/hyperlink" Target="https://drive.google.com/open?id=1qW7rUYMMx48m8CB6u6NKfMsG74P-MS7k" TargetMode="External"/><Relationship Id="rId118" Type="http://schemas.openxmlformats.org/officeDocument/2006/relationships/hyperlink" Target="https://drive.google.com/open?id=1cM6c-BdJ3emIJX9f4Uw5NrI8S-zefiR0" TargetMode="External"/><Relationship Id="rId117" Type="http://schemas.openxmlformats.org/officeDocument/2006/relationships/hyperlink" Target="https://drive.google.com/open?id=1or8qZsaPnMWMT2GunSfpQhne9rvLtYe6" TargetMode="External"/><Relationship Id="rId116" Type="http://schemas.openxmlformats.org/officeDocument/2006/relationships/hyperlink" Target="https://drive.google.com/open?id=1GOu-HfqYGZ8MQ9D_ZVwHQzItkuK-7ZFv" TargetMode="External"/><Relationship Id="rId115" Type="http://schemas.openxmlformats.org/officeDocument/2006/relationships/hyperlink" Target="https://drive.google.com/open?id=1WOcyDer6g_ooRjAMoZpKcgtET3YYspUp" TargetMode="External"/><Relationship Id="rId119" Type="http://schemas.openxmlformats.org/officeDocument/2006/relationships/hyperlink" Target="https://drive.google.com/open?id=1Mzv3X1DQ7PV7MuCgDp8l9EWTuSW0LeHY" TargetMode="External"/><Relationship Id="rId110" Type="http://schemas.openxmlformats.org/officeDocument/2006/relationships/hyperlink" Target="https://drive.google.com/open?id=1SjhTVAaYUzv7oANoYZelmCq_DI-EeKID" TargetMode="External"/><Relationship Id="rId114" Type="http://schemas.openxmlformats.org/officeDocument/2006/relationships/hyperlink" Target="https://drive.google.com/open?id=1rRxdtQJJQCgvkD4W0c242ymzlKP-fmn3" TargetMode="External"/><Relationship Id="rId113" Type="http://schemas.openxmlformats.org/officeDocument/2006/relationships/hyperlink" Target="https://drive.google.com/open?id=1zrXiCvfXe6-halcb_-_LTI11B_LBZ4bz" TargetMode="External"/><Relationship Id="rId112" Type="http://schemas.openxmlformats.org/officeDocument/2006/relationships/hyperlink" Target="https://drive.google.com/open?id=1U7nruMOgb2Q-pBGjfFsRES25uoHQV8gS" TargetMode="External"/><Relationship Id="rId111" Type="http://schemas.openxmlformats.org/officeDocument/2006/relationships/hyperlink" Target="https://drive.google.com/open?id=1RZfkBdyoXpG5kivRRPlkYyw3gM_OvG0U" TargetMode="External"/><Relationship Id="rId206" Type="http://schemas.openxmlformats.org/officeDocument/2006/relationships/hyperlink" Target="https://drive.google.com/open?id=1i-rYzt73WsIyKnP45rwoRpfCZCPSSf0R" TargetMode="External"/><Relationship Id="rId205" Type="http://schemas.openxmlformats.org/officeDocument/2006/relationships/hyperlink" Target="https://drive.google.com/open?id=1NQpsfIprGuwXoOYY-f03ZxLZvNDu4B9H" TargetMode="External"/><Relationship Id="rId204" Type="http://schemas.openxmlformats.org/officeDocument/2006/relationships/hyperlink" Target="https://drive.google.com/open?id=1GMtnJ7GudeNtj9a6oyz4Zd4yMgDsYn9N" TargetMode="External"/><Relationship Id="rId203" Type="http://schemas.openxmlformats.org/officeDocument/2006/relationships/hyperlink" Target="https://drive.google.com/open?id=1d783XKibRIOXTmmrxRWRh8Z2bxR2tpSG" TargetMode="External"/><Relationship Id="rId209" Type="http://schemas.openxmlformats.org/officeDocument/2006/relationships/hyperlink" Target="https://drive.google.com/open?id=1Ko4ahPjj2KFyn_DxhGH-BmqGS1FPluAZ" TargetMode="External"/><Relationship Id="rId208" Type="http://schemas.openxmlformats.org/officeDocument/2006/relationships/hyperlink" Target="https://drive.google.com/open?id=1NVGRKcdRmuTxM6-Tu1_TLq20gtePO4F-" TargetMode="External"/><Relationship Id="rId207" Type="http://schemas.openxmlformats.org/officeDocument/2006/relationships/hyperlink" Target="https://drive.google.com/open?id=10f1WucoeHa1PiJUqZcXpDQf9hE5F9MnA" TargetMode="External"/><Relationship Id="rId202" Type="http://schemas.openxmlformats.org/officeDocument/2006/relationships/hyperlink" Target="https://drive.google.com/open?id=18hOpT9EVeGGLvoVnIHTvoUL8ER810fr0" TargetMode="External"/><Relationship Id="rId201" Type="http://schemas.openxmlformats.org/officeDocument/2006/relationships/hyperlink" Target="https://drive.google.com/open?id=10-o2-bEWI53eQ_p8_RkhsqL6V-IlBjpe" TargetMode="External"/><Relationship Id="rId200" Type="http://schemas.openxmlformats.org/officeDocument/2006/relationships/hyperlink" Target="https://drive.google.com/open?id=1a-79nwrD9crsRLDE3us1XQNx4edtCgGY" TargetMode="External"/></Relationships>
</file>

<file path=xl/worksheets/_rels/sheet2.xml.rels><?xml version="1.0" encoding="UTF-8" standalone="yes"?><Relationships xmlns="http://schemas.openxmlformats.org/package/2006/relationships"><Relationship Id="rId20" Type="http://schemas.openxmlformats.org/officeDocument/2006/relationships/hyperlink" Target="https://drive.google.com/open?id=17j-9RkoUD6iY0DUJk-C5EQryHQurHGFT" TargetMode="External"/><Relationship Id="rId22" Type="http://schemas.openxmlformats.org/officeDocument/2006/relationships/hyperlink" Target="https://drive.google.com/open?id=1QABMjgGZrtTWuDIod7NufF7GDdDUl3Cd" TargetMode="External"/><Relationship Id="rId21" Type="http://schemas.openxmlformats.org/officeDocument/2006/relationships/hyperlink" Target="https://drive.google.com/open?id=1J2asDkQj6uZBbJTJdN6iQc9VPmi8FtaJ" TargetMode="External"/><Relationship Id="rId24" Type="http://schemas.openxmlformats.org/officeDocument/2006/relationships/hyperlink" Target="https://drive.google.com/open?id=1BapQ_RrHZoNLU59ILM-PbJf4mau9wZNP" TargetMode="External"/><Relationship Id="rId23" Type="http://schemas.openxmlformats.org/officeDocument/2006/relationships/hyperlink" Target="https://drive.google.com/open?id=145L7-la_DZCT4O7VxxbNtnA5dS0YF_N_" TargetMode="External"/><Relationship Id="rId26" Type="http://schemas.openxmlformats.org/officeDocument/2006/relationships/hyperlink" Target="https://drive.google.com/open?id=173fcvelDCK1hzP0g6T1_6uWxmgrzsjaT" TargetMode="External"/><Relationship Id="rId25" Type="http://schemas.openxmlformats.org/officeDocument/2006/relationships/hyperlink" Target="https://drive.google.com/open?id=1HnZZM6vP5mhryeU5gDAH_4WaY489U00y" TargetMode="External"/><Relationship Id="rId28" Type="http://schemas.openxmlformats.org/officeDocument/2006/relationships/hyperlink" Target="http://wa.me/+6282273177594" TargetMode="External"/><Relationship Id="rId27" Type="http://schemas.openxmlformats.org/officeDocument/2006/relationships/hyperlink" Target="https://drive.google.com/open?id=1ASyPZyQEPlYlunvtZvYQ1l8JtGQKmDXr" TargetMode="External"/><Relationship Id="rId29" Type="http://schemas.openxmlformats.org/officeDocument/2006/relationships/drawing" Target="../drawings/drawing2.xml"/><Relationship Id="rId11" Type="http://schemas.openxmlformats.org/officeDocument/2006/relationships/hyperlink" Target="https://drive.google.com/open?id=17tcDdBOyvya4yXMWZdgDfzsqQ_3i7NmQ" TargetMode="External"/><Relationship Id="rId10" Type="http://schemas.openxmlformats.org/officeDocument/2006/relationships/hyperlink" Target="https://drive.google.com/open?id=1NPdTMLXumVAJHETcJWxn3UyjUEuG2MCS" TargetMode="External"/><Relationship Id="rId13" Type="http://schemas.openxmlformats.org/officeDocument/2006/relationships/hyperlink" Target="https://drive.google.com/open?id=1yJu-PnG2Ot8ppO1QYJPlbq7VEf42MJok" TargetMode="External"/><Relationship Id="rId12" Type="http://schemas.openxmlformats.org/officeDocument/2006/relationships/hyperlink" Target="https://drive.google.com/open?id=1hFz0KHIrXRUMlf8zHLH4a7_7orVKWzsj" TargetMode="External"/><Relationship Id="rId15" Type="http://schemas.openxmlformats.org/officeDocument/2006/relationships/hyperlink" Target="https://drive.google.com/open?id=1CvXtuK2HcuBeDn_UxDCRZG8jBogU7HWF" TargetMode="External"/><Relationship Id="rId14" Type="http://schemas.openxmlformats.org/officeDocument/2006/relationships/hyperlink" Target="https://drive.google.com/open?id=1hPli2QS-ZUKVRK-yllPENse3cMzWXHvx" TargetMode="External"/><Relationship Id="rId17" Type="http://schemas.openxmlformats.org/officeDocument/2006/relationships/hyperlink" Target="https://drive.google.com/open?id=1rYrRSOee1znKyDjH72hJpvEGsp7x4CGw" TargetMode="External"/><Relationship Id="rId16" Type="http://schemas.openxmlformats.org/officeDocument/2006/relationships/hyperlink" Target="https://drive.google.com/open?id=103TtCSmD3yL88Oen2V0_2A5VDpf2rgkz" TargetMode="External"/><Relationship Id="rId19" Type="http://schemas.openxmlformats.org/officeDocument/2006/relationships/hyperlink" Target="https://drive.google.com/open?id=1C-veQ2H6LSy1q0mnZtjWhXmxg7P81s-0" TargetMode="External"/><Relationship Id="rId18" Type="http://schemas.openxmlformats.org/officeDocument/2006/relationships/hyperlink" Target="https://drive.google.com/open?id=10EDJzX5aWw9SgHW72pLWUrw-02YmHQTg" TargetMode="External"/><Relationship Id="rId1" Type="http://schemas.openxmlformats.org/officeDocument/2006/relationships/hyperlink" Target="https://drive.google.com/open?id=1x81TO6JHtXrD01yLmxvyk6XD6UDcX6Lr" TargetMode="External"/><Relationship Id="rId2" Type="http://schemas.openxmlformats.org/officeDocument/2006/relationships/hyperlink" Target="https://drive.google.com/open?id=1v3jf56-74510pt0OYP0UuvD77rokcixs" TargetMode="External"/><Relationship Id="rId3" Type="http://schemas.openxmlformats.org/officeDocument/2006/relationships/hyperlink" Target="https://drive.google.com/open?id=190-SWa0-vhO95I_l_fr_5g0G5hvlalDr" TargetMode="External"/><Relationship Id="rId4" Type="http://schemas.openxmlformats.org/officeDocument/2006/relationships/hyperlink" Target="https://drive.google.com/open?id=1M4GyvU1YOM7xrEDFtU3pyPBSf9By1k8E" TargetMode="External"/><Relationship Id="rId9" Type="http://schemas.openxmlformats.org/officeDocument/2006/relationships/hyperlink" Target="https://drive.google.com/open?id=17hXHyTFGXjyhEGSKlfFKSzUD9VJYc0sT" TargetMode="External"/><Relationship Id="rId5" Type="http://schemas.openxmlformats.org/officeDocument/2006/relationships/hyperlink" Target="http://eka1600016021webmail.uad.ac.id" TargetMode="External"/><Relationship Id="rId6" Type="http://schemas.openxmlformats.org/officeDocument/2006/relationships/hyperlink" Target="https://drive.google.com/open?id=1IpN5NNiLc-ahRUUsQL1cLyUMYrlj5FlM" TargetMode="External"/><Relationship Id="rId7" Type="http://schemas.openxmlformats.org/officeDocument/2006/relationships/hyperlink" Target="https://drive.google.com/open?id=1ul8V52wOE6NIhHa5x3KKfKIOz95yprqF" TargetMode="External"/><Relationship Id="rId8" Type="http://schemas.openxmlformats.org/officeDocument/2006/relationships/hyperlink" Target="http://s.si/"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hidden="1" min="2" max="2" width="12.13"/>
    <col customWidth="1" min="4" max="4" width="20.63"/>
    <col customWidth="1" min="6" max="6" width="20.38"/>
    <col customWidth="1" min="8" max="8" width="20.88"/>
    <col customWidth="1" min="10" max="10" width="44.25"/>
    <col customWidth="1" min="11" max="11" width="16.63"/>
    <col customWidth="1" min="12" max="12" width="13.38"/>
    <col customWidth="1" min="15" max="15" width="25.38"/>
    <col customWidth="1" min="16" max="16" width="20.13"/>
    <col customWidth="1" min="17" max="17" width="15.63"/>
    <col customWidth="1" min="28" max="28" width="16.25"/>
  </cols>
  <sheetData>
    <row r="1" ht="34.5" customHeight="1">
      <c r="Q1" s="1"/>
    </row>
    <row r="2">
      <c r="A2" s="2"/>
      <c r="B2" s="2" t="s">
        <v>0</v>
      </c>
      <c r="C2" s="2" t="s">
        <v>1</v>
      </c>
      <c r="D2" s="3" t="s">
        <v>2</v>
      </c>
      <c r="E2" s="4" t="s">
        <v>3</v>
      </c>
      <c r="F2" s="3" t="s">
        <v>4</v>
      </c>
      <c r="G2" s="3" t="s">
        <v>5</v>
      </c>
      <c r="H2" s="3" t="s">
        <v>6</v>
      </c>
      <c r="I2" s="3" t="s">
        <v>7</v>
      </c>
      <c r="J2" s="3" t="s">
        <v>8</v>
      </c>
      <c r="K2" s="5"/>
      <c r="L2" s="5"/>
      <c r="M2" s="6"/>
      <c r="N2" s="7" t="s">
        <v>9</v>
      </c>
      <c r="O2" s="8" t="s">
        <v>10</v>
      </c>
      <c r="P2" s="9" t="s">
        <v>11</v>
      </c>
      <c r="Q2" s="10" t="s">
        <v>12</v>
      </c>
      <c r="R2" s="7" t="s">
        <v>13</v>
      </c>
      <c r="S2" s="7" t="s">
        <v>14</v>
      </c>
      <c r="T2" s="6"/>
      <c r="U2" s="6"/>
      <c r="V2" s="11" t="s">
        <v>15</v>
      </c>
      <c r="W2" s="12" t="s">
        <v>16</v>
      </c>
      <c r="X2" s="12" t="s">
        <v>17</v>
      </c>
      <c r="Y2" s="12" t="s">
        <v>18</v>
      </c>
      <c r="Z2" s="13" t="s">
        <v>19</v>
      </c>
      <c r="AB2" s="14"/>
      <c r="AC2" s="14"/>
    </row>
    <row r="3">
      <c r="A3" s="15">
        <v>0.0</v>
      </c>
      <c r="B3" s="16"/>
      <c r="C3" s="16" t="s">
        <v>1</v>
      </c>
      <c r="D3" s="16" t="s">
        <v>2</v>
      </c>
      <c r="E3" s="17" t="s">
        <v>3</v>
      </c>
      <c r="F3" s="16" t="s">
        <v>4</v>
      </c>
      <c r="G3" s="16" t="s">
        <v>5</v>
      </c>
      <c r="H3" s="16" t="s">
        <v>6</v>
      </c>
      <c r="I3" s="16" t="s">
        <v>7</v>
      </c>
      <c r="J3" s="16" t="s">
        <v>8</v>
      </c>
      <c r="K3" s="16"/>
      <c r="L3" s="18"/>
      <c r="M3" s="19"/>
      <c r="N3" s="19"/>
      <c r="O3" s="20" t="s">
        <v>10</v>
      </c>
      <c r="P3" s="19" t="s">
        <v>20</v>
      </c>
      <c r="Q3" s="19" t="s">
        <v>12</v>
      </c>
      <c r="R3" s="21" t="s">
        <v>21</v>
      </c>
      <c r="S3" s="19"/>
      <c r="T3" s="22"/>
      <c r="U3" s="22"/>
      <c r="V3" s="23"/>
      <c r="W3" s="22"/>
      <c r="X3" s="22"/>
      <c r="Y3" s="22"/>
      <c r="Z3" s="22"/>
      <c r="AA3" s="22"/>
      <c r="AB3" s="22"/>
      <c r="AC3" s="22"/>
    </row>
    <row r="4">
      <c r="A4" s="24">
        <v>2016.0</v>
      </c>
      <c r="B4" s="25"/>
      <c r="C4" s="25">
        <v>43936.63473363426</v>
      </c>
      <c r="D4" s="26" t="s">
        <v>22</v>
      </c>
      <c r="E4" s="27">
        <v>1.600016098E9</v>
      </c>
      <c r="F4" s="26" t="s">
        <v>23</v>
      </c>
      <c r="G4" s="28" t="s">
        <v>24</v>
      </c>
      <c r="H4" s="26" t="s">
        <v>25</v>
      </c>
      <c r="I4" s="26" t="s">
        <v>26</v>
      </c>
      <c r="J4" s="29" t="s">
        <v>27</v>
      </c>
      <c r="K4" s="30"/>
      <c r="L4" s="31"/>
      <c r="M4" s="32"/>
      <c r="N4" s="32"/>
      <c r="O4" s="33"/>
      <c r="P4" s="32" t="s">
        <v>28</v>
      </c>
      <c r="Q4" s="34">
        <v>43956.0</v>
      </c>
      <c r="R4" s="35" t="s">
        <v>29</v>
      </c>
      <c r="S4" s="32"/>
      <c r="T4" s="32"/>
      <c r="U4" s="32"/>
      <c r="V4" s="36"/>
      <c r="W4" s="32"/>
      <c r="X4" s="32"/>
      <c r="Y4" s="32"/>
      <c r="Z4" s="32"/>
      <c r="AA4" s="32"/>
      <c r="AB4" s="32"/>
      <c r="AC4" s="32"/>
    </row>
    <row r="5">
      <c r="A5" s="24">
        <v>2016.0</v>
      </c>
      <c r="B5" s="25"/>
      <c r="C5" s="25">
        <v>43938.410780659724</v>
      </c>
      <c r="D5" s="26" t="s">
        <v>30</v>
      </c>
      <c r="E5" s="27">
        <v>1.600016004E9</v>
      </c>
      <c r="F5" s="26" t="s">
        <v>31</v>
      </c>
      <c r="G5" s="28" t="s">
        <v>32</v>
      </c>
      <c r="H5" s="26" t="s">
        <v>33</v>
      </c>
      <c r="I5" s="26" t="s">
        <v>26</v>
      </c>
      <c r="J5" s="29" t="s">
        <v>27</v>
      </c>
      <c r="K5" s="30"/>
      <c r="L5" s="31"/>
      <c r="M5" s="32"/>
      <c r="N5" s="32"/>
      <c r="O5" s="33"/>
      <c r="P5" s="32" t="s">
        <v>28</v>
      </c>
      <c r="Q5" s="34">
        <v>43956.0</v>
      </c>
      <c r="R5" s="35" t="s">
        <v>34</v>
      </c>
      <c r="S5" s="32"/>
      <c r="T5" s="32"/>
      <c r="U5" s="32"/>
      <c r="V5" s="36"/>
      <c r="W5" s="32"/>
      <c r="X5" s="32"/>
      <c r="Y5" s="32"/>
      <c r="Z5" s="32"/>
      <c r="AA5" s="32"/>
      <c r="AB5" s="32"/>
      <c r="AC5" s="32"/>
    </row>
    <row r="6">
      <c r="A6" s="24">
        <v>2016.0</v>
      </c>
      <c r="B6" s="25"/>
      <c r="C6" s="25">
        <v>43938.45163740741</v>
      </c>
      <c r="D6" s="26" t="s">
        <v>35</v>
      </c>
      <c r="E6" s="27">
        <v>1.600016017E9</v>
      </c>
      <c r="F6" s="26" t="s">
        <v>36</v>
      </c>
      <c r="G6" s="28" t="s">
        <v>37</v>
      </c>
      <c r="H6" s="26" t="s">
        <v>38</v>
      </c>
      <c r="I6" s="26" t="s">
        <v>26</v>
      </c>
      <c r="J6" s="29" t="s">
        <v>39</v>
      </c>
      <c r="K6" s="30"/>
      <c r="L6" s="31"/>
      <c r="M6" s="32"/>
      <c r="N6" s="32"/>
      <c r="O6" s="33"/>
      <c r="P6" s="32" t="s">
        <v>40</v>
      </c>
      <c r="Q6" s="34">
        <v>43956.0</v>
      </c>
      <c r="R6" s="35" t="s">
        <v>34</v>
      </c>
      <c r="S6" s="32"/>
      <c r="T6" s="32"/>
      <c r="U6" s="32"/>
      <c r="V6" s="36"/>
      <c r="W6" s="32"/>
      <c r="X6" s="32"/>
      <c r="Y6" s="32"/>
      <c r="Z6" s="32"/>
      <c r="AA6" s="32"/>
      <c r="AB6" s="32"/>
      <c r="AC6" s="32"/>
    </row>
    <row r="7">
      <c r="A7" s="24">
        <v>2016.0</v>
      </c>
      <c r="B7" s="25"/>
      <c r="C7" s="25">
        <v>43940.766146724534</v>
      </c>
      <c r="D7" s="26" t="s">
        <v>41</v>
      </c>
      <c r="E7" s="27">
        <v>1.600016067E9</v>
      </c>
      <c r="F7" s="26" t="s">
        <v>42</v>
      </c>
      <c r="G7" s="28" t="s">
        <v>43</v>
      </c>
      <c r="H7" s="26" t="s">
        <v>44</v>
      </c>
      <c r="I7" s="26" t="s">
        <v>26</v>
      </c>
      <c r="J7" s="29" t="s">
        <v>27</v>
      </c>
      <c r="K7" s="30"/>
      <c r="L7" s="31"/>
      <c r="M7" s="32"/>
      <c r="N7" s="32"/>
      <c r="O7" s="33"/>
      <c r="P7" s="32" t="s">
        <v>45</v>
      </c>
      <c r="Q7" s="37">
        <v>43957.0</v>
      </c>
      <c r="R7" s="35" t="s">
        <v>29</v>
      </c>
      <c r="S7" s="32"/>
      <c r="T7" s="32"/>
      <c r="U7" s="32"/>
      <c r="V7" s="36"/>
      <c r="W7" s="32"/>
      <c r="X7" s="32"/>
      <c r="Y7" s="32"/>
      <c r="Z7" s="32"/>
      <c r="AA7" s="32"/>
      <c r="AB7" s="32"/>
      <c r="AC7" s="32"/>
    </row>
    <row r="8">
      <c r="A8" s="24">
        <v>2016.0</v>
      </c>
      <c r="B8" s="25"/>
      <c r="C8" s="25">
        <v>43941.52303278935</v>
      </c>
      <c r="D8" s="26" t="s">
        <v>46</v>
      </c>
      <c r="E8" s="27">
        <v>1.611016081E9</v>
      </c>
      <c r="F8" s="26" t="s">
        <v>47</v>
      </c>
      <c r="G8" s="26" t="s">
        <v>48</v>
      </c>
      <c r="H8" s="26" t="s">
        <v>49</v>
      </c>
      <c r="I8" s="26" t="s">
        <v>26</v>
      </c>
      <c r="J8" s="29" t="s">
        <v>27</v>
      </c>
      <c r="K8" s="30"/>
      <c r="L8" s="31"/>
      <c r="M8" s="32"/>
      <c r="N8" s="32"/>
      <c r="O8" s="33"/>
      <c r="P8" s="32" t="s">
        <v>45</v>
      </c>
      <c r="Q8" s="32" t="s">
        <v>50</v>
      </c>
      <c r="R8" s="35" t="s">
        <v>34</v>
      </c>
      <c r="S8" s="32"/>
      <c r="T8" s="32"/>
      <c r="U8" s="32"/>
      <c r="V8" s="36"/>
      <c r="W8" s="32"/>
      <c r="X8" s="32"/>
      <c r="Y8" s="32"/>
      <c r="Z8" s="32"/>
      <c r="AA8" s="32"/>
      <c r="AB8" s="32"/>
      <c r="AC8" s="32"/>
    </row>
    <row r="9">
      <c r="A9" s="24">
        <v>2016.0</v>
      </c>
      <c r="B9" s="25"/>
      <c r="C9" s="25">
        <v>43942.62178516204</v>
      </c>
      <c r="D9" s="26" t="s">
        <v>51</v>
      </c>
      <c r="E9" s="27">
        <v>1.600016106E9</v>
      </c>
      <c r="F9" s="26" t="s">
        <v>52</v>
      </c>
      <c r="G9" s="28" t="s">
        <v>53</v>
      </c>
      <c r="H9" s="26" t="s">
        <v>54</v>
      </c>
      <c r="I9" s="26" t="s">
        <v>26</v>
      </c>
      <c r="J9" s="29" t="s">
        <v>27</v>
      </c>
      <c r="K9" s="30"/>
      <c r="L9" s="31"/>
      <c r="M9" s="32"/>
      <c r="N9" s="32"/>
      <c r="O9" s="33"/>
      <c r="P9" s="32" t="s">
        <v>45</v>
      </c>
      <c r="Q9" s="32" t="s">
        <v>50</v>
      </c>
      <c r="R9" s="35" t="s">
        <v>55</v>
      </c>
      <c r="S9" s="32"/>
      <c r="T9" s="32"/>
      <c r="U9" s="32"/>
      <c r="V9" s="36"/>
      <c r="W9" s="32"/>
      <c r="X9" s="32"/>
      <c r="Y9" s="32"/>
      <c r="Z9" s="32"/>
      <c r="AA9" s="32"/>
      <c r="AB9" s="32"/>
      <c r="AC9" s="32"/>
    </row>
    <row r="10">
      <c r="A10" s="24">
        <v>2016.0</v>
      </c>
      <c r="B10" s="25"/>
      <c r="C10" s="25">
        <v>43942.86463489583</v>
      </c>
      <c r="D10" s="26" t="s">
        <v>56</v>
      </c>
      <c r="E10" s="27">
        <v>1.600016039E9</v>
      </c>
      <c r="F10" s="26" t="s">
        <v>57</v>
      </c>
      <c r="G10" s="28" t="s">
        <v>58</v>
      </c>
      <c r="H10" s="26" t="s">
        <v>59</v>
      </c>
      <c r="I10" s="26" t="s">
        <v>26</v>
      </c>
      <c r="J10" s="29" t="s">
        <v>27</v>
      </c>
      <c r="K10" s="30"/>
      <c r="L10" s="31"/>
      <c r="M10" s="32"/>
      <c r="N10" s="32"/>
      <c r="O10" s="33"/>
      <c r="P10" s="32" t="s">
        <v>45</v>
      </c>
      <c r="Q10" s="37">
        <v>43958.0</v>
      </c>
      <c r="R10" s="35" t="s">
        <v>29</v>
      </c>
      <c r="S10" s="32"/>
      <c r="T10" s="32"/>
      <c r="U10" s="32"/>
      <c r="V10" s="36"/>
      <c r="W10" s="32"/>
      <c r="X10" s="32"/>
      <c r="Y10" s="32"/>
      <c r="Z10" s="32"/>
      <c r="AA10" s="32"/>
      <c r="AB10" s="32"/>
      <c r="AC10" s="32"/>
    </row>
    <row r="11">
      <c r="A11" s="24">
        <v>2016.0</v>
      </c>
      <c r="B11" s="25"/>
      <c r="C11" s="25">
        <v>43943.663261932874</v>
      </c>
      <c r="D11" s="26" t="s">
        <v>60</v>
      </c>
      <c r="E11" s="27">
        <v>1.600016093E9</v>
      </c>
      <c r="F11" s="26" t="s">
        <v>61</v>
      </c>
      <c r="G11" s="28" t="s">
        <v>62</v>
      </c>
      <c r="H11" s="26" t="s">
        <v>63</v>
      </c>
      <c r="I11" s="26" t="s">
        <v>26</v>
      </c>
      <c r="J11" s="29" t="s">
        <v>27</v>
      </c>
      <c r="K11" s="30"/>
      <c r="L11" s="31"/>
      <c r="M11" s="32"/>
      <c r="N11" s="32"/>
      <c r="O11" s="33"/>
      <c r="P11" s="32" t="s">
        <v>45</v>
      </c>
      <c r="Q11" s="37">
        <v>43958.0</v>
      </c>
      <c r="R11" s="35" t="s">
        <v>55</v>
      </c>
      <c r="S11" s="32"/>
      <c r="T11" s="32"/>
      <c r="U11" s="32"/>
      <c r="V11" s="36"/>
      <c r="W11" s="32"/>
      <c r="X11" s="32"/>
      <c r="Y11" s="32"/>
      <c r="Z11" s="32"/>
      <c r="AA11" s="32"/>
      <c r="AB11" s="32"/>
      <c r="AC11" s="32"/>
    </row>
    <row r="12">
      <c r="A12" s="24">
        <v>2016.0</v>
      </c>
      <c r="B12" s="25"/>
      <c r="C12" s="25">
        <v>43946.497135694444</v>
      </c>
      <c r="D12" s="26" t="s">
        <v>64</v>
      </c>
      <c r="E12" s="27">
        <v>1.611016083E9</v>
      </c>
      <c r="F12" s="26" t="s">
        <v>65</v>
      </c>
      <c r="G12" s="28" t="s">
        <v>66</v>
      </c>
      <c r="H12" s="26" t="s">
        <v>67</v>
      </c>
      <c r="I12" s="26" t="s">
        <v>26</v>
      </c>
      <c r="J12" s="29" t="s">
        <v>27</v>
      </c>
      <c r="K12" s="30"/>
      <c r="L12" s="31"/>
      <c r="M12" s="32"/>
      <c r="N12" s="32"/>
      <c r="O12" s="33"/>
      <c r="P12" s="32" t="s">
        <v>45</v>
      </c>
      <c r="Q12" s="37">
        <v>43959.0</v>
      </c>
      <c r="R12" s="35" t="s">
        <v>29</v>
      </c>
      <c r="S12" s="32"/>
      <c r="T12" s="32"/>
      <c r="U12" s="32"/>
      <c r="V12" s="36"/>
      <c r="W12" s="32"/>
      <c r="X12" s="32"/>
      <c r="Y12" s="32"/>
      <c r="Z12" s="32"/>
      <c r="AA12" s="32"/>
      <c r="AB12" s="32"/>
      <c r="AC12" s="32"/>
    </row>
    <row r="13">
      <c r="A13" s="24">
        <v>2016.0</v>
      </c>
      <c r="B13" s="25"/>
      <c r="C13" s="25">
        <v>43948.89263880787</v>
      </c>
      <c r="D13" s="26" t="s">
        <v>68</v>
      </c>
      <c r="E13" s="27">
        <v>1.600016043E9</v>
      </c>
      <c r="F13" s="26" t="s">
        <v>69</v>
      </c>
      <c r="G13" s="28" t="s">
        <v>70</v>
      </c>
      <c r="H13" s="26" t="s">
        <v>71</v>
      </c>
      <c r="I13" s="26" t="s">
        <v>26</v>
      </c>
      <c r="J13" s="29" t="s">
        <v>27</v>
      </c>
      <c r="K13" s="30"/>
      <c r="L13" s="31"/>
      <c r="M13" s="32"/>
      <c r="N13" s="32"/>
      <c r="O13" s="33"/>
      <c r="P13" s="32" t="s">
        <v>72</v>
      </c>
      <c r="Q13" s="37">
        <v>43959.0</v>
      </c>
      <c r="R13" s="35" t="s">
        <v>34</v>
      </c>
      <c r="S13" s="32"/>
      <c r="T13" s="32"/>
      <c r="U13" s="32"/>
      <c r="V13" s="36"/>
      <c r="W13" s="32"/>
      <c r="X13" s="32"/>
      <c r="Y13" s="32"/>
      <c r="Z13" s="32"/>
      <c r="AA13" s="32"/>
      <c r="AB13" s="32"/>
      <c r="AC13" s="32"/>
    </row>
    <row r="14">
      <c r="A14" s="24">
        <v>2016.0</v>
      </c>
      <c r="B14" s="25"/>
      <c r="C14" s="25">
        <v>43950.4165756713</v>
      </c>
      <c r="D14" s="26" t="s">
        <v>73</v>
      </c>
      <c r="E14" s="27">
        <v>1.600016016E9</v>
      </c>
      <c r="F14" s="26" t="s">
        <v>74</v>
      </c>
      <c r="G14" s="28" t="s">
        <v>75</v>
      </c>
      <c r="H14" s="26" t="s">
        <v>76</v>
      </c>
      <c r="I14" s="26" t="s">
        <v>26</v>
      </c>
      <c r="J14" s="29" t="s">
        <v>27</v>
      </c>
      <c r="K14" s="30"/>
      <c r="L14" s="31"/>
      <c r="M14" s="32"/>
      <c r="N14" s="32"/>
      <c r="O14" s="33"/>
      <c r="P14" s="32" t="s">
        <v>28</v>
      </c>
      <c r="Q14" s="34">
        <v>43962.0</v>
      </c>
      <c r="R14" s="35" t="s">
        <v>29</v>
      </c>
      <c r="S14" s="32"/>
      <c r="T14" s="32"/>
      <c r="U14" s="32"/>
      <c r="V14" s="36"/>
      <c r="W14" s="32"/>
      <c r="X14" s="32"/>
      <c r="Y14" s="32"/>
      <c r="Z14" s="32"/>
      <c r="AA14" s="32"/>
      <c r="AB14" s="32"/>
      <c r="AC14" s="32"/>
    </row>
    <row r="15">
      <c r="A15" s="24">
        <v>2016.0</v>
      </c>
      <c r="B15" s="25"/>
      <c r="C15" s="25">
        <v>43950.554602662036</v>
      </c>
      <c r="D15" s="26" t="s">
        <v>77</v>
      </c>
      <c r="E15" s="27">
        <v>1.600016079E9</v>
      </c>
      <c r="F15" s="26" t="s">
        <v>78</v>
      </c>
      <c r="G15" s="28" t="s">
        <v>79</v>
      </c>
      <c r="H15" s="26" t="s">
        <v>80</v>
      </c>
      <c r="I15" s="26" t="s">
        <v>26</v>
      </c>
      <c r="J15" s="29" t="s">
        <v>27</v>
      </c>
      <c r="K15" s="30"/>
      <c r="L15" s="31"/>
      <c r="M15" s="32"/>
      <c r="N15" s="32"/>
      <c r="O15" s="33"/>
      <c r="P15" s="32" t="s">
        <v>28</v>
      </c>
      <c r="Q15" s="34">
        <v>43962.0</v>
      </c>
      <c r="R15" s="35" t="s">
        <v>34</v>
      </c>
      <c r="S15" s="32"/>
      <c r="T15" s="32"/>
      <c r="U15" s="32"/>
      <c r="V15" s="36"/>
      <c r="W15" s="32"/>
      <c r="X15" s="32"/>
      <c r="Y15" s="32"/>
      <c r="Z15" s="32"/>
      <c r="AA15" s="32"/>
      <c r="AB15" s="32"/>
      <c r="AC15" s="32"/>
    </row>
    <row r="16">
      <c r="A16" s="24">
        <v>2016.0</v>
      </c>
      <c r="B16" s="25"/>
      <c r="C16" s="25">
        <v>43951.712896412035</v>
      </c>
      <c r="D16" s="26" t="s">
        <v>81</v>
      </c>
      <c r="E16" s="27">
        <v>1.600016071E9</v>
      </c>
      <c r="F16" s="26" t="s">
        <v>82</v>
      </c>
      <c r="G16" s="28" t="s">
        <v>83</v>
      </c>
      <c r="H16" s="26" t="s">
        <v>84</v>
      </c>
      <c r="I16" s="26" t="s">
        <v>26</v>
      </c>
      <c r="J16" s="29" t="s">
        <v>27</v>
      </c>
      <c r="K16" s="30"/>
      <c r="L16" s="31"/>
      <c r="M16" s="32"/>
      <c r="N16" s="32"/>
      <c r="O16" s="33"/>
      <c r="P16" s="32" t="s">
        <v>45</v>
      </c>
      <c r="Q16" s="34">
        <v>43963.0</v>
      </c>
      <c r="R16" s="35" t="s">
        <v>29</v>
      </c>
      <c r="S16" s="32"/>
      <c r="T16" s="32"/>
      <c r="U16" s="32"/>
      <c r="V16" s="36"/>
      <c r="W16" s="32"/>
      <c r="X16" s="32"/>
      <c r="Y16" s="32"/>
      <c r="Z16" s="32"/>
      <c r="AA16" s="32"/>
      <c r="AB16" s="32"/>
      <c r="AC16" s="32"/>
    </row>
    <row r="17">
      <c r="A17" s="24">
        <v>2016.0</v>
      </c>
      <c r="B17" s="25"/>
      <c r="C17" s="25">
        <v>43952.4843146412</v>
      </c>
      <c r="D17" s="26" t="s">
        <v>85</v>
      </c>
      <c r="E17" s="27">
        <v>1.600016018E9</v>
      </c>
      <c r="F17" s="26" t="s">
        <v>86</v>
      </c>
      <c r="G17" s="28" t="s">
        <v>87</v>
      </c>
      <c r="H17" s="26" t="s">
        <v>88</v>
      </c>
      <c r="I17" s="26" t="s">
        <v>26</v>
      </c>
      <c r="J17" s="29" t="s">
        <v>27</v>
      </c>
      <c r="K17" s="30"/>
      <c r="L17" s="31"/>
      <c r="M17" s="32"/>
      <c r="N17" s="32"/>
      <c r="O17" s="33"/>
      <c r="P17" s="32" t="s">
        <v>45</v>
      </c>
      <c r="Q17" s="34">
        <v>43963.0</v>
      </c>
      <c r="R17" s="35" t="s">
        <v>34</v>
      </c>
      <c r="S17" s="32"/>
      <c r="T17" s="32"/>
      <c r="U17" s="32"/>
      <c r="V17" s="36"/>
      <c r="W17" s="32"/>
      <c r="X17" s="32"/>
      <c r="Y17" s="32"/>
      <c r="Z17" s="32"/>
      <c r="AA17" s="32"/>
      <c r="AB17" s="32"/>
      <c r="AC17" s="32"/>
    </row>
    <row r="18">
      <c r="A18" s="29">
        <v>2015.0</v>
      </c>
      <c r="B18" s="26"/>
      <c r="C18" s="26"/>
      <c r="D18" s="26" t="s">
        <v>89</v>
      </c>
      <c r="E18" s="27">
        <v>1.500016002E9</v>
      </c>
      <c r="F18" s="26" t="s">
        <v>90</v>
      </c>
      <c r="G18" s="28" t="s">
        <v>91</v>
      </c>
      <c r="H18" s="26" t="s">
        <v>92</v>
      </c>
      <c r="I18" s="26" t="s">
        <v>26</v>
      </c>
      <c r="J18" s="29" t="s">
        <v>27</v>
      </c>
      <c r="K18" s="31"/>
      <c r="L18" s="26"/>
      <c r="M18" s="32"/>
      <c r="N18" s="32"/>
      <c r="O18" s="33"/>
      <c r="P18" s="32" t="s">
        <v>28</v>
      </c>
      <c r="Q18" s="38">
        <v>43994.0</v>
      </c>
      <c r="R18" s="35"/>
      <c r="S18" s="32"/>
      <c r="T18" s="32"/>
      <c r="U18" s="32"/>
      <c r="V18" s="36"/>
      <c r="W18" s="32"/>
      <c r="X18" s="32"/>
      <c r="Y18" s="32"/>
      <c r="Z18" s="32"/>
      <c r="AA18" s="32"/>
      <c r="AB18" s="32"/>
      <c r="AC18" s="32"/>
    </row>
    <row r="19">
      <c r="A19" s="24">
        <v>2016.0</v>
      </c>
      <c r="B19" s="25"/>
      <c r="C19" s="25">
        <v>43955.43963818287</v>
      </c>
      <c r="D19" s="26" t="s">
        <v>93</v>
      </c>
      <c r="E19" s="27">
        <v>1.600016012E9</v>
      </c>
      <c r="F19" s="26" t="s">
        <v>94</v>
      </c>
      <c r="G19" s="28" t="s">
        <v>95</v>
      </c>
      <c r="H19" s="26" t="s">
        <v>96</v>
      </c>
      <c r="I19" s="26" t="s">
        <v>26</v>
      </c>
      <c r="J19" s="29" t="s">
        <v>27</v>
      </c>
      <c r="K19" s="30"/>
      <c r="L19" s="31"/>
      <c r="M19" s="32"/>
      <c r="N19" s="32"/>
      <c r="O19" s="33"/>
      <c r="P19" s="32" t="s">
        <v>97</v>
      </c>
      <c r="Q19" s="34">
        <v>43963.0</v>
      </c>
      <c r="R19" s="35" t="s">
        <v>55</v>
      </c>
      <c r="S19" s="32"/>
      <c r="T19" s="32"/>
      <c r="U19" s="32"/>
      <c r="V19" s="36"/>
      <c r="W19" s="32"/>
      <c r="X19" s="32"/>
      <c r="Y19" s="32"/>
      <c r="Z19" s="32"/>
      <c r="AA19" s="32"/>
      <c r="AB19" s="32"/>
      <c r="AC19" s="32"/>
    </row>
    <row r="20">
      <c r="A20" s="24">
        <v>2016.0</v>
      </c>
      <c r="B20" s="25"/>
      <c r="C20" s="25">
        <v>43955.44441943287</v>
      </c>
      <c r="D20" s="26" t="s">
        <v>98</v>
      </c>
      <c r="E20" s="27">
        <v>1.600016038E9</v>
      </c>
      <c r="F20" s="26" t="s">
        <v>99</v>
      </c>
      <c r="G20" s="26" t="s">
        <v>100</v>
      </c>
      <c r="H20" s="26" t="s">
        <v>101</v>
      </c>
      <c r="I20" s="26" t="s">
        <v>26</v>
      </c>
      <c r="J20" s="29" t="s">
        <v>39</v>
      </c>
      <c r="K20" s="30"/>
      <c r="L20" s="31"/>
      <c r="M20" s="32"/>
      <c r="N20" s="32"/>
      <c r="O20" s="33"/>
      <c r="P20" s="32" t="s">
        <v>40</v>
      </c>
      <c r="Q20" s="32" t="s">
        <v>102</v>
      </c>
      <c r="R20" s="35" t="s">
        <v>55</v>
      </c>
      <c r="S20" s="32"/>
      <c r="T20" s="32"/>
      <c r="U20" s="32"/>
      <c r="V20" s="36"/>
      <c r="W20" s="32"/>
      <c r="X20" s="32"/>
      <c r="Y20" s="32"/>
      <c r="Z20" s="32"/>
      <c r="AA20" s="32"/>
      <c r="AB20" s="32"/>
      <c r="AC20" s="32"/>
    </row>
    <row r="21">
      <c r="A21" s="24">
        <v>2016.0</v>
      </c>
      <c r="B21" s="25"/>
      <c r="C21" s="25">
        <v>43955.72694581018</v>
      </c>
      <c r="D21" s="26" t="s">
        <v>103</v>
      </c>
      <c r="E21" s="27">
        <v>1.60001601E9</v>
      </c>
      <c r="F21" s="26" t="s">
        <v>104</v>
      </c>
      <c r="G21" s="28" t="s">
        <v>105</v>
      </c>
      <c r="H21" s="26" t="s">
        <v>106</v>
      </c>
      <c r="I21" s="26" t="s">
        <v>26</v>
      </c>
      <c r="J21" s="29" t="s">
        <v>27</v>
      </c>
      <c r="K21" s="30"/>
      <c r="L21" s="31"/>
      <c r="M21" s="32"/>
      <c r="N21" s="32"/>
      <c r="O21" s="33"/>
      <c r="P21" s="32" t="s">
        <v>28</v>
      </c>
      <c r="Q21" s="32" t="s">
        <v>107</v>
      </c>
      <c r="R21" s="35" t="s">
        <v>29</v>
      </c>
      <c r="S21" s="32"/>
      <c r="T21" s="32"/>
      <c r="U21" s="32"/>
      <c r="V21" s="36"/>
      <c r="W21" s="32"/>
      <c r="X21" s="32"/>
      <c r="Y21" s="32"/>
      <c r="Z21" s="32"/>
      <c r="AA21" s="32"/>
      <c r="AB21" s="32"/>
      <c r="AC21" s="32"/>
    </row>
    <row r="22">
      <c r="A22" s="24">
        <v>2016.0</v>
      </c>
      <c r="B22" s="25"/>
      <c r="C22" s="25">
        <v>43957.819662326394</v>
      </c>
      <c r="D22" s="26" t="s">
        <v>108</v>
      </c>
      <c r="E22" s="27">
        <v>1.600016112E9</v>
      </c>
      <c r="F22" s="26" t="s">
        <v>109</v>
      </c>
      <c r="G22" s="28" t="s">
        <v>110</v>
      </c>
      <c r="H22" s="26" t="s">
        <v>111</v>
      </c>
      <c r="I22" s="26" t="s">
        <v>26</v>
      </c>
      <c r="J22" s="29" t="s">
        <v>27</v>
      </c>
      <c r="K22" s="30"/>
      <c r="L22" s="31"/>
      <c r="M22" s="32"/>
      <c r="N22" s="32"/>
      <c r="O22" s="33"/>
      <c r="P22" s="32" t="s">
        <v>40</v>
      </c>
      <c r="Q22" s="32" t="s">
        <v>112</v>
      </c>
      <c r="R22" s="35" t="s">
        <v>29</v>
      </c>
      <c r="S22" s="32"/>
      <c r="T22" s="32"/>
      <c r="U22" s="32"/>
      <c r="V22" s="36"/>
      <c r="W22" s="32"/>
      <c r="X22" s="32"/>
      <c r="Y22" s="32"/>
      <c r="Z22" s="32"/>
      <c r="AA22" s="32"/>
      <c r="AB22" s="32"/>
      <c r="AC22" s="32"/>
    </row>
    <row r="23">
      <c r="A23" s="24">
        <v>2016.0</v>
      </c>
      <c r="B23" s="25"/>
      <c r="C23" s="25">
        <v>43957.83201759259</v>
      </c>
      <c r="D23" s="26" t="s">
        <v>113</v>
      </c>
      <c r="E23" s="27">
        <v>1.600016091E9</v>
      </c>
      <c r="F23" s="26" t="s">
        <v>114</v>
      </c>
      <c r="G23" s="28" t="s">
        <v>115</v>
      </c>
      <c r="H23" s="26" t="s">
        <v>116</v>
      </c>
      <c r="I23" s="26" t="s">
        <v>26</v>
      </c>
      <c r="J23" s="26" t="s">
        <v>117</v>
      </c>
      <c r="K23" s="30"/>
      <c r="L23" s="31"/>
      <c r="M23" s="32"/>
      <c r="N23" s="32"/>
      <c r="O23" s="33"/>
      <c r="P23" s="32" t="s">
        <v>28</v>
      </c>
      <c r="Q23" s="32" t="s">
        <v>118</v>
      </c>
      <c r="R23" s="35" t="s">
        <v>29</v>
      </c>
      <c r="S23" s="32"/>
      <c r="T23" s="32"/>
      <c r="U23" s="32"/>
      <c r="V23" s="36"/>
      <c r="W23" s="32"/>
      <c r="X23" s="32"/>
      <c r="Y23" s="32"/>
      <c r="Z23" s="32"/>
      <c r="AA23" s="32"/>
      <c r="AB23" s="32"/>
      <c r="AC23" s="32"/>
    </row>
    <row r="24">
      <c r="A24" s="24">
        <v>2016.0</v>
      </c>
      <c r="B24" s="25"/>
      <c r="C24" s="25">
        <v>43960.40247489583</v>
      </c>
      <c r="D24" s="26" t="s">
        <v>119</v>
      </c>
      <c r="E24" s="27">
        <v>1.600016048E9</v>
      </c>
      <c r="F24" s="26" t="s">
        <v>120</v>
      </c>
      <c r="G24" s="28" t="s">
        <v>121</v>
      </c>
      <c r="H24" s="26" t="s">
        <v>122</v>
      </c>
      <c r="I24" s="26" t="s">
        <v>26</v>
      </c>
      <c r="J24" s="29" t="s">
        <v>27</v>
      </c>
      <c r="K24" s="30"/>
      <c r="L24" s="31"/>
      <c r="M24" s="32"/>
      <c r="N24" s="32"/>
      <c r="O24" s="33"/>
      <c r="P24" s="32" t="s">
        <v>123</v>
      </c>
      <c r="Q24" s="39">
        <v>43985.0</v>
      </c>
      <c r="R24" s="35" t="s">
        <v>55</v>
      </c>
      <c r="S24" s="32"/>
      <c r="T24" s="32"/>
      <c r="U24" s="32"/>
      <c r="V24" s="36"/>
      <c r="W24" s="32"/>
      <c r="X24" s="32"/>
      <c r="Y24" s="32"/>
      <c r="Z24" s="32"/>
      <c r="AA24" s="32"/>
      <c r="AB24" s="32"/>
      <c r="AC24" s="32"/>
    </row>
    <row r="25">
      <c r="A25" s="24">
        <v>2016.0</v>
      </c>
      <c r="B25" s="25"/>
      <c r="C25" s="25">
        <v>43962.84094597222</v>
      </c>
      <c r="D25" s="26" t="s">
        <v>124</v>
      </c>
      <c r="E25" s="27">
        <v>1.600016042E9</v>
      </c>
      <c r="F25" s="26" t="s">
        <v>125</v>
      </c>
      <c r="G25" s="28" t="s">
        <v>126</v>
      </c>
      <c r="H25" s="26" t="s">
        <v>127</v>
      </c>
      <c r="I25" s="26" t="s">
        <v>26</v>
      </c>
      <c r="J25" s="29" t="s">
        <v>27</v>
      </c>
      <c r="K25" s="30"/>
      <c r="L25" s="31"/>
      <c r="M25" s="32"/>
      <c r="N25" s="32"/>
      <c r="O25" s="33"/>
      <c r="P25" s="32" t="s">
        <v>128</v>
      </c>
      <c r="Q25" s="39">
        <v>43985.0</v>
      </c>
      <c r="R25" s="35" t="s">
        <v>29</v>
      </c>
      <c r="S25" s="32"/>
      <c r="T25" s="32"/>
      <c r="U25" s="32"/>
      <c r="V25" s="36"/>
      <c r="W25" s="32"/>
      <c r="X25" s="32"/>
      <c r="Y25" s="32"/>
      <c r="Z25" s="32"/>
      <c r="AA25" s="32"/>
      <c r="AB25" s="32"/>
      <c r="AC25" s="32"/>
    </row>
    <row r="26">
      <c r="A26" s="24">
        <v>2016.0</v>
      </c>
      <c r="B26" s="25"/>
      <c r="C26" s="25">
        <v>43963.45623296296</v>
      </c>
      <c r="D26" s="26" t="s">
        <v>129</v>
      </c>
      <c r="E26" s="27">
        <v>1.611016082E9</v>
      </c>
      <c r="F26" s="26" t="s">
        <v>130</v>
      </c>
      <c r="G26" s="28" t="s">
        <v>131</v>
      </c>
      <c r="H26" s="26" t="s">
        <v>132</v>
      </c>
      <c r="I26" s="26" t="s">
        <v>26</v>
      </c>
      <c r="J26" s="29" t="s">
        <v>39</v>
      </c>
      <c r="K26" s="30"/>
      <c r="L26" s="31"/>
      <c r="M26" s="32"/>
      <c r="N26" s="32"/>
      <c r="O26" s="33"/>
      <c r="P26" s="32" t="s">
        <v>72</v>
      </c>
      <c r="Q26" s="32" t="s">
        <v>107</v>
      </c>
      <c r="R26" s="35" t="s">
        <v>55</v>
      </c>
      <c r="S26" s="32"/>
      <c r="T26" s="32"/>
      <c r="U26" s="32"/>
      <c r="V26" s="36"/>
      <c r="W26" s="32"/>
      <c r="X26" s="32"/>
      <c r="Y26" s="32"/>
      <c r="Z26" s="32"/>
      <c r="AA26" s="32"/>
      <c r="AB26" s="32"/>
      <c r="AC26" s="32"/>
    </row>
    <row r="27">
      <c r="A27" s="24">
        <v>2016.0</v>
      </c>
      <c r="B27" s="25"/>
      <c r="C27" s="25">
        <v>43963.48324752315</v>
      </c>
      <c r="D27" s="26" t="s">
        <v>133</v>
      </c>
      <c r="E27" s="27">
        <v>1.600016076E9</v>
      </c>
      <c r="F27" s="26" t="s">
        <v>134</v>
      </c>
      <c r="G27" s="28" t="s">
        <v>135</v>
      </c>
      <c r="H27" s="26" t="s">
        <v>136</v>
      </c>
      <c r="I27" s="26" t="s">
        <v>26</v>
      </c>
      <c r="J27" s="29" t="s">
        <v>27</v>
      </c>
      <c r="K27" s="30"/>
      <c r="L27" s="31"/>
      <c r="M27" s="32"/>
      <c r="N27" s="32"/>
      <c r="O27" s="33"/>
      <c r="P27" s="32" t="s">
        <v>28</v>
      </c>
      <c r="Q27" s="32" t="s">
        <v>107</v>
      </c>
      <c r="R27" s="35" t="s">
        <v>34</v>
      </c>
      <c r="S27" s="32"/>
      <c r="T27" s="32"/>
      <c r="U27" s="32"/>
      <c r="V27" s="36"/>
      <c r="W27" s="32"/>
      <c r="X27" s="32"/>
      <c r="Y27" s="32"/>
      <c r="Z27" s="32"/>
      <c r="AA27" s="32"/>
      <c r="AB27" s="32"/>
      <c r="AC27" s="32"/>
    </row>
    <row r="28">
      <c r="A28" s="24">
        <v>2016.0</v>
      </c>
      <c r="B28" s="25"/>
      <c r="C28" s="25">
        <v>43963.60379026621</v>
      </c>
      <c r="D28" s="26" t="s">
        <v>137</v>
      </c>
      <c r="E28" s="27">
        <v>1.600016086E9</v>
      </c>
      <c r="F28" s="26" t="s">
        <v>138</v>
      </c>
      <c r="G28" s="28" t="s">
        <v>139</v>
      </c>
      <c r="H28" s="26" t="s">
        <v>140</v>
      </c>
      <c r="I28" s="26" t="s">
        <v>26</v>
      </c>
      <c r="J28" s="29" t="s">
        <v>39</v>
      </c>
      <c r="K28" s="30"/>
      <c r="L28" s="31"/>
      <c r="M28" s="32"/>
      <c r="N28" s="32"/>
      <c r="O28" s="33"/>
      <c r="P28" s="32" t="s">
        <v>72</v>
      </c>
      <c r="Q28" s="32" t="s">
        <v>118</v>
      </c>
      <c r="R28" s="35" t="s">
        <v>34</v>
      </c>
      <c r="S28" s="32"/>
      <c r="T28" s="32"/>
      <c r="U28" s="32"/>
      <c r="V28" s="36"/>
      <c r="W28" s="32"/>
      <c r="X28" s="32"/>
      <c r="Y28" s="32"/>
      <c r="Z28" s="32"/>
      <c r="AA28" s="32"/>
      <c r="AB28" s="32"/>
      <c r="AC28" s="32"/>
    </row>
    <row r="29">
      <c r="A29" s="24">
        <v>2016.0</v>
      </c>
      <c r="B29" s="25"/>
      <c r="C29" s="25">
        <v>43964.521087037036</v>
      </c>
      <c r="D29" s="26" t="s">
        <v>141</v>
      </c>
      <c r="E29" s="27">
        <v>1.600016044E9</v>
      </c>
      <c r="F29" s="26" t="s">
        <v>142</v>
      </c>
      <c r="G29" s="28" t="s">
        <v>143</v>
      </c>
      <c r="H29" s="26" t="s">
        <v>144</v>
      </c>
      <c r="I29" s="26" t="s">
        <v>26</v>
      </c>
      <c r="J29" s="29" t="s">
        <v>27</v>
      </c>
      <c r="K29" s="30"/>
      <c r="L29" s="31"/>
      <c r="M29" s="32"/>
      <c r="N29" s="32"/>
      <c r="O29" s="33"/>
      <c r="P29" s="32" t="s">
        <v>128</v>
      </c>
      <c r="Q29" s="34">
        <v>43985.0</v>
      </c>
      <c r="R29" s="35" t="s">
        <v>34</v>
      </c>
      <c r="S29" s="32"/>
      <c r="T29" s="32"/>
      <c r="U29" s="32"/>
      <c r="V29" s="36"/>
      <c r="W29" s="32"/>
      <c r="X29" s="32"/>
      <c r="Y29" s="32"/>
      <c r="Z29" s="32"/>
      <c r="AA29" s="32"/>
      <c r="AB29" s="32"/>
      <c r="AC29" s="32"/>
    </row>
    <row r="30">
      <c r="A30" s="24">
        <v>2016.0</v>
      </c>
      <c r="B30" s="25"/>
      <c r="C30" s="25">
        <v>43964.77080252315</v>
      </c>
      <c r="D30" s="26" t="s">
        <v>145</v>
      </c>
      <c r="E30" s="27">
        <v>1.600016036E9</v>
      </c>
      <c r="F30" s="26" t="s">
        <v>146</v>
      </c>
      <c r="G30" s="28" t="s">
        <v>147</v>
      </c>
      <c r="H30" s="26" t="s">
        <v>148</v>
      </c>
      <c r="I30" s="26" t="s">
        <v>26</v>
      </c>
      <c r="J30" s="29" t="s">
        <v>27</v>
      </c>
      <c r="K30" s="30"/>
      <c r="L30" s="31"/>
      <c r="M30" s="32"/>
      <c r="N30" s="32"/>
      <c r="O30" s="33"/>
      <c r="P30" s="32" t="s">
        <v>28</v>
      </c>
      <c r="Q30" s="32" t="s">
        <v>149</v>
      </c>
      <c r="R30" s="35" t="s">
        <v>34</v>
      </c>
      <c r="S30" s="32"/>
      <c r="T30" s="32"/>
      <c r="U30" s="32"/>
      <c r="V30" s="36"/>
      <c r="W30" s="32"/>
      <c r="X30" s="32"/>
      <c r="Y30" s="32"/>
      <c r="Z30" s="32"/>
      <c r="AA30" s="32"/>
      <c r="AB30" s="32"/>
      <c r="AC30" s="32"/>
    </row>
    <row r="31">
      <c r="A31" s="24">
        <v>2016.0</v>
      </c>
      <c r="B31" s="25"/>
      <c r="C31" s="25">
        <v>43964.88315981481</v>
      </c>
      <c r="D31" s="26" t="s">
        <v>150</v>
      </c>
      <c r="E31" s="27">
        <v>1.600016097E9</v>
      </c>
      <c r="F31" s="26" t="s">
        <v>151</v>
      </c>
      <c r="G31" s="28" t="s">
        <v>152</v>
      </c>
      <c r="H31" s="26" t="s">
        <v>153</v>
      </c>
      <c r="I31" s="26" t="s">
        <v>26</v>
      </c>
      <c r="J31" s="29" t="s">
        <v>27</v>
      </c>
      <c r="K31" s="30"/>
      <c r="L31" s="31"/>
      <c r="M31" s="32"/>
      <c r="N31" s="32"/>
      <c r="O31" s="33"/>
      <c r="P31" s="32" t="s">
        <v>154</v>
      </c>
      <c r="Q31" s="32" t="s">
        <v>118</v>
      </c>
      <c r="R31" s="35" t="s">
        <v>55</v>
      </c>
      <c r="S31" s="32"/>
      <c r="T31" s="32"/>
      <c r="U31" s="32"/>
      <c r="V31" s="36"/>
      <c r="W31" s="32"/>
      <c r="X31" s="32"/>
      <c r="Y31" s="32"/>
      <c r="Z31" s="32"/>
      <c r="AA31" s="32"/>
      <c r="AB31" s="32"/>
      <c r="AC31" s="32"/>
    </row>
    <row r="32">
      <c r="A32" s="24">
        <v>2016.0</v>
      </c>
      <c r="B32" s="25"/>
      <c r="C32" s="25">
        <v>43964.924459594906</v>
      </c>
      <c r="D32" s="26" t="s">
        <v>155</v>
      </c>
      <c r="E32" s="27">
        <v>1.600016045E9</v>
      </c>
      <c r="F32" s="26" t="s">
        <v>156</v>
      </c>
      <c r="G32" s="26" t="s">
        <v>157</v>
      </c>
      <c r="H32" s="26" t="s">
        <v>158</v>
      </c>
      <c r="I32" s="26" t="s">
        <v>26</v>
      </c>
      <c r="J32" s="29" t="s">
        <v>27</v>
      </c>
      <c r="K32" s="30"/>
      <c r="L32" s="31"/>
      <c r="M32" s="32"/>
      <c r="N32" s="32"/>
      <c r="O32" s="33"/>
      <c r="P32" s="32" t="s">
        <v>97</v>
      </c>
      <c r="Q32" s="32" t="s">
        <v>149</v>
      </c>
      <c r="R32" s="35" t="s">
        <v>55</v>
      </c>
      <c r="S32" s="32"/>
      <c r="T32" s="32"/>
      <c r="U32" s="32"/>
      <c r="V32" s="36"/>
      <c r="W32" s="32"/>
      <c r="X32" s="32"/>
      <c r="Y32" s="32"/>
      <c r="Z32" s="32"/>
      <c r="AA32" s="32"/>
      <c r="AB32" s="32"/>
      <c r="AC32" s="32"/>
    </row>
    <row r="33">
      <c r="A33" s="24">
        <v>2016.0</v>
      </c>
      <c r="B33" s="25"/>
      <c r="C33" s="25">
        <v>43966.24610412037</v>
      </c>
      <c r="D33" s="26" t="s">
        <v>159</v>
      </c>
      <c r="E33" s="27">
        <v>1.600016089E9</v>
      </c>
      <c r="F33" s="26" t="s">
        <v>160</v>
      </c>
      <c r="G33" s="28" t="s">
        <v>161</v>
      </c>
      <c r="H33" s="26" t="s">
        <v>162</v>
      </c>
      <c r="I33" s="26" t="s">
        <v>26</v>
      </c>
      <c r="J33" s="29" t="s">
        <v>39</v>
      </c>
      <c r="K33" s="30"/>
      <c r="L33" s="31"/>
      <c r="M33" s="32"/>
      <c r="N33" s="32"/>
      <c r="O33" s="33"/>
      <c r="P33" s="32" t="s">
        <v>45</v>
      </c>
      <c r="Q33" s="32" t="s">
        <v>163</v>
      </c>
      <c r="R33" s="35" t="s">
        <v>29</v>
      </c>
      <c r="S33" s="32"/>
      <c r="T33" s="32"/>
      <c r="U33" s="32"/>
      <c r="V33" s="36"/>
      <c r="W33" s="32"/>
      <c r="X33" s="32"/>
      <c r="Y33" s="32"/>
      <c r="Z33" s="32"/>
      <c r="AA33" s="32"/>
      <c r="AB33" s="32"/>
      <c r="AC33" s="32"/>
    </row>
    <row r="34">
      <c r="A34" s="24">
        <v>2016.0</v>
      </c>
      <c r="B34" s="25"/>
      <c r="C34" s="25">
        <v>43966.57263283565</v>
      </c>
      <c r="D34" s="26" t="s">
        <v>164</v>
      </c>
      <c r="E34" s="27">
        <v>1.600016021E9</v>
      </c>
      <c r="F34" s="26" t="s">
        <v>165</v>
      </c>
      <c r="G34" s="28" t="s">
        <v>166</v>
      </c>
      <c r="H34" s="26" t="s">
        <v>167</v>
      </c>
      <c r="I34" s="26" t="s">
        <v>26</v>
      </c>
      <c r="J34" s="29" t="s">
        <v>27</v>
      </c>
      <c r="K34" s="30"/>
      <c r="L34" s="31"/>
      <c r="M34" s="32"/>
      <c r="N34" s="32"/>
      <c r="O34" s="33"/>
      <c r="P34" s="32" t="s">
        <v>97</v>
      </c>
      <c r="Q34" s="32" t="s">
        <v>168</v>
      </c>
      <c r="R34" s="35" t="s">
        <v>29</v>
      </c>
      <c r="S34" s="32"/>
      <c r="T34" s="32"/>
      <c r="U34" s="32"/>
      <c r="V34" s="36"/>
      <c r="W34" s="32"/>
      <c r="X34" s="32"/>
      <c r="Y34" s="32"/>
      <c r="Z34" s="32"/>
      <c r="AA34" s="32"/>
      <c r="AB34" s="32"/>
      <c r="AC34" s="32"/>
    </row>
    <row r="35">
      <c r="A35" s="24">
        <v>2016.0</v>
      </c>
      <c r="B35" s="25"/>
      <c r="C35" s="25">
        <v>43966.64150442129</v>
      </c>
      <c r="D35" s="26" t="s">
        <v>169</v>
      </c>
      <c r="E35" s="27">
        <v>1.600016034E9</v>
      </c>
      <c r="F35" s="26" t="s">
        <v>170</v>
      </c>
      <c r="G35" s="28" t="s">
        <v>171</v>
      </c>
      <c r="H35" s="26" t="s">
        <v>172</v>
      </c>
      <c r="I35" s="26" t="s">
        <v>26</v>
      </c>
      <c r="J35" s="29" t="s">
        <v>27</v>
      </c>
      <c r="K35" s="30"/>
      <c r="L35" s="31"/>
      <c r="M35" s="32"/>
      <c r="N35" s="32"/>
      <c r="O35" s="33"/>
      <c r="P35" s="32" t="s">
        <v>154</v>
      </c>
      <c r="Q35" s="32" t="s">
        <v>173</v>
      </c>
      <c r="R35" s="35" t="s">
        <v>29</v>
      </c>
      <c r="S35" s="32"/>
      <c r="T35" s="32"/>
      <c r="U35" s="32"/>
      <c r="V35" s="36"/>
      <c r="W35" s="32"/>
      <c r="X35" s="32"/>
      <c r="Y35" s="32"/>
      <c r="Z35" s="32"/>
      <c r="AA35" s="32"/>
      <c r="AB35" s="32"/>
      <c r="AC35" s="32"/>
    </row>
    <row r="36">
      <c r="A36" s="24">
        <v>2016.0</v>
      </c>
      <c r="B36" s="25"/>
      <c r="C36" s="25">
        <v>43966.66845627315</v>
      </c>
      <c r="D36" s="26" t="s">
        <v>174</v>
      </c>
      <c r="E36" s="27">
        <v>1.600016074E9</v>
      </c>
      <c r="F36" s="26" t="s">
        <v>175</v>
      </c>
      <c r="G36" s="28" t="s">
        <v>176</v>
      </c>
      <c r="H36" s="26" t="s">
        <v>177</v>
      </c>
      <c r="I36" s="26" t="s">
        <v>26</v>
      </c>
      <c r="J36" s="29" t="s">
        <v>39</v>
      </c>
      <c r="K36" s="30"/>
      <c r="L36" s="31"/>
      <c r="M36" s="32"/>
      <c r="N36" s="32"/>
      <c r="O36" s="33"/>
      <c r="P36" s="32" t="s">
        <v>45</v>
      </c>
      <c r="Q36" s="32" t="s">
        <v>173</v>
      </c>
      <c r="R36" s="35" t="s">
        <v>178</v>
      </c>
      <c r="S36" s="32"/>
      <c r="T36" s="32"/>
      <c r="U36" s="32"/>
      <c r="V36" s="36"/>
      <c r="W36" s="32"/>
      <c r="X36" s="32"/>
      <c r="Y36" s="32"/>
      <c r="Z36" s="32"/>
      <c r="AA36" s="32"/>
      <c r="AB36" s="32"/>
      <c r="AC36" s="32"/>
    </row>
    <row r="37">
      <c r="A37" s="24">
        <v>2016.0</v>
      </c>
      <c r="B37" s="25"/>
      <c r="C37" s="25">
        <v>43966.846297870376</v>
      </c>
      <c r="D37" s="26" t="s">
        <v>179</v>
      </c>
      <c r="E37" s="27">
        <v>1.600016046E9</v>
      </c>
      <c r="F37" s="26" t="s">
        <v>180</v>
      </c>
      <c r="G37" s="28" t="s">
        <v>181</v>
      </c>
      <c r="H37" s="26" t="s">
        <v>182</v>
      </c>
      <c r="I37" s="26" t="s">
        <v>26</v>
      </c>
      <c r="J37" s="26" t="s">
        <v>183</v>
      </c>
      <c r="K37" s="30"/>
      <c r="L37" s="31"/>
      <c r="M37" s="32"/>
      <c r="N37" s="32"/>
      <c r="O37" s="33"/>
      <c r="P37" s="32" t="s">
        <v>128</v>
      </c>
      <c r="Q37" s="32" t="s">
        <v>184</v>
      </c>
      <c r="R37" s="35" t="s">
        <v>29</v>
      </c>
      <c r="S37" s="32"/>
      <c r="T37" s="32"/>
      <c r="U37" s="32"/>
      <c r="V37" s="36"/>
      <c r="W37" s="32"/>
      <c r="X37" s="32"/>
      <c r="Y37" s="32"/>
      <c r="Z37" s="32"/>
      <c r="AA37" s="32"/>
      <c r="AB37" s="32"/>
      <c r="AC37" s="32"/>
    </row>
    <row r="38">
      <c r="A38" s="24">
        <v>2016.0</v>
      </c>
      <c r="B38" s="25"/>
      <c r="C38" s="25">
        <v>43967.81792923612</v>
      </c>
      <c r="D38" s="26" t="s">
        <v>185</v>
      </c>
      <c r="E38" s="27">
        <v>1.600016085E9</v>
      </c>
      <c r="F38" s="26" t="s">
        <v>186</v>
      </c>
      <c r="G38" s="28" t="s">
        <v>187</v>
      </c>
      <c r="H38" s="26" t="s">
        <v>188</v>
      </c>
      <c r="I38" s="26" t="s">
        <v>26</v>
      </c>
      <c r="J38" s="29" t="s">
        <v>27</v>
      </c>
      <c r="K38" s="30"/>
      <c r="L38" s="31"/>
      <c r="M38" s="32"/>
      <c r="N38" s="32"/>
      <c r="O38" s="33"/>
      <c r="P38" s="32" t="s">
        <v>123</v>
      </c>
      <c r="Q38" s="32" t="s">
        <v>173</v>
      </c>
      <c r="R38" s="35" t="s">
        <v>178</v>
      </c>
      <c r="S38" s="32"/>
      <c r="T38" s="32"/>
      <c r="U38" s="32"/>
      <c r="V38" s="36"/>
      <c r="W38" s="32"/>
      <c r="X38" s="32"/>
      <c r="Y38" s="32"/>
      <c r="Z38" s="32"/>
      <c r="AA38" s="32"/>
      <c r="AB38" s="32"/>
      <c r="AC38" s="32"/>
    </row>
    <row r="39">
      <c r="A39" s="24">
        <v>2016.0</v>
      </c>
      <c r="B39" s="25"/>
      <c r="C39" s="25">
        <v>43967.81818321759</v>
      </c>
      <c r="D39" s="26" t="s">
        <v>189</v>
      </c>
      <c r="E39" s="27">
        <v>1.600016069E9</v>
      </c>
      <c r="F39" s="26" t="s">
        <v>190</v>
      </c>
      <c r="G39" s="28" t="s">
        <v>191</v>
      </c>
      <c r="H39" s="26" t="s">
        <v>192</v>
      </c>
      <c r="I39" s="26" t="s">
        <v>26</v>
      </c>
      <c r="J39" s="29" t="s">
        <v>27</v>
      </c>
      <c r="K39" s="30"/>
      <c r="L39" s="31"/>
      <c r="M39" s="32"/>
      <c r="N39" s="32"/>
      <c r="O39" s="33"/>
      <c r="P39" s="32" t="s">
        <v>28</v>
      </c>
      <c r="Q39" s="32" t="s">
        <v>173</v>
      </c>
      <c r="R39" s="35" t="s">
        <v>34</v>
      </c>
      <c r="S39" s="32"/>
      <c r="T39" s="32"/>
      <c r="U39" s="32"/>
      <c r="V39" s="36"/>
      <c r="W39" s="32"/>
      <c r="X39" s="32"/>
      <c r="Y39" s="32"/>
      <c r="Z39" s="32"/>
      <c r="AA39" s="32"/>
      <c r="AB39" s="32"/>
      <c r="AC39" s="32"/>
    </row>
    <row r="40">
      <c r="A40" s="24">
        <v>2016.0</v>
      </c>
      <c r="B40" s="25"/>
      <c r="C40" s="25">
        <v>43969.60687664352</v>
      </c>
      <c r="D40" s="26" t="s">
        <v>193</v>
      </c>
      <c r="E40" s="27">
        <v>1.600016077E9</v>
      </c>
      <c r="F40" s="26" t="s">
        <v>194</v>
      </c>
      <c r="G40" s="28" t="s">
        <v>195</v>
      </c>
      <c r="H40" s="26" t="s">
        <v>196</v>
      </c>
      <c r="I40" s="26" t="s">
        <v>26</v>
      </c>
      <c r="J40" s="26" t="s">
        <v>183</v>
      </c>
      <c r="K40" s="30"/>
      <c r="L40" s="31"/>
      <c r="M40" s="32"/>
      <c r="N40" s="32"/>
      <c r="O40" s="33"/>
      <c r="P40" s="32" t="s">
        <v>197</v>
      </c>
      <c r="Q40" s="32" t="s">
        <v>173</v>
      </c>
      <c r="R40" s="35" t="s">
        <v>34</v>
      </c>
      <c r="S40" s="32"/>
      <c r="T40" s="32"/>
      <c r="U40" s="32"/>
      <c r="V40" s="36"/>
      <c r="W40" s="32"/>
      <c r="X40" s="32"/>
      <c r="Y40" s="32"/>
      <c r="Z40" s="32"/>
      <c r="AA40" s="32"/>
      <c r="AB40" s="32"/>
      <c r="AC40" s="32"/>
    </row>
    <row r="41">
      <c r="A41" s="24">
        <v>2016.0</v>
      </c>
      <c r="B41" s="25"/>
      <c r="C41" s="25">
        <v>43970.90688869213</v>
      </c>
      <c r="D41" s="26" t="s">
        <v>198</v>
      </c>
      <c r="E41" s="27">
        <v>1.600016007E9</v>
      </c>
      <c r="F41" s="26" t="s">
        <v>199</v>
      </c>
      <c r="G41" s="28" t="s">
        <v>200</v>
      </c>
      <c r="H41" s="26" t="s">
        <v>201</v>
      </c>
      <c r="I41" s="26" t="s">
        <v>26</v>
      </c>
      <c r="J41" s="29" t="s">
        <v>27</v>
      </c>
      <c r="K41" s="30"/>
      <c r="L41" s="31"/>
      <c r="M41" s="32"/>
      <c r="N41" s="32"/>
      <c r="O41" s="33"/>
      <c r="P41" s="32" t="s">
        <v>45</v>
      </c>
      <c r="Q41" s="32" t="s">
        <v>173</v>
      </c>
      <c r="R41" s="35" t="s">
        <v>202</v>
      </c>
      <c r="S41" s="32"/>
      <c r="T41" s="32"/>
      <c r="U41" s="32"/>
      <c r="V41" s="36"/>
      <c r="W41" s="32"/>
      <c r="X41" s="32"/>
      <c r="Y41" s="32"/>
      <c r="Z41" s="32"/>
      <c r="AA41" s="32"/>
      <c r="AB41" s="32"/>
      <c r="AC41" s="32"/>
    </row>
    <row r="42">
      <c r="A42" s="24">
        <v>2016.0</v>
      </c>
      <c r="B42" s="25"/>
      <c r="C42" s="25">
        <v>43971.64345392361</v>
      </c>
      <c r="D42" s="26" t="s">
        <v>203</v>
      </c>
      <c r="E42" s="27">
        <v>1.60001609E9</v>
      </c>
      <c r="F42" s="26" t="s">
        <v>204</v>
      </c>
      <c r="G42" s="28" t="s">
        <v>205</v>
      </c>
      <c r="H42" s="26" t="s">
        <v>206</v>
      </c>
      <c r="I42" s="26" t="s">
        <v>26</v>
      </c>
      <c r="J42" s="26" t="s">
        <v>183</v>
      </c>
      <c r="K42" s="30"/>
      <c r="L42" s="31"/>
      <c r="M42" s="32"/>
      <c r="N42" s="32"/>
      <c r="O42" s="33"/>
      <c r="P42" s="32" t="s">
        <v>154</v>
      </c>
      <c r="Q42" s="32" t="s">
        <v>173</v>
      </c>
      <c r="R42" s="35" t="s">
        <v>178</v>
      </c>
      <c r="S42" s="32"/>
      <c r="T42" s="32"/>
      <c r="U42" s="32"/>
      <c r="V42" s="36"/>
      <c r="W42" s="32"/>
      <c r="X42" s="32"/>
      <c r="Y42" s="32"/>
      <c r="Z42" s="32"/>
      <c r="AA42" s="32"/>
      <c r="AB42" s="32"/>
      <c r="AC42" s="32"/>
    </row>
    <row r="43">
      <c r="A43" s="24">
        <v>2016.0</v>
      </c>
      <c r="B43" s="25"/>
      <c r="C43" s="25">
        <v>43976.51907303241</v>
      </c>
      <c r="D43" s="26" t="s">
        <v>207</v>
      </c>
      <c r="E43" s="27">
        <v>1.600016028E9</v>
      </c>
      <c r="F43" s="26" t="s">
        <v>208</v>
      </c>
      <c r="G43" s="28" t="s">
        <v>209</v>
      </c>
      <c r="H43" s="26" t="s">
        <v>210</v>
      </c>
      <c r="I43" s="26" t="s">
        <v>26</v>
      </c>
      <c r="J43" s="26" t="s">
        <v>183</v>
      </c>
      <c r="K43" s="30"/>
      <c r="L43" s="31"/>
      <c r="M43" s="32"/>
      <c r="N43" s="32"/>
      <c r="O43" s="33"/>
      <c r="P43" s="32" t="s">
        <v>128</v>
      </c>
      <c r="Q43" s="32" t="s">
        <v>184</v>
      </c>
      <c r="R43" s="35" t="s">
        <v>178</v>
      </c>
      <c r="S43" s="32"/>
      <c r="T43" s="32"/>
      <c r="U43" s="32"/>
      <c r="V43" s="36"/>
      <c r="W43" s="32"/>
      <c r="X43" s="32"/>
      <c r="Y43" s="32"/>
      <c r="Z43" s="32"/>
      <c r="AA43" s="32"/>
      <c r="AB43" s="32"/>
      <c r="AC43" s="32"/>
    </row>
    <row r="44">
      <c r="A44" s="24">
        <v>2016.0</v>
      </c>
      <c r="B44" s="25"/>
      <c r="C44" s="25">
        <v>43977.51320829861</v>
      </c>
      <c r="D44" s="26" t="s">
        <v>211</v>
      </c>
      <c r="E44" s="27">
        <v>1.600016033E9</v>
      </c>
      <c r="F44" s="26" t="s">
        <v>212</v>
      </c>
      <c r="G44" s="28" t="s">
        <v>213</v>
      </c>
      <c r="H44" s="26" t="s">
        <v>214</v>
      </c>
      <c r="I44" s="26" t="s">
        <v>26</v>
      </c>
      <c r="J44" s="29" t="s">
        <v>27</v>
      </c>
      <c r="K44" s="30"/>
      <c r="L44" s="31"/>
      <c r="M44" s="32"/>
      <c r="N44" s="32"/>
      <c r="O44" s="33"/>
      <c r="P44" s="32" t="s">
        <v>45</v>
      </c>
      <c r="Q44" s="32" t="s">
        <v>173</v>
      </c>
      <c r="R44" s="35" t="s">
        <v>55</v>
      </c>
      <c r="S44" s="32"/>
      <c r="T44" s="32"/>
      <c r="U44" s="32"/>
      <c r="V44" s="36"/>
      <c r="W44" s="32"/>
      <c r="X44" s="32"/>
      <c r="Y44" s="32"/>
      <c r="Z44" s="32"/>
      <c r="AA44" s="32"/>
      <c r="AB44" s="32"/>
      <c r="AC44" s="32"/>
    </row>
    <row r="45">
      <c r="A45" s="24">
        <v>2016.0</v>
      </c>
      <c r="B45" s="25"/>
      <c r="C45" s="25">
        <v>43987.420455914355</v>
      </c>
      <c r="D45" s="26" t="s">
        <v>215</v>
      </c>
      <c r="E45" s="27">
        <v>1.600016037E9</v>
      </c>
      <c r="F45" s="26" t="s">
        <v>216</v>
      </c>
      <c r="G45" s="28" t="s">
        <v>217</v>
      </c>
      <c r="H45" s="26" t="s">
        <v>218</v>
      </c>
      <c r="I45" s="26" t="s">
        <v>26</v>
      </c>
      <c r="J45" s="29" t="s">
        <v>219</v>
      </c>
      <c r="K45" s="30"/>
      <c r="L45" s="31"/>
      <c r="M45" s="32"/>
      <c r="N45" s="32"/>
      <c r="O45" s="33"/>
      <c r="P45" s="32" t="s">
        <v>97</v>
      </c>
      <c r="Q45" s="32" t="s">
        <v>220</v>
      </c>
      <c r="R45" s="35" t="s">
        <v>221</v>
      </c>
      <c r="S45" s="32"/>
      <c r="T45" s="32"/>
      <c r="U45" s="32"/>
      <c r="V45" s="36"/>
      <c r="W45" s="32"/>
      <c r="X45" s="32"/>
      <c r="Y45" s="32"/>
      <c r="Z45" s="32"/>
      <c r="AA45" s="32"/>
      <c r="AB45" s="32"/>
      <c r="AC45" s="32"/>
    </row>
    <row r="46">
      <c r="A46" s="24">
        <v>2016.0</v>
      </c>
      <c r="B46" s="25"/>
      <c r="C46" s="25">
        <v>43988.51297121528</v>
      </c>
      <c r="D46" s="26" t="s">
        <v>222</v>
      </c>
      <c r="E46" s="27">
        <v>1.600016026E9</v>
      </c>
      <c r="F46" s="26" t="s">
        <v>223</v>
      </c>
      <c r="G46" s="28" t="s">
        <v>224</v>
      </c>
      <c r="H46" s="26" t="s">
        <v>225</v>
      </c>
      <c r="I46" s="26" t="s">
        <v>26</v>
      </c>
      <c r="J46" s="29" t="s">
        <v>27</v>
      </c>
      <c r="K46" s="30"/>
      <c r="L46" s="31"/>
      <c r="M46" s="32"/>
      <c r="N46" s="32"/>
      <c r="O46" s="33"/>
      <c r="P46" s="32" t="s">
        <v>45</v>
      </c>
      <c r="Q46" s="32" t="s">
        <v>184</v>
      </c>
      <c r="R46" s="35" t="s">
        <v>221</v>
      </c>
      <c r="S46" s="32"/>
      <c r="T46" s="32"/>
      <c r="U46" s="32"/>
      <c r="V46" s="36"/>
      <c r="W46" s="32"/>
      <c r="X46" s="32"/>
      <c r="Y46" s="32"/>
      <c r="Z46" s="32"/>
      <c r="AA46" s="32"/>
      <c r="AB46" s="32"/>
      <c r="AC46" s="32"/>
    </row>
    <row r="47">
      <c r="A47" s="24">
        <v>2015.0</v>
      </c>
      <c r="B47" s="25"/>
      <c r="C47" s="25">
        <v>43999.504619618056</v>
      </c>
      <c r="D47" s="26" t="s">
        <v>226</v>
      </c>
      <c r="E47" s="27">
        <v>1.500016037E9</v>
      </c>
      <c r="F47" s="26" t="s">
        <v>227</v>
      </c>
      <c r="G47" s="28" t="s">
        <v>228</v>
      </c>
      <c r="H47" s="26" t="s">
        <v>229</v>
      </c>
      <c r="I47" s="26" t="s">
        <v>26</v>
      </c>
      <c r="J47" s="26" t="s">
        <v>230</v>
      </c>
      <c r="K47" s="30"/>
      <c r="L47" s="31"/>
      <c r="M47" s="32"/>
      <c r="N47" s="32"/>
      <c r="O47" s="33"/>
      <c r="P47" s="32" t="s">
        <v>154</v>
      </c>
      <c r="Q47" s="32" t="s">
        <v>231</v>
      </c>
      <c r="R47" s="35"/>
      <c r="S47" s="32"/>
      <c r="T47" s="32"/>
      <c r="U47" s="32"/>
      <c r="V47" s="36"/>
      <c r="W47" s="32"/>
      <c r="X47" s="32"/>
      <c r="Y47" s="32"/>
      <c r="Z47" s="32"/>
      <c r="AA47" s="32"/>
      <c r="AB47" s="32"/>
      <c r="AC47" s="32"/>
    </row>
    <row r="48">
      <c r="A48" s="24">
        <v>2016.0</v>
      </c>
      <c r="B48" s="25"/>
      <c r="C48" s="25">
        <v>43999.59583424768</v>
      </c>
      <c r="D48" s="26" t="s">
        <v>232</v>
      </c>
      <c r="E48" s="27">
        <v>1.600016051E9</v>
      </c>
      <c r="F48" s="26" t="s">
        <v>233</v>
      </c>
      <c r="G48" s="28" t="s">
        <v>234</v>
      </c>
      <c r="H48" s="26" t="s">
        <v>235</v>
      </c>
      <c r="I48" s="26" t="s">
        <v>26</v>
      </c>
      <c r="J48" s="29" t="s">
        <v>27</v>
      </c>
      <c r="K48" s="30"/>
      <c r="L48" s="31"/>
      <c r="M48" s="32"/>
      <c r="N48" s="32"/>
      <c r="O48" s="33"/>
      <c r="P48" s="32" t="s">
        <v>45</v>
      </c>
      <c r="Q48" s="32" t="s">
        <v>236</v>
      </c>
      <c r="R48" s="35"/>
      <c r="S48" s="32"/>
      <c r="T48" s="32"/>
      <c r="U48" s="32"/>
      <c r="V48" s="36"/>
      <c r="W48" s="32"/>
      <c r="X48" s="32"/>
      <c r="Y48" s="32"/>
      <c r="Z48" s="32"/>
      <c r="AA48" s="32"/>
      <c r="AB48" s="32"/>
      <c r="AC48" s="32"/>
    </row>
    <row r="49">
      <c r="A49" s="24">
        <v>2016.0</v>
      </c>
      <c r="B49" s="25"/>
      <c r="C49" s="25">
        <v>44004.62793700231</v>
      </c>
      <c r="D49" s="26" t="s">
        <v>237</v>
      </c>
      <c r="E49" s="27">
        <v>1.600016027E9</v>
      </c>
      <c r="F49" s="26" t="s">
        <v>238</v>
      </c>
      <c r="G49" s="26" t="s">
        <v>239</v>
      </c>
      <c r="H49" s="26" t="s">
        <v>240</v>
      </c>
      <c r="I49" s="26" t="s">
        <v>26</v>
      </c>
      <c r="J49" s="26" t="s">
        <v>241</v>
      </c>
      <c r="K49" s="30"/>
      <c r="L49" s="31"/>
      <c r="M49" s="32"/>
      <c r="N49" s="32"/>
      <c r="O49" s="33"/>
      <c r="P49" s="32" t="s">
        <v>97</v>
      </c>
      <c r="Q49" s="32" t="s">
        <v>236</v>
      </c>
      <c r="R49" s="35"/>
      <c r="S49" s="32"/>
      <c r="T49" s="32"/>
      <c r="U49" s="32"/>
      <c r="V49" s="36"/>
      <c r="W49" s="32"/>
      <c r="X49" s="32"/>
      <c r="Y49" s="32"/>
      <c r="Z49" s="32"/>
      <c r="AA49" s="32"/>
      <c r="AB49" s="32"/>
      <c r="AC49" s="32"/>
    </row>
    <row r="50">
      <c r="A50" s="24">
        <v>2016.0</v>
      </c>
      <c r="B50" s="25"/>
      <c r="C50" s="25">
        <v>44013.762714571756</v>
      </c>
      <c r="D50" s="26" t="s">
        <v>242</v>
      </c>
      <c r="E50" s="27">
        <v>1.60001602E9</v>
      </c>
      <c r="F50" s="26" t="s">
        <v>243</v>
      </c>
      <c r="G50" s="28" t="s">
        <v>244</v>
      </c>
      <c r="H50" s="26" t="s">
        <v>245</v>
      </c>
      <c r="I50" s="26" t="s">
        <v>26</v>
      </c>
      <c r="J50" s="29" t="s">
        <v>27</v>
      </c>
      <c r="K50" s="30"/>
      <c r="L50" s="31"/>
      <c r="M50" s="32"/>
      <c r="N50" s="32"/>
      <c r="O50" s="33"/>
      <c r="P50" s="32" t="s">
        <v>197</v>
      </c>
      <c r="Q50" s="40">
        <v>44113.0</v>
      </c>
      <c r="R50" s="35"/>
      <c r="S50" s="32"/>
      <c r="T50" s="32"/>
      <c r="U50" s="32"/>
      <c r="V50" s="36"/>
      <c r="W50" s="32"/>
      <c r="X50" s="32"/>
      <c r="Y50" s="32"/>
      <c r="Z50" s="32"/>
      <c r="AA50" s="32"/>
      <c r="AB50" s="32"/>
      <c r="AC50" s="32"/>
    </row>
    <row r="51">
      <c r="A51" s="24">
        <v>2016.0</v>
      </c>
      <c r="B51" s="25"/>
      <c r="C51" s="25">
        <v>44048.83660908564</v>
      </c>
      <c r="D51" s="26" t="s">
        <v>246</v>
      </c>
      <c r="E51" s="27">
        <v>1.600016096E9</v>
      </c>
      <c r="F51" s="26" t="s">
        <v>247</v>
      </c>
      <c r="G51" s="28" t="s">
        <v>248</v>
      </c>
      <c r="H51" s="26" t="s">
        <v>249</v>
      </c>
      <c r="I51" s="26" t="s">
        <v>26</v>
      </c>
      <c r="J51" s="26" t="s">
        <v>117</v>
      </c>
      <c r="K51" s="30"/>
      <c r="L51" s="31"/>
      <c r="M51" s="32"/>
      <c r="N51" s="32"/>
      <c r="O51" s="33"/>
      <c r="P51" s="32" t="s">
        <v>28</v>
      </c>
      <c r="Q51" s="32" t="s">
        <v>250</v>
      </c>
      <c r="R51" s="41">
        <v>13.0</v>
      </c>
      <c r="S51" s="32"/>
      <c r="T51" s="32"/>
      <c r="U51" s="32"/>
      <c r="V51" s="36"/>
      <c r="W51" s="32"/>
      <c r="X51" s="32"/>
      <c r="Y51" s="32"/>
      <c r="Z51" s="32"/>
      <c r="AA51" s="32"/>
      <c r="AB51" s="32"/>
      <c r="AC51" s="32"/>
    </row>
    <row r="52">
      <c r="A52" s="24">
        <v>2016.0</v>
      </c>
      <c r="B52" s="25"/>
      <c r="C52" s="25">
        <v>44050.85157409722</v>
      </c>
      <c r="D52" s="26" t="s">
        <v>251</v>
      </c>
      <c r="E52" s="27">
        <v>1.600016029E9</v>
      </c>
      <c r="F52" s="26" t="s">
        <v>252</v>
      </c>
      <c r="G52" s="28" t="s">
        <v>253</v>
      </c>
      <c r="H52" s="26" t="s">
        <v>254</v>
      </c>
      <c r="I52" s="26" t="s">
        <v>26</v>
      </c>
      <c r="J52" s="26" t="s">
        <v>117</v>
      </c>
      <c r="K52" s="30"/>
      <c r="L52" s="31"/>
      <c r="M52" s="32"/>
      <c r="N52" s="32"/>
      <c r="O52" s="33"/>
      <c r="P52" s="32" t="s">
        <v>97</v>
      </c>
      <c r="Q52" s="32" t="s">
        <v>255</v>
      </c>
      <c r="R52" s="35"/>
      <c r="S52" s="32"/>
      <c r="T52" s="32"/>
      <c r="U52" s="32"/>
      <c r="V52" s="36"/>
      <c r="W52" s="32"/>
      <c r="X52" s="32"/>
      <c r="Y52" s="32"/>
      <c r="Z52" s="32"/>
      <c r="AA52" s="32"/>
      <c r="AB52" s="32"/>
      <c r="AC52" s="32"/>
    </row>
    <row r="53">
      <c r="A53" s="24">
        <v>2016.0</v>
      </c>
      <c r="B53" s="25"/>
      <c r="C53" s="25">
        <v>44065.62794268518</v>
      </c>
      <c r="D53" s="26" t="s">
        <v>256</v>
      </c>
      <c r="E53" s="27">
        <v>1.600016011E9</v>
      </c>
      <c r="F53" s="26" t="s">
        <v>257</v>
      </c>
      <c r="G53" s="28" t="s">
        <v>258</v>
      </c>
      <c r="H53" s="26" t="s">
        <v>259</v>
      </c>
      <c r="I53" s="26" t="s">
        <v>26</v>
      </c>
      <c r="J53" s="26" t="s">
        <v>241</v>
      </c>
      <c r="K53" s="30"/>
      <c r="L53" s="31"/>
      <c r="M53" s="32"/>
      <c r="N53" s="32"/>
      <c r="O53" s="33"/>
      <c r="P53" s="32" t="s">
        <v>97</v>
      </c>
      <c r="Q53" s="32" t="s">
        <v>260</v>
      </c>
      <c r="R53" s="35"/>
      <c r="S53" s="32"/>
      <c r="T53" s="32"/>
      <c r="U53" s="32"/>
      <c r="V53" s="36"/>
      <c r="W53" s="32"/>
      <c r="X53" s="32"/>
      <c r="Y53" s="32"/>
      <c r="Z53" s="32"/>
      <c r="AA53" s="32"/>
      <c r="AB53" s="32"/>
      <c r="AC53" s="32"/>
    </row>
    <row r="54">
      <c r="A54" s="24">
        <v>2015.0</v>
      </c>
      <c r="B54" s="25"/>
      <c r="C54" s="25">
        <v>44088.5393605787</v>
      </c>
      <c r="D54" s="26" t="s">
        <v>261</v>
      </c>
      <c r="E54" s="27">
        <v>1.500016048E9</v>
      </c>
      <c r="F54" s="26" t="s">
        <v>262</v>
      </c>
      <c r="G54" s="28" t="s">
        <v>263</v>
      </c>
      <c r="H54" s="26" t="s">
        <v>264</v>
      </c>
      <c r="I54" s="26" t="s">
        <v>26</v>
      </c>
      <c r="J54" s="29" t="s">
        <v>39</v>
      </c>
      <c r="K54" s="30"/>
      <c r="L54" s="31"/>
      <c r="M54" s="32"/>
      <c r="N54" s="32"/>
      <c r="O54" s="33"/>
      <c r="P54" s="32" t="s">
        <v>154</v>
      </c>
      <c r="Q54" s="32"/>
      <c r="R54" s="35" t="s">
        <v>265</v>
      </c>
      <c r="S54" s="32"/>
      <c r="T54" s="32"/>
      <c r="U54" s="32"/>
      <c r="V54" s="36"/>
      <c r="W54" s="32"/>
      <c r="X54" s="32"/>
      <c r="Y54" s="32"/>
      <c r="Z54" s="32"/>
      <c r="AA54" s="32"/>
      <c r="AB54" s="32"/>
      <c r="AC54" s="32"/>
    </row>
    <row r="55">
      <c r="A55" s="24">
        <v>2016.0</v>
      </c>
      <c r="B55" s="25"/>
      <c r="C55" s="25">
        <v>44109.431444664355</v>
      </c>
      <c r="D55" s="26" t="s">
        <v>266</v>
      </c>
      <c r="E55" s="27">
        <v>1.600016088E9</v>
      </c>
      <c r="F55" s="26" t="s">
        <v>267</v>
      </c>
      <c r="G55" s="28" t="s">
        <v>268</v>
      </c>
      <c r="H55" s="26" t="s">
        <v>269</v>
      </c>
      <c r="I55" s="26" t="s">
        <v>26</v>
      </c>
      <c r="J55" s="29" t="s">
        <v>39</v>
      </c>
      <c r="K55" s="30"/>
      <c r="L55" s="31"/>
      <c r="M55" s="32"/>
      <c r="N55" s="32"/>
      <c r="O55" s="33"/>
      <c r="P55" s="32" t="s">
        <v>128</v>
      </c>
      <c r="Q55" s="42" t="s">
        <v>270</v>
      </c>
      <c r="R55" s="35"/>
      <c r="S55" s="32"/>
      <c r="T55" s="43"/>
      <c r="U55" s="43"/>
      <c r="V55" s="44"/>
      <c r="W55" s="43"/>
      <c r="X55" s="43"/>
      <c r="Y55" s="43"/>
      <c r="Z55" s="43"/>
      <c r="AA55" s="43"/>
      <c r="AB55" s="43"/>
      <c r="AC55" s="43"/>
    </row>
    <row r="56">
      <c r="A56" s="24">
        <v>2016.0</v>
      </c>
      <c r="B56" s="25"/>
      <c r="C56" s="25">
        <v>44119.64689217592</v>
      </c>
      <c r="D56" s="26" t="s">
        <v>271</v>
      </c>
      <c r="E56" s="27">
        <v>1.600016053E9</v>
      </c>
      <c r="F56" s="26" t="s">
        <v>272</v>
      </c>
      <c r="G56" s="28" t="s">
        <v>273</v>
      </c>
      <c r="H56" s="26" t="s">
        <v>274</v>
      </c>
      <c r="I56" s="26" t="s">
        <v>26</v>
      </c>
      <c r="J56" s="29" t="s">
        <v>27</v>
      </c>
      <c r="K56" s="30"/>
      <c r="L56" s="31"/>
      <c r="M56" s="32"/>
      <c r="N56" s="32"/>
      <c r="O56" s="33"/>
      <c r="P56" s="32" t="s">
        <v>45</v>
      </c>
      <c r="Q56" s="42" t="s">
        <v>275</v>
      </c>
      <c r="R56" s="35"/>
      <c r="S56" s="32"/>
      <c r="T56" s="43"/>
      <c r="U56" s="43"/>
      <c r="V56" s="44"/>
      <c r="W56" s="43"/>
      <c r="X56" s="43"/>
      <c r="Y56" s="43"/>
      <c r="Z56" s="43"/>
      <c r="AA56" s="43"/>
      <c r="AB56" s="43"/>
      <c r="AC56" s="43"/>
    </row>
    <row r="57">
      <c r="A57" s="24">
        <v>2015.0</v>
      </c>
      <c r="B57" s="25"/>
      <c r="C57" s="25">
        <v>44131.42014322917</v>
      </c>
      <c r="D57" s="26" t="s">
        <v>276</v>
      </c>
      <c r="E57" s="27">
        <v>1.500016019E9</v>
      </c>
      <c r="F57" s="26" t="s">
        <v>277</v>
      </c>
      <c r="G57" s="28" t="s">
        <v>278</v>
      </c>
      <c r="H57" s="26" t="s">
        <v>279</v>
      </c>
      <c r="I57" s="26" t="s">
        <v>26</v>
      </c>
      <c r="J57" s="29" t="s">
        <v>27</v>
      </c>
      <c r="K57" s="30"/>
      <c r="L57" s="31"/>
      <c r="M57" s="32"/>
      <c r="N57" s="32"/>
      <c r="O57" s="33"/>
      <c r="P57" s="45" t="s">
        <v>97</v>
      </c>
      <c r="Q57" s="42" t="s">
        <v>280</v>
      </c>
      <c r="R57" s="35"/>
      <c r="S57" s="32"/>
      <c r="T57" s="32"/>
      <c r="U57" s="32"/>
      <c r="V57" s="36"/>
      <c r="W57" s="32"/>
      <c r="X57" s="32"/>
      <c r="Y57" s="32"/>
      <c r="Z57" s="32"/>
      <c r="AA57" s="32"/>
      <c r="AB57" s="32"/>
      <c r="AC57" s="32"/>
    </row>
    <row r="58">
      <c r="A58" s="24">
        <v>2016.0</v>
      </c>
      <c r="B58" s="25"/>
      <c r="C58" s="25">
        <v>44158.460896041666</v>
      </c>
      <c r="D58" s="26" t="s">
        <v>281</v>
      </c>
      <c r="E58" s="27">
        <v>1.600016013E9</v>
      </c>
      <c r="F58" s="26" t="s">
        <v>282</v>
      </c>
      <c r="G58" s="28" t="s">
        <v>283</v>
      </c>
      <c r="H58" s="26" t="s">
        <v>284</v>
      </c>
      <c r="I58" s="26" t="s">
        <v>26</v>
      </c>
      <c r="J58" s="29" t="s">
        <v>27</v>
      </c>
      <c r="K58" s="30"/>
      <c r="L58" s="31"/>
      <c r="M58" s="32"/>
      <c r="N58" s="32"/>
      <c r="O58" s="33"/>
      <c r="P58" s="45" t="s">
        <v>97</v>
      </c>
      <c r="Q58" s="45" t="s">
        <v>285</v>
      </c>
      <c r="R58" s="35"/>
      <c r="S58" s="32"/>
      <c r="T58" s="32"/>
      <c r="U58" s="32"/>
      <c r="V58" s="36"/>
      <c r="W58" s="32"/>
      <c r="X58" s="32"/>
      <c r="Y58" s="32"/>
      <c r="Z58" s="32"/>
      <c r="AA58" s="32"/>
      <c r="AB58" s="32"/>
      <c r="AC58" s="32"/>
    </row>
    <row r="59">
      <c r="A59" s="24">
        <v>2015.0</v>
      </c>
      <c r="B59" s="25"/>
      <c r="C59" s="25">
        <v>44184.48988851852</v>
      </c>
      <c r="D59" s="26" t="s">
        <v>286</v>
      </c>
      <c r="E59" s="27">
        <v>1.50001602E9</v>
      </c>
      <c r="F59" s="26" t="s">
        <v>287</v>
      </c>
      <c r="G59" s="28" t="s">
        <v>288</v>
      </c>
      <c r="H59" s="26" t="s">
        <v>289</v>
      </c>
      <c r="I59" s="26" t="s">
        <v>26</v>
      </c>
      <c r="J59" s="26" t="s">
        <v>241</v>
      </c>
      <c r="K59" s="30"/>
      <c r="L59" s="31"/>
      <c r="M59" s="32"/>
      <c r="N59" s="32"/>
      <c r="O59" s="33"/>
      <c r="P59" s="45" t="s">
        <v>40</v>
      </c>
      <c r="Q59" s="45" t="s">
        <v>290</v>
      </c>
      <c r="R59" s="35"/>
      <c r="S59" s="32"/>
      <c r="T59" s="32"/>
      <c r="U59" s="32"/>
      <c r="V59" s="36"/>
      <c r="W59" s="32"/>
      <c r="X59" s="32"/>
      <c r="Y59" s="32"/>
      <c r="Z59" s="32"/>
      <c r="AA59" s="32"/>
      <c r="AB59" s="32"/>
      <c r="AC59" s="32"/>
    </row>
    <row r="60">
      <c r="A60" s="24">
        <v>2015.0</v>
      </c>
      <c r="B60" s="25"/>
      <c r="C60" s="25">
        <v>44228.42938777778</v>
      </c>
      <c r="D60" s="26" t="s">
        <v>291</v>
      </c>
      <c r="E60" s="27">
        <v>1.500016034E9</v>
      </c>
      <c r="F60" s="26" t="s">
        <v>292</v>
      </c>
      <c r="G60" s="28" t="s">
        <v>293</v>
      </c>
      <c r="H60" s="26" t="s">
        <v>294</v>
      </c>
      <c r="I60" s="26" t="s">
        <v>26</v>
      </c>
      <c r="J60" s="26" t="s">
        <v>230</v>
      </c>
      <c r="K60" s="30"/>
      <c r="L60" s="31"/>
      <c r="M60" s="32"/>
      <c r="N60" s="32"/>
      <c r="O60" s="33"/>
      <c r="P60" s="45" t="s">
        <v>28</v>
      </c>
      <c r="Q60" s="45" t="s">
        <v>295</v>
      </c>
      <c r="R60" s="35"/>
      <c r="S60" s="32"/>
      <c r="T60" s="32"/>
      <c r="U60" s="32"/>
      <c r="V60" s="36"/>
      <c r="W60" s="32"/>
      <c r="X60" s="32"/>
      <c r="Y60" s="32"/>
      <c r="Z60" s="32"/>
      <c r="AA60" s="32"/>
      <c r="AB60" s="32"/>
      <c r="AC60" s="32"/>
    </row>
    <row r="61">
      <c r="A61" s="24">
        <v>2015.0</v>
      </c>
      <c r="B61" s="25"/>
      <c r="C61" s="25">
        <v>44229.503221562496</v>
      </c>
      <c r="D61" s="26" t="s">
        <v>296</v>
      </c>
      <c r="E61" s="27">
        <v>1.500016007E9</v>
      </c>
      <c r="F61" s="26" t="s">
        <v>297</v>
      </c>
      <c r="G61" s="28" t="s">
        <v>298</v>
      </c>
      <c r="H61" s="26" t="s">
        <v>299</v>
      </c>
      <c r="I61" s="26" t="s">
        <v>26</v>
      </c>
      <c r="J61" s="29" t="s">
        <v>39</v>
      </c>
      <c r="K61" s="30"/>
      <c r="L61" s="31"/>
      <c r="M61" s="32"/>
      <c r="N61" s="32"/>
      <c r="O61" s="33"/>
      <c r="P61" s="45" t="s">
        <v>72</v>
      </c>
      <c r="Q61" s="46" t="s">
        <v>300</v>
      </c>
      <c r="R61" s="35"/>
      <c r="S61" s="32"/>
      <c r="T61" s="32"/>
      <c r="U61" s="32"/>
      <c r="V61" s="36"/>
      <c r="W61" s="32"/>
      <c r="X61" s="32"/>
      <c r="Y61" s="32"/>
      <c r="Z61" s="32"/>
      <c r="AA61" s="32"/>
      <c r="AB61" s="32"/>
      <c r="AC61" s="32"/>
    </row>
    <row r="62">
      <c r="A62" s="24">
        <v>2016.0</v>
      </c>
      <c r="B62" s="25"/>
      <c r="C62" s="25">
        <v>44233.451827488425</v>
      </c>
      <c r="D62" s="26" t="s">
        <v>301</v>
      </c>
      <c r="E62" s="27">
        <v>1.600016108E9</v>
      </c>
      <c r="F62" s="26" t="s">
        <v>302</v>
      </c>
      <c r="G62" s="28" t="s">
        <v>303</v>
      </c>
      <c r="H62" s="26" t="s">
        <v>304</v>
      </c>
      <c r="I62" s="26" t="s">
        <v>26</v>
      </c>
      <c r="J62" s="29" t="s">
        <v>27</v>
      </c>
      <c r="K62" s="30"/>
      <c r="L62" s="31"/>
      <c r="M62" s="32"/>
      <c r="N62" s="32"/>
      <c r="O62" s="33"/>
      <c r="P62" s="45" t="s">
        <v>97</v>
      </c>
      <c r="Q62" s="46" t="s">
        <v>305</v>
      </c>
      <c r="R62" s="35"/>
      <c r="S62" s="32"/>
      <c r="T62" s="32"/>
      <c r="U62" s="32"/>
      <c r="V62" s="36"/>
      <c r="W62" s="32"/>
      <c r="X62" s="32"/>
      <c r="Y62" s="32"/>
      <c r="Z62" s="32"/>
      <c r="AA62" s="32"/>
      <c r="AB62" s="32"/>
      <c r="AC62" s="32"/>
    </row>
    <row r="63">
      <c r="A63" s="24">
        <v>2015.0</v>
      </c>
      <c r="B63" s="25"/>
      <c r="C63" s="25">
        <v>44238.58746782407</v>
      </c>
      <c r="D63" s="26" t="s">
        <v>306</v>
      </c>
      <c r="E63" s="27">
        <v>1.500016026E9</v>
      </c>
      <c r="F63" s="26" t="s">
        <v>307</v>
      </c>
      <c r="G63" s="28" t="s">
        <v>308</v>
      </c>
      <c r="H63" s="26" t="s">
        <v>309</v>
      </c>
      <c r="I63" s="26" t="s">
        <v>26</v>
      </c>
      <c r="J63" s="29" t="s">
        <v>27</v>
      </c>
      <c r="K63" s="30"/>
      <c r="L63" s="31"/>
      <c r="M63" s="32"/>
      <c r="N63" s="32"/>
      <c r="O63" s="33"/>
      <c r="P63" s="45" t="s">
        <v>128</v>
      </c>
      <c r="Q63" s="45" t="s">
        <v>310</v>
      </c>
      <c r="R63" s="35"/>
      <c r="S63" s="32"/>
      <c r="T63" s="32"/>
      <c r="U63" s="32"/>
      <c r="V63" s="36"/>
      <c r="W63" s="32"/>
      <c r="X63" s="32"/>
      <c r="Y63" s="32"/>
      <c r="Z63" s="32"/>
      <c r="AA63" s="32"/>
      <c r="AB63" s="32"/>
      <c r="AC63" s="32"/>
    </row>
    <row r="64">
      <c r="A64" s="47">
        <v>2017.0</v>
      </c>
      <c r="B64" s="25"/>
      <c r="C64" s="25">
        <v>44238.86139146991</v>
      </c>
      <c r="D64" s="26" t="s">
        <v>311</v>
      </c>
      <c r="E64" s="27">
        <v>1.700016088E9</v>
      </c>
      <c r="F64" s="26" t="s">
        <v>312</v>
      </c>
      <c r="G64" s="28" t="s">
        <v>313</v>
      </c>
      <c r="H64" s="26" t="s">
        <v>314</v>
      </c>
      <c r="I64" s="26" t="s">
        <v>26</v>
      </c>
      <c r="J64" s="26" t="s">
        <v>117</v>
      </c>
      <c r="K64" s="48"/>
      <c r="L64" s="48"/>
      <c r="M64" s="32"/>
      <c r="N64" s="32"/>
      <c r="O64" s="33"/>
      <c r="P64" s="45" t="s">
        <v>97</v>
      </c>
      <c r="Q64" s="45" t="s">
        <v>315</v>
      </c>
      <c r="R64" s="35"/>
      <c r="S64" s="32"/>
      <c r="T64" s="32"/>
      <c r="U64" s="32"/>
      <c r="V64" s="49" t="s">
        <v>316</v>
      </c>
      <c r="W64" s="32"/>
      <c r="X64" s="32"/>
      <c r="Y64" s="32"/>
      <c r="Z64" s="32"/>
      <c r="AA64" s="32"/>
      <c r="AB64" s="32"/>
      <c r="AC64" s="32"/>
    </row>
    <row r="65">
      <c r="A65" s="24">
        <v>2015.0</v>
      </c>
      <c r="B65" s="25"/>
      <c r="C65" s="25">
        <v>44251.83424917824</v>
      </c>
      <c r="D65" s="26" t="s">
        <v>317</v>
      </c>
      <c r="E65" s="27">
        <v>1.500016041E9</v>
      </c>
      <c r="F65" s="26" t="s">
        <v>318</v>
      </c>
      <c r="G65" s="28" t="s">
        <v>319</v>
      </c>
      <c r="H65" s="26" t="s">
        <v>320</v>
      </c>
      <c r="I65" s="26" t="s">
        <v>26</v>
      </c>
      <c r="J65" s="26" t="s">
        <v>230</v>
      </c>
      <c r="K65" s="30"/>
      <c r="L65" s="31"/>
      <c r="M65" s="32"/>
      <c r="N65" s="32"/>
      <c r="O65" s="33"/>
      <c r="P65" s="45" t="s">
        <v>128</v>
      </c>
      <c r="Q65" s="45" t="s">
        <v>321</v>
      </c>
      <c r="R65" s="35"/>
      <c r="S65" s="32"/>
      <c r="T65" s="43"/>
      <c r="U65" s="43"/>
      <c r="V65" s="50" t="s">
        <v>316</v>
      </c>
      <c r="W65" s="43"/>
      <c r="X65" s="43"/>
      <c r="Y65" s="43"/>
      <c r="Z65" s="43"/>
      <c r="AA65" s="43"/>
      <c r="AB65" s="43"/>
      <c r="AC65" s="43"/>
    </row>
    <row r="66">
      <c r="A66" s="24">
        <v>2016.0</v>
      </c>
      <c r="B66" s="25"/>
      <c r="C66" s="25">
        <v>44254.66399417824</v>
      </c>
      <c r="D66" s="26" t="s">
        <v>322</v>
      </c>
      <c r="E66" s="27">
        <v>1.600016006E9</v>
      </c>
      <c r="F66" s="26" t="s">
        <v>323</v>
      </c>
      <c r="G66" s="28" t="s">
        <v>324</v>
      </c>
      <c r="H66" s="26" t="s">
        <v>325</v>
      </c>
      <c r="I66" s="26" t="s">
        <v>26</v>
      </c>
      <c r="J66" s="29" t="s">
        <v>39</v>
      </c>
      <c r="K66" s="30"/>
      <c r="L66" s="31"/>
      <c r="M66" s="32"/>
      <c r="N66" s="32"/>
      <c r="O66" s="33"/>
      <c r="P66" s="45" t="s">
        <v>40</v>
      </c>
      <c r="Q66" s="45" t="s">
        <v>326</v>
      </c>
      <c r="R66" s="35"/>
      <c r="S66" s="32"/>
      <c r="T66" s="43"/>
      <c r="U66" s="43"/>
      <c r="V66" s="50" t="s">
        <v>316</v>
      </c>
      <c r="W66" s="43"/>
      <c r="X66" s="43"/>
      <c r="Y66" s="43"/>
      <c r="Z66" s="43"/>
      <c r="AA66" s="43"/>
      <c r="AB66" s="43"/>
      <c r="AC66" s="43"/>
    </row>
    <row r="67">
      <c r="A67" s="15">
        <v>0.0</v>
      </c>
      <c r="B67" s="16"/>
      <c r="C67" s="16" t="s">
        <v>1</v>
      </c>
      <c r="D67" s="16" t="s">
        <v>2</v>
      </c>
      <c r="E67" s="17" t="s">
        <v>3</v>
      </c>
      <c r="F67" s="16" t="s">
        <v>4</v>
      </c>
      <c r="G67" s="16" t="s">
        <v>5</v>
      </c>
      <c r="H67" s="16" t="s">
        <v>6</v>
      </c>
      <c r="I67" s="16" t="s">
        <v>7</v>
      </c>
      <c r="J67" s="16" t="s">
        <v>8</v>
      </c>
      <c r="K67" s="16"/>
      <c r="L67" s="18"/>
      <c r="M67" s="19"/>
      <c r="N67" s="19"/>
      <c r="O67" s="20" t="s">
        <v>10</v>
      </c>
      <c r="P67" s="19" t="s">
        <v>20</v>
      </c>
      <c r="Q67" s="19" t="s">
        <v>12</v>
      </c>
      <c r="R67" s="51"/>
      <c r="S67" s="19"/>
      <c r="T67" s="22"/>
      <c r="U67" s="22"/>
      <c r="V67" s="52" t="s">
        <v>316</v>
      </c>
      <c r="W67" s="22"/>
      <c r="X67" s="22"/>
      <c r="Y67" s="22"/>
      <c r="Z67" s="22"/>
      <c r="AA67" s="22"/>
      <c r="AB67" s="22"/>
      <c r="AC67" s="22"/>
    </row>
    <row r="68">
      <c r="A68" s="24">
        <v>2016.0</v>
      </c>
      <c r="B68" s="53"/>
      <c r="C68" s="53">
        <v>44281.784677777774</v>
      </c>
      <c r="D68" s="54" t="s">
        <v>327</v>
      </c>
      <c r="E68" s="55">
        <v>1.60201608E9</v>
      </c>
      <c r="F68" s="54" t="s">
        <v>328</v>
      </c>
      <c r="G68" s="56" t="s">
        <v>329</v>
      </c>
      <c r="H68" s="54" t="s">
        <v>330</v>
      </c>
      <c r="I68" s="54" t="s">
        <v>26</v>
      </c>
      <c r="J68" s="54" t="s">
        <v>183</v>
      </c>
      <c r="K68" s="57"/>
      <c r="L68" s="58"/>
      <c r="M68" s="32"/>
      <c r="N68" s="32"/>
      <c r="O68" s="59" t="s">
        <v>123</v>
      </c>
      <c r="P68" s="32"/>
      <c r="Q68" s="32"/>
      <c r="R68" s="35"/>
      <c r="S68" s="32"/>
      <c r="T68" s="43"/>
      <c r="U68" s="43"/>
      <c r="V68" s="50" t="s">
        <v>316</v>
      </c>
      <c r="W68" s="43"/>
      <c r="X68" s="43"/>
      <c r="Y68" s="43"/>
      <c r="Z68" s="43"/>
      <c r="AA68" s="43"/>
      <c r="AB68" s="43"/>
      <c r="AC68" s="43"/>
    </row>
    <row r="69">
      <c r="A69" s="47">
        <v>2017.0</v>
      </c>
      <c r="B69" s="53"/>
      <c r="C69" s="53">
        <v>44287.188832569445</v>
      </c>
      <c r="D69" s="54" t="s">
        <v>331</v>
      </c>
      <c r="E69" s="55">
        <v>1.700016051E9</v>
      </c>
      <c r="F69" s="54" t="s">
        <v>332</v>
      </c>
      <c r="G69" s="56" t="s">
        <v>333</v>
      </c>
      <c r="H69" s="54" t="s">
        <v>334</v>
      </c>
      <c r="I69" s="54" t="s">
        <v>26</v>
      </c>
      <c r="J69" s="60" t="s">
        <v>27</v>
      </c>
      <c r="K69" s="61"/>
      <c r="L69" s="61"/>
      <c r="M69" s="32"/>
      <c r="N69" s="32"/>
      <c r="O69" s="62" t="s">
        <v>28</v>
      </c>
      <c r="P69" s="32"/>
      <c r="Q69" s="32"/>
      <c r="R69" s="35"/>
      <c r="S69" s="32"/>
      <c r="T69" s="43"/>
      <c r="U69" s="43"/>
      <c r="V69" s="50" t="s">
        <v>316</v>
      </c>
      <c r="W69" s="43"/>
      <c r="X69" s="43"/>
      <c r="Y69" s="43"/>
      <c r="Z69" s="43"/>
      <c r="AA69" s="43"/>
      <c r="AB69" s="43"/>
      <c r="AC69" s="43"/>
    </row>
    <row r="70">
      <c r="A70" s="47">
        <v>2017.0</v>
      </c>
      <c r="B70" s="53"/>
      <c r="C70" s="53">
        <v>44283.87948847222</v>
      </c>
      <c r="D70" s="54" t="s">
        <v>335</v>
      </c>
      <c r="E70" s="55">
        <v>1.700016061E9</v>
      </c>
      <c r="F70" s="54" t="s">
        <v>336</v>
      </c>
      <c r="G70" s="56" t="s">
        <v>337</v>
      </c>
      <c r="H70" s="54" t="s">
        <v>338</v>
      </c>
      <c r="I70" s="54" t="s">
        <v>26</v>
      </c>
      <c r="J70" s="60" t="s">
        <v>27</v>
      </c>
      <c r="K70" s="61"/>
      <c r="L70" s="61"/>
      <c r="M70" s="32"/>
      <c r="N70" s="32"/>
      <c r="O70" s="63" t="s">
        <v>339</v>
      </c>
      <c r="P70" s="32"/>
      <c r="Q70" s="32"/>
      <c r="R70" s="35"/>
      <c r="S70" s="32"/>
      <c r="T70" s="43"/>
      <c r="U70" s="43"/>
      <c r="V70" s="50" t="s">
        <v>316</v>
      </c>
      <c r="W70" s="43"/>
      <c r="X70" s="43"/>
      <c r="Y70" s="43"/>
      <c r="Z70" s="43"/>
      <c r="AA70" s="43"/>
      <c r="AB70" s="43"/>
      <c r="AC70" s="43"/>
    </row>
    <row r="71">
      <c r="A71" s="24">
        <v>2015.0</v>
      </c>
      <c r="B71" s="53"/>
      <c r="C71" s="53">
        <v>44284.03082824074</v>
      </c>
      <c r="D71" s="54" t="s">
        <v>340</v>
      </c>
      <c r="E71" s="55">
        <v>1.500016059E9</v>
      </c>
      <c r="F71" s="54" t="s">
        <v>341</v>
      </c>
      <c r="G71" s="54"/>
      <c r="H71" s="54" t="s">
        <v>342</v>
      </c>
      <c r="I71" s="54" t="s">
        <v>26</v>
      </c>
      <c r="J71" s="60" t="s">
        <v>27</v>
      </c>
      <c r="K71" s="57"/>
      <c r="L71" s="58"/>
      <c r="M71" s="32"/>
      <c r="N71" s="32"/>
      <c r="O71" s="63" t="s">
        <v>339</v>
      </c>
      <c r="P71" s="32"/>
      <c r="Q71" s="32"/>
      <c r="R71" s="35"/>
      <c r="S71" s="32"/>
      <c r="T71" s="43"/>
      <c r="U71" s="43"/>
      <c r="V71" s="50" t="s">
        <v>316</v>
      </c>
      <c r="W71" s="43"/>
      <c r="X71" s="43"/>
      <c r="Y71" s="43"/>
      <c r="Z71" s="43"/>
      <c r="AA71" s="43"/>
      <c r="AB71" s="43"/>
      <c r="AC71" s="43"/>
    </row>
    <row r="72">
      <c r="A72" s="47">
        <v>2017.0</v>
      </c>
      <c r="B72" s="53"/>
      <c r="C72" s="53">
        <v>44285.96538488426</v>
      </c>
      <c r="D72" s="54" t="s">
        <v>343</v>
      </c>
      <c r="E72" s="55">
        <v>1.700016019E9</v>
      </c>
      <c r="F72" s="54" t="s">
        <v>344</v>
      </c>
      <c r="G72" s="56" t="s">
        <v>345</v>
      </c>
      <c r="H72" s="54" t="s">
        <v>346</v>
      </c>
      <c r="I72" s="54" t="s">
        <v>26</v>
      </c>
      <c r="J72" s="60" t="s">
        <v>27</v>
      </c>
      <c r="K72" s="61"/>
      <c r="L72" s="61"/>
      <c r="M72" s="32"/>
      <c r="N72" s="32"/>
      <c r="O72" s="64" t="s">
        <v>347</v>
      </c>
      <c r="P72" s="32"/>
      <c r="Q72" s="32"/>
      <c r="R72" s="35"/>
      <c r="S72" s="32"/>
      <c r="T72" s="43"/>
      <c r="U72" s="43"/>
      <c r="V72" s="50" t="s">
        <v>316</v>
      </c>
      <c r="W72" s="43"/>
      <c r="X72" s="43"/>
      <c r="Y72" s="43"/>
      <c r="Z72" s="43"/>
      <c r="AA72" s="43"/>
      <c r="AB72" s="43"/>
      <c r="AC72" s="43"/>
    </row>
    <row r="73">
      <c r="A73" s="47">
        <v>2017.0</v>
      </c>
      <c r="B73" s="53"/>
      <c r="C73" s="53">
        <v>44286.0572855787</v>
      </c>
      <c r="D73" s="54" t="s">
        <v>348</v>
      </c>
      <c r="E73" s="55">
        <v>1.700016087E9</v>
      </c>
      <c r="F73" s="54" t="s">
        <v>349</v>
      </c>
      <c r="G73" s="56" t="s">
        <v>350</v>
      </c>
      <c r="H73" s="54" t="s">
        <v>351</v>
      </c>
      <c r="I73" s="54" t="s">
        <v>26</v>
      </c>
      <c r="J73" s="54" t="s">
        <v>117</v>
      </c>
      <c r="K73" s="61"/>
      <c r="L73" s="61"/>
      <c r="M73" s="32"/>
      <c r="N73" s="32"/>
      <c r="O73" s="63" t="s">
        <v>352</v>
      </c>
      <c r="P73" s="32"/>
      <c r="Q73" s="32"/>
      <c r="R73" s="35"/>
      <c r="S73" s="32"/>
      <c r="T73" s="43"/>
      <c r="U73" s="43"/>
      <c r="V73" s="50" t="s">
        <v>316</v>
      </c>
      <c r="W73" s="43"/>
      <c r="X73" s="43"/>
      <c r="Y73" s="43"/>
      <c r="Z73" s="43"/>
      <c r="AA73" s="43"/>
      <c r="AB73" s="43"/>
      <c r="AC73" s="43"/>
    </row>
    <row r="74">
      <c r="A74" s="47">
        <v>2017.0</v>
      </c>
      <c r="B74" s="53"/>
      <c r="C74" s="53">
        <v>44286.26812267361</v>
      </c>
      <c r="D74" s="54" t="s">
        <v>353</v>
      </c>
      <c r="E74" s="55">
        <v>1.700016131E9</v>
      </c>
      <c r="F74" s="54" t="s">
        <v>354</v>
      </c>
      <c r="G74" s="56" t="s">
        <v>355</v>
      </c>
      <c r="H74" s="54" t="s">
        <v>356</v>
      </c>
      <c r="I74" s="54" t="s">
        <v>26</v>
      </c>
      <c r="J74" s="60" t="s">
        <v>27</v>
      </c>
      <c r="K74" s="61"/>
      <c r="L74" s="61"/>
      <c r="M74" s="32"/>
      <c r="N74" s="32"/>
      <c r="O74" s="62" t="s">
        <v>28</v>
      </c>
      <c r="P74" s="32"/>
      <c r="Q74" s="32"/>
      <c r="R74" s="35"/>
      <c r="S74" s="32"/>
      <c r="T74" s="43"/>
      <c r="U74" s="43"/>
      <c r="V74" s="50" t="s">
        <v>316</v>
      </c>
      <c r="W74" s="43"/>
      <c r="X74" s="43"/>
      <c r="Y74" s="43"/>
      <c r="Z74" s="43"/>
      <c r="AA74" s="43"/>
      <c r="AB74" s="43"/>
      <c r="AC74" s="43"/>
    </row>
    <row r="75">
      <c r="A75" s="47">
        <v>2017.0</v>
      </c>
      <c r="B75" s="53"/>
      <c r="C75" s="53">
        <v>44286.405509351855</v>
      </c>
      <c r="D75" s="54" t="s">
        <v>357</v>
      </c>
      <c r="E75" s="55">
        <v>1.700016127E9</v>
      </c>
      <c r="F75" s="54" t="s">
        <v>358</v>
      </c>
      <c r="G75" s="56" t="s">
        <v>359</v>
      </c>
      <c r="H75" s="54" t="s">
        <v>360</v>
      </c>
      <c r="I75" s="54" t="s">
        <v>26</v>
      </c>
      <c r="J75" s="60" t="s">
        <v>27</v>
      </c>
      <c r="K75" s="61"/>
      <c r="L75" s="61"/>
      <c r="M75" s="32"/>
      <c r="N75" s="32"/>
      <c r="O75" s="64" t="s">
        <v>40</v>
      </c>
      <c r="P75" s="32"/>
      <c r="Q75" s="32"/>
      <c r="R75" s="35"/>
      <c r="S75" s="32"/>
      <c r="T75" s="43"/>
      <c r="U75" s="43"/>
      <c r="V75" s="50" t="s">
        <v>316</v>
      </c>
      <c r="W75" s="43"/>
      <c r="X75" s="43"/>
      <c r="Y75" s="43"/>
      <c r="Z75" s="43"/>
      <c r="AA75" s="43"/>
      <c r="AB75" s="43"/>
      <c r="AC75" s="43"/>
    </row>
    <row r="76">
      <c r="A76" s="47">
        <v>2017.0</v>
      </c>
      <c r="B76" s="53"/>
      <c r="C76" s="53">
        <v>44286.90481424768</v>
      </c>
      <c r="D76" s="54" t="s">
        <v>361</v>
      </c>
      <c r="E76" s="55">
        <v>1.700016066E9</v>
      </c>
      <c r="F76" s="54" t="s">
        <v>362</v>
      </c>
      <c r="G76" s="56" t="s">
        <v>363</v>
      </c>
      <c r="H76" s="54" t="s">
        <v>364</v>
      </c>
      <c r="I76" s="54" t="s">
        <v>26</v>
      </c>
      <c r="J76" s="60" t="s">
        <v>27</v>
      </c>
      <c r="K76" s="61"/>
      <c r="L76" s="61"/>
      <c r="M76" s="32"/>
      <c r="N76" s="32"/>
      <c r="O76" s="63" t="s">
        <v>352</v>
      </c>
      <c r="P76" s="32"/>
      <c r="Q76" s="32"/>
      <c r="R76" s="35"/>
      <c r="S76" s="32"/>
      <c r="T76" s="43"/>
      <c r="U76" s="43"/>
      <c r="V76" s="50" t="s">
        <v>316</v>
      </c>
      <c r="W76" s="43"/>
      <c r="X76" s="43"/>
      <c r="Y76" s="43"/>
      <c r="Z76" s="43"/>
      <c r="AA76" s="43"/>
      <c r="AB76" s="43"/>
      <c r="AC76" s="43"/>
    </row>
    <row r="77">
      <c r="A77" s="47">
        <v>2017.0</v>
      </c>
      <c r="B77" s="65"/>
      <c r="C77" s="65">
        <v>44290.82843563658</v>
      </c>
      <c r="D77" s="66" t="s">
        <v>365</v>
      </c>
      <c r="E77" s="67">
        <v>1.700016075E9</v>
      </c>
      <c r="F77" s="66" t="s">
        <v>366</v>
      </c>
      <c r="G77" s="68" t="s">
        <v>367</v>
      </c>
      <c r="H77" s="66" t="s">
        <v>368</v>
      </c>
      <c r="I77" s="66" t="s">
        <v>26</v>
      </c>
      <c r="J77" s="66" t="s">
        <v>117</v>
      </c>
      <c r="K77" s="69"/>
      <c r="L77" s="69"/>
      <c r="M77" s="26"/>
      <c r="N77" s="26"/>
      <c r="O77" s="63" t="s">
        <v>352</v>
      </c>
      <c r="P77" s="26"/>
      <c r="Q77" s="26"/>
      <c r="R77" s="70"/>
      <c r="S77" s="26"/>
      <c r="T77" s="43"/>
      <c r="U77" s="43"/>
      <c r="V77" s="50" t="s">
        <v>316</v>
      </c>
      <c r="W77" s="43"/>
      <c r="X77" s="43"/>
      <c r="Y77" s="43"/>
      <c r="Z77" s="43"/>
      <c r="AA77" s="43"/>
      <c r="AB77" s="43"/>
      <c r="AC77" s="43"/>
    </row>
    <row r="78">
      <c r="A78" s="47">
        <v>2017.0</v>
      </c>
      <c r="B78" s="53"/>
      <c r="C78" s="53">
        <v>44291.91904582176</v>
      </c>
      <c r="D78" s="54" t="s">
        <v>369</v>
      </c>
      <c r="E78" s="55">
        <v>1.700016043E9</v>
      </c>
      <c r="F78" s="54" t="s">
        <v>370</v>
      </c>
      <c r="G78" s="56" t="s">
        <v>371</v>
      </c>
      <c r="H78" s="54" t="s">
        <v>372</v>
      </c>
      <c r="I78" s="54" t="s">
        <v>26</v>
      </c>
      <c r="J78" s="60" t="s">
        <v>27</v>
      </c>
      <c r="K78" s="61"/>
      <c r="L78" s="61"/>
      <c r="M78" s="32"/>
      <c r="N78" s="32"/>
      <c r="O78" s="62" t="s">
        <v>28</v>
      </c>
      <c r="P78" s="32"/>
      <c r="Q78" s="32"/>
      <c r="R78" s="35"/>
      <c r="S78" s="32"/>
      <c r="T78" s="43"/>
      <c r="U78" s="43"/>
      <c r="V78" s="50" t="s">
        <v>316</v>
      </c>
      <c r="W78" s="43"/>
      <c r="X78" s="43"/>
      <c r="Y78" s="43"/>
      <c r="Z78" s="43"/>
      <c r="AA78" s="43"/>
      <c r="AB78" s="43"/>
      <c r="AC78" s="43"/>
    </row>
    <row r="79">
      <c r="A79" s="47">
        <v>2017.0</v>
      </c>
      <c r="B79" s="53"/>
      <c r="C79" s="53">
        <v>44291.97805096065</v>
      </c>
      <c r="D79" s="54" t="s">
        <v>373</v>
      </c>
      <c r="E79" s="55">
        <v>1.700016113E9</v>
      </c>
      <c r="F79" s="54" t="s">
        <v>374</v>
      </c>
      <c r="G79" s="56" t="s">
        <v>375</v>
      </c>
      <c r="H79" s="54" t="s">
        <v>376</v>
      </c>
      <c r="I79" s="54" t="s">
        <v>26</v>
      </c>
      <c r="J79" s="60" t="s">
        <v>27</v>
      </c>
      <c r="K79" s="61"/>
      <c r="L79" s="61"/>
      <c r="M79" s="32"/>
      <c r="N79" s="32"/>
      <c r="O79" s="62" t="s">
        <v>28</v>
      </c>
      <c r="P79" s="32"/>
      <c r="Q79" s="32"/>
      <c r="R79" s="35"/>
      <c r="S79" s="32"/>
      <c r="T79" s="43"/>
      <c r="U79" s="43"/>
      <c r="V79" s="50" t="s">
        <v>316</v>
      </c>
      <c r="W79" s="43"/>
      <c r="X79" s="43"/>
      <c r="Y79" s="43"/>
      <c r="Z79" s="43"/>
      <c r="AA79" s="43"/>
      <c r="AB79" s="43"/>
      <c r="AC79" s="43"/>
    </row>
    <row r="80">
      <c r="A80" s="47">
        <v>2017.0</v>
      </c>
      <c r="B80" s="53"/>
      <c r="C80" s="53">
        <v>44293.70748302083</v>
      </c>
      <c r="D80" s="54" t="s">
        <v>377</v>
      </c>
      <c r="E80" s="55">
        <v>1.700016016E9</v>
      </c>
      <c r="F80" s="54" t="s">
        <v>378</v>
      </c>
      <c r="G80" s="56" t="s">
        <v>379</v>
      </c>
      <c r="H80" s="54" t="s">
        <v>380</v>
      </c>
      <c r="I80" s="54" t="s">
        <v>26</v>
      </c>
      <c r="J80" s="60" t="s">
        <v>381</v>
      </c>
      <c r="K80" s="61"/>
      <c r="L80" s="61"/>
      <c r="M80" s="32"/>
      <c r="N80" s="32"/>
      <c r="O80" s="63" t="s">
        <v>352</v>
      </c>
      <c r="P80" s="45" t="s">
        <v>382</v>
      </c>
      <c r="Q80" s="32"/>
      <c r="R80" s="35"/>
      <c r="S80" s="43"/>
      <c r="T80" s="43"/>
      <c r="U80" s="43"/>
      <c r="V80" s="50" t="s">
        <v>316</v>
      </c>
      <c r="W80" s="43"/>
      <c r="X80" s="43"/>
      <c r="Y80" s="43"/>
      <c r="Z80" s="43"/>
      <c r="AA80" s="43"/>
      <c r="AB80" s="43"/>
      <c r="AC80" s="43"/>
    </row>
    <row r="81">
      <c r="A81" s="24">
        <v>2016.0</v>
      </c>
      <c r="B81" s="53"/>
      <c r="C81" s="53">
        <v>44293.98856753472</v>
      </c>
      <c r="D81" s="54" t="s">
        <v>383</v>
      </c>
      <c r="E81" s="55">
        <v>1.600016109E9</v>
      </c>
      <c r="F81" s="54" t="s">
        <v>384</v>
      </c>
      <c r="G81" s="56" t="s">
        <v>385</v>
      </c>
      <c r="H81" s="54" t="s">
        <v>386</v>
      </c>
      <c r="I81" s="54" t="s">
        <v>26</v>
      </c>
      <c r="J81" s="54" t="s">
        <v>117</v>
      </c>
      <c r="K81" s="57"/>
      <c r="L81" s="58"/>
      <c r="M81" s="32"/>
      <c r="N81" s="32"/>
      <c r="O81" s="59" t="s">
        <v>387</v>
      </c>
      <c r="P81" s="45" t="s">
        <v>388</v>
      </c>
      <c r="Q81" s="32"/>
      <c r="R81" s="35"/>
      <c r="S81" s="43"/>
      <c r="T81" s="43"/>
      <c r="U81" s="43"/>
      <c r="V81" s="50" t="s">
        <v>316</v>
      </c>
      <c r="W81" s="43"/>
      <c r="X81" s="43"/>
      <c r="Y81" s="43"/>
      <c r="Z81" s="43"/>
      <c r="AA81" s="43"/>
      <c r="AB81" s="43"/>
      <c r="AC81" s="43"/>
    </row>
    <row r="82">
      <c r="A82" s="47">
        <v>2017.0</v>
      </c>
      <c r="B82" s="53"/>
      <c r="C82" s="53">
        <v>44299.65935956019</v>
      </c>
      <c r="D82" s="54" t="s">
        <v>389</v>
      </c>
      <c r="E82" s="55">
        <v>1.700016082E9</v>
      </c>
      <c r="F82" s="54" t="s">
        <v>390</v>
      </c>
      <c r="G82" s="56" t="s">
        <v>391</v>
      </c>
      <c r="H82" s="54" t="s">
        <v>392</v>
      </c>
      <c r="I82" s="54" t="s">
        <v>26</v>
      </c>
      <c r="J82" s="60" t="s">
        <v>393</v>
      </c>
      <c r="K82" s="61"/>
      <c r="L82" s="61"/>
      <c r="M82" s="32"/>
      <c r="N82" s="32"/>
      <c r="O82" s="63" t="s">
        <v>352</v>
      </c>
      <c r="P82" s="45" t="s">
        <v>394</v>
      </c>
      <c r="Q82" s="32"/>
      <c r="R82" s="35"/>
      <c r="S82" s="43"/>
      <c r="T82" s="43"/>
      <c r="U82" s="43"/>
      <c r="V82" s="50" t="s">
        <v>316</v>
      </c>
      <c r="W82" s="43"/>
      <c r="X82" s="43"/>
      <c r="Y82" s="43"/>
      <c r="Z82" s="43"/>
      <c r="AA82" s="43"/>
      <c r="AB82" s="43"/>
      <c r="AC82" s="43"/>
    </row>
    <row r="83">
      <c r="A83" s="47">
        <v>2017.0</v>
      </c>
      <c r="B83" s="53"/>
      <c r="C83" s="53">
        <v>44299.84475567129</v>
      </c>
      <c r="D83" s="54" t="s">
        <v>395</v>
      </c>
      <c r="E83" s="55">
        <v>1.700016077E9</v>
      </c>
      <c r="F83" s="54" t="s">
        <v>396</v>
      </c>
      <c r="G83" s="56" t="s">
        <v>397</v>
      </c>
      <c r="H83" s="54" t="s">
        <v>398</v>
      </c>
      <c r="I83" s="54" t="s">
        <v>399</v>
      </c>
      <c r="J83" s="60" t="s">
        <v>400</v>
      </c>
      <c r="K83" s="61"/>
      <c r="L83" s="61"/>
      <c r="M83" s="32"/>
      <c r="N83" s="32"/>
      <c r="O83" s="59" t="s">
        <v>40</v>
      </c>
      <c r="P83" s="45" t="s">
        <v>394</v>
      </c>
      <c r="Q83" s="32"/>
      <c r="R83" s="35"/>
      <c r="S83" s="43"/>
      <c r="T83" s="43"/>
      <c r="U83" s="43"/>
      <c r="V83" s="50" t="s">
        <v>316</v>
      </c>
      <c r="W83" s="43"/>
      <c r="X83" s="43"/>
      <c r="Y83" s="43"/>
      <c r="Z83" s="43"/>
      <c r="AA83" s="43"/>
      <c r="AB83" s="43"/>
      <c r="AC83" s="43"/>
    </row>
    <row r="84">
      <c r="A84" s="47">
        <v>2017.0</v>
      </c>
      <c r="B84" s="53"/>
      <c r="C84" s="53">
        <v>44299.95248677084</v>
      </c>
      <c r="D84" s="54" t="s">
        <v>401</v>
      </c>
      <c r="E84" s="55">
        <v>1.700016103E9</v>
      </c>
      <c r="F84" s="54" t="s">
        <v>402</v>
      </c>
      <c r="G84" s="56" t="s">
        <v>403</v>
      </c>
      <c r="H84" s="54" t="s">
        <v>404</v>
      </c>
      <c r="I84" s="54" t="s">
        <v>399</v>
      </c>
      <c r="J84" s="60" t="s">
        <v>39</v>
      </c>
      <c r="K84" s="61"/>
      <c r="L84" s="61"/>
      <c r="M84" s="32"/>
      <c r="N84" s="32"/>
      <c r="O84" s="59" t="s">
        <v>40</v>
      </c>
      <c r="P84" s="45" t="s">
        <v>405</v>
      </c>
      <c r="Q84" s="32"/>
      <c r="R84" s="35"/>
      <c r="S84" s="43"/>
      <c r="T84" s="43"/>
      <c r="U84" s="43"/>
      <c r="V84" s="50" t="s">
        <v>316</v>
      </c>
      <c r="W84" s="43"/>
      <c r="X84" s="43"/>
      <c r="Y84" s="43"/>
      <c r="Z84" s="43"/>
      <c r="AA84" s="43"/>
      <c r="AB84" s="43"/>
      <c r="AC84" s="43"/>
    </row>
    <row r="85">
      <c r="A85" s="47">
        <v>2017.0</v>
      </c>
      <c r="B85" s="53"/>
      <c r="C85" s="53">
        <v>44300.09776438658</v>
      </c>
      <c r="D85" s="54" t="s">
        <v>406</v>
      </c>
      <c r="E85" s="55">
        <v>1.700016137E9</v>
      </c>
      <c r="F85" s="54" t="s">
        <v>407</v>
      </c>
      <c r="G85" s="56" t="s">
        <v>408</v>
      </c>
      <c r="H85" s="54" t="s">
        <v>409</v>
      </c>
      <c r="I85" s="54" t="s">
        <v>399</v>
      </c>
      <c r="J85" s="54" t="s">
        <v>117</v>
      </c>
      <c r="K85" s="61"/>
      <c r="L85" s="61"/>
      <c r="M85" s="32"/>
      <c r="N85" s="32"/>
      <c r="O85" s="63" t="s">
        <v>352</v>
      </c>
      <c r="P85" s="45" t="s">
        <v>410</v>
      </c>
      <c r="Q85" s="32"/>
      <c r="R85" s="35"/>
      <c r="S85" s="43"/>
      <c r="T85" s="43"/>
      <c r="U85" s="43"/>
      <c r="V85" s="50" t="s">
        <v>316</v>
      </c>
      <c r="W85" s="43"/>
      <c r="X85" s="43"/>
      <c r="Y85" s="43"/>
      <c r="Z85" s="43"/>
      <c r="AA85" s="43"/>
      <c r="AB85" s="43"/>
      <c r="AC85" s="43"/>
    </row>
    <row r="86">
      <c r="A86" s="24">
        <v>2015.0</v>
      </c>
      <c r="B86" s="53"/>
      <c r="C86" s="53">
        <v>44300.68085305556</v>
      </c>
      <c r="D86" s="54" t="s">
        <v>411</v>
      </c>
      <c r="E86" s="55">
        <v>1.500016066E9</v>
      </c>
      <c r="F86" s="54" t="s">
        <v>412</v>
      </c>
      <c r="G86" s="56" t="s">
        <v>413</v>
      </c>
      <c r="H86" s="54" t="s">
        <v>414</v>
      </c>
      <c r="I86" s="54" t="s">
        <v>399</v>
      </c>
      <c r="J86" s="60" t="s">
        <v>39</v>
      </c>
      <c r="K86" s="57"/>
      <c r="L86" s="58"/>
      <c r="M86" s="32"/>
      <c r="N86" s="32"/>
      <c r="O86" s="59" t="s">
        <v>387</v>
      </c>
      <c r="P86" s="45" t="s">
        <v>410</v>
      </c>
      <c r="Q86" s="32"/>
      <c r="R86" s="35"/>
      <c r="S86" s="43"/>
      <c r="T86" s="43"/>
      <c r="U86" s="43"/>
      <c r="V86" s="50" t="s">
        <v>316</v>
      </c>
      <c r="W86" s="43"/>
      <c r="X86" s="43"/>
      <c r="Y86" s="43"/>
      <c r="Z86" s="43"/>
      <c r="AA86" s="43"/>
      <c r="AB86" s="43"/>
      <c r="AC86" s="43"/>
    </row>
    <row r="87">
      <c r="A87" s="47">
        <v>2017.0</v>
      </c>
      <c r="B87" s="53"/>
      <c r="C87" s="53">
        <v>44300.84841288194</v>
      </c>
      <c r="D87" s="54" t="s">
        <v>415</v>
      </c>
      <c r="E87" s="55">
        <v>1.700016092E9</v>
      </c>
      <c r="F87" s="54" t="s">
        <v>416</v>
      </c>
      <c r="G87" s="56" t="s">
        <v>417</v>
      </c>
      <c r="H87" s="54" t="s">
        <v>418</v>
      </c>
      <c r="I87" s="54" t="s">
        <v>399</v>
      </c>
      <c r="J87" s="60" t="s">
        <v>39</v>
      </c>
      <c r="K87" s="61"/>
      <c r="L87" s="61"/>
      <c r="M87" s="32"/>
      <c r="N87" s="32"/>
      <c r="O87" s="59" t="s">
        <v>387</v>
      </c>
      <c r="P87" s="45" t="s">
        <v>419</v>
      </c>
      <c r="Q87" s="32"/>
      <c r="R87" s="35"/>
      <c r="S87" s="43"/>
      <c r="T87" s="43"/>
      <c r="U87" s="43"/>
      <c r="V87" s="50" t="s">
        <v>316</v>
      </c>
      <c r="W87" s="43"/>
      <c r="X87" s="43"/>
      <c r="Y87" s="43"/>
      <c r="Z87" s="43"/>
      <c r="AA87" s="43"/>
      <c r="AB87" s="43"/>
      <c r="AC87" s="43"/>
    </row>
    <row r="88">
      <c r="A88" s="24">
        <v>2016.0</v>
      </c>
      <c r="B88" s="53"/>
      <c r="C88" s="53">
        <v>44300.87665731482</v>
      </c>
      <c r="D88" s="54" t="s">
        <v>420</v>
      </c>
      <c r="E88" s="55">
        <v>1.600016003E9</v>
      </c>
      <c r="F88" s="54" t="s">
        <v>421</v>
      </c>
      <c r="G88" s="56" t="s">
        <v>422</v>
      </c>
      <c r="H88" s="54" t="s">
        <v>423</v>
      </c>
      <c r="I88" s="54" t="s">
        <v>399</v>
      </c>
      <c r="J88" s="60" t="s">
        <v>27</v>
      </c>
      <c r="K88" s="57"/>
      <c r="L88" s="58"/>
      <c r="M88" s="32"/>
      <c r="N88" s="32"/>
      <c r="O88" s="63" t="s">
        <v>352</v>
      </c>
      <c r="P88" s="45" t="s">
        <v>405</v>
      </c>
      <c r="Q88" s="32"/>
      <c r="R88" s="35"/>
      <c r="S88" s="43"/>
      <c r="T88" s="43"/>
      <c r="U88" s="43"/>
      <c r="V88" s="50" t="s">
        <v>316</v>
      </c>
      <c r="W88" s="43"/>
      <c r="X88" s="43"/>
      <c r="Y88" s="43"/>
      <c r="Z88" s="43"/>
      <c r="AA88" s="43"/>
      <c r="AB88" s="43"/>
      <c r="AC88" s="43"/>
    </row>
    <row r="89">
      <c r="A89" s="47">
        <v>2017.0</v>
      </c>
      <c r="B89" s="53"/>
      <c r="C89" s="53">
        <v>44301.03497949074</v>
      </c>
      <c r="D89" s="54" t="s">
        <v>424</v>
      </c>
      <c r="E89" s="55">
        <v>1.700016056E9</v>
      </c>
      <c r="F89" s="54" t="s">
        <v>425</v>
      </c>
      <c r="G89" s="56" t="s">
        <v>426</v>
      </c>
      <c r="H89" s="54" t="s">
        <v>427</v>
      </c>
      <c r="I89" s="54" t="s">
        <v>399</v>
      </c>
      <c r="J89" s="60" t="s">
        <v>39</v>
      </c>
      <c r="K89" s="61"/>
      <c r="L89" s="61"/>
      <c r="M89" s="32"/>
      <c r="N89" s="32"/>
      <c r="O89" s="63" t="s">
        <v>339</v>
      </c>
      <c r="P89" s="45" t="s">
        <v>382</v>
      </c>
      <c r="Q89" s="32"/>
      <c r="R89" s="35"/>
      <c r="S89" s="43"/>
      <c r="T89" s="43"/>
      <c r="U89" s="43"/>
      <c r="V89" s="50" t="s">
        <v>316</v>
      </c>
      <c r="W89" s="43"/>
      <c r="X89" s="43"/>
      <c r="Y89" s="43"/>
      <c r="Z89" s="43"/>
      <c r="AA89" s="43"/>
      <c r="AB89" s="43"/>
      <c r="AC89" s="43"/>
    </row>
    <row r="90">
      <c r="A90" s="47">
        <v>2017.0</v>
      </c>
      <c r="B90" s="53"/>
      <c r="C90" s="53">
        <v>44301.04330053241</v>
      </c>
      <c r="D90" s="54" t="s">
        <v>428</v>
      </c>
      <c r="E90" s="55">
        <v>1.711016099E9</v>
      </c>
      <c r="F90" s="54" t="s">
        <v>429</v>
      </c>
      <c r="G90" s="56" t="s">
        <v>430</v>
      </c>
      <c r="H90" s="54" t="s">
        <v>431</v>
      </c>
      <c r="I90" s="54" t="s">
        <v>399</v>
      </c>
      <c r="J90" s="60" t="s">
        <v>27</v>
      </c>
      <c r="K90" s="61"/>
      <c r="L90" s="61"/>
      <c r="M90" s="32"/>
      <c r="N90" s="32"/>
      <c r="O90" s="63" t="s">
        <v>339</v>
      </c>
      <c r="P90" s="45" t="s">
        <v>388</v>
      </c>
      <c r="Q90" s="32"/>
      <c r="R90" s="35"/>
      <c r="S90" s="43"/>
      <c r="T90" s="43"/>
      <c r="U90" s="43"/>
      <c r="V90" s="50" t="s">
        <v>316</v>
      </c>
      <c r="W90" s="43"/>
      <c r="X90" s="43"/>
      <c r="Y90" s="43"/>
      <c r="Z90" s="43"/>
      <c r="AA90" s="43"/>
      <c r="AB90" s="43"/>
      <c r="AC90" s="43"/>
    </row>
    <row r="91">
      <c r="A91" s="47">
        <v>2017.0</v>
      </c>
      <c r="B91" s="53"/>
      <c r="C91" s="53">
        <v>44301.26904237269</v>
      </c>
      <c r="D91" s="54" t="s">
        <v>432</v>
      </c>
      <c r="E91" s="55">
        <v>1.700016105E9</v>
      </c>
      <c r="F91" s="54" t="s">
        <v>433</v>
      </c>
      <c r="G91" s="56" t="s">
        <v>434</v>
      </c>
      <c r="H91" s="54" t="s">
        <v>435</v>
      </c>
      <c r="I91" s="54" t="s">
        <v>399</v>
      </c>
      <c r="J91" s="60" t="s">
        <v>27</v>
      </c>
      <c r="K91" s="61"/>
      <c r="L91" s="61"/>
      <c r="M91" s="32"/>
      <c r="N91" s="32"/>
      <c r="O91" s="64" t="s">
        <v>347</v>
      </c>
      <c r="P91" s="45" t="s">
        <v>436</v>
      </c>
      <c r="Q91" s="32"/>
      <c r="R91" s="35"/>
      <c r="S91" s="43"/>
      <c r="T91" s="43"/>
      <c r="U91" s="43"/>
      <c r="V91" s="50" t="s">
        <v>316</v>
      </c>
      <c r="W91" s="43"/>
      <c r="X91" s="43"/>
      <c r="Y91" s="43"/>
      <c r="Z91" s="43"/>
      <c r="AA91" s="43"/>
      <c r="AB91" s="43"/>
      <c r="AC91" s="43"/>
    </row>
    <row r="92">
      <c r="A92" s="24">
        <v>2016.0</v>
      </c>
      <c r="B92" s="53"/>
      <c r="C92" s="53">
        <v>44301.40091172454</v>
      </c>
      <c r="D92" s="54" t="s">
        <v>437</v>
      </c>
      <c r="E92" s="55">
        <v>1.600016097E9</v>
      </c>
      <c r="F92" s="54" t="s">
        <v>438</v>
      </c>
      <c r="G92" s="56" t="s">
        <v>152</v>
      </c>
      <c r="H92" s="54" t="s">
        <v>439</v>
      </c>
      <c r="I92" s="54" t="s">
        <v>399</v>
      </c>
      <c r="J92" s="60" t="s">
        <v>27</v>
      </c>
      <c r="K92" s="57"/>
      <c r="L92" s="58"/>
      <c r="M92" s="32"/>
      <c r="N92" s="32"/>
      <c r="O92" s="63" t="s">
        <v>352</v>
      </c>
      <c r="P92" s="45" t="s">
        <v>440</v>
      </c>
      <c r="Q92" s="32"/>
      <c r="R92" s="35"/>
      <c r="S92" s="43"/>
      <c r="T92" s="43"/>
      <c r="U92" s="43"/>
      <c r="V92" s="50" t="s">
        <v>316</v>
      </c>
      <c r="W92" s="43"/>
      <c r="X92" s="43"/>
      <c r="Y92" s="43"/>
      <c r="Z92" s="43"/>
      <c r="AA92" s="43"/>
      <c r="AB92" s="43"/>
      <c r="AC92" s="43"/>
    </row>
    <row r="93">
      <c r="A93" s="47">
        <v>2017.0</v>
      </c>
      <c r="B93" s="53"/>
      <c r="C93" s="53">
        <v>44301.96327703704</v>
      </c>
      <c r="D93" s="54" t="s">
        <v>441</v>
      </c>
      <c r="E93" s="55">
        <v>1.700016059E9</v>
      </c>
      <c r="F93" s="54" t="s">
        <v>442</v>
      </c>
      <c r="G93" s="56" t="s">
        <v>443</v>
      </c>
      <c r="H93" s="54" t="s">
        <v>444</v>
      </c>
      <c r="I93" s="54" t="s">
        <v>399</v>
      </c>
      <c r="J93" s="54" t="s">
        <v>117</v>
      </c>
      <c r="K93" s="61"/>
      <c r="L93" s="61"/>
      <c r="M93" s="32"/>
      <c r="N93" s="32"/>
      <c r="O93" s="59" t="s">
        <v>40</v>
      </c>
      <c r="P93" s="45" t="s">
        <v>445</v>
      </c>
      <c r="Q93" s="32"/>
      <c r="R93" s="35"/>
      <c r="S93" s="43"/>
      <c r="T93" s="43"/>
      <c r="U93" s="43"/>
      <c r="V93" s="50" t="s">
        <v>316</v>
      </c>
      <c r="W93" s="43"/>
      <c r="X93" s="43"/>
      <c r="Y93" s="43"/>
      <c r="Z93" s="43"/>
      <c r="AA93" s="43"/>
      <c r="AB93" s="43"/>
      <c r="AC93" s="43"/>
    </row>
    <row r="94">
      <c r="A94" s="47">
        <v>2017.0</v>
      </c>
      <c r="B94" s="53"/>
      <c r="C94" s="53">
        <v>44302.78948649306</v>
      </c>
      <c r="D94" s="54" t="s">
        <v>446</v>
      </c>
      <c r="E94" s="55">
        <v>1.700016049E9</v>
      </c>
      <c r="F94" s="54" t="s">
        <v>447</v>
      </c>
      <c r="G94" s="56" t="s">
        <v>448</v>
      </c>
      <c r="H94" s="54" t="s">
        <v>449</v>
      </c>
      <c r="I94" s="54" t="s">
        <v>399</v>
      </c>
      <c r="J94" s="54" t="s">
        <v>117</v>
      </c>
      <c r="K94" s="61"/>
      <c r="L94" s="61"/>
      <c r="M94" s="32"/>
      <c r="N94" s="32"/>
      <c r="O94" s="63" t="s">
        <v>339</v>
      </c>
      <c r="P94" s="45" t="s">
        <v>450</v>
      </c>
      <c r="Q94" s="32"/>
      <c r="R94" s="35"/>
      <c r="S94" s="43"/>
      <c r="T94" s="43"/>
      <c r="U94" s="43"/>
      <c r="V94" s="50" t="s">
        <v>316</v>
      </c>
      <c r="W94" s="43"/>
      <c r="X94" s="43"/>
      <c r="Y94" s="43"/>
      <c r="Z94" s="43"/>
      <c r="AA94" s="43"/>
      <c r="AB94" s="43"/>
      <c r="AC94" s="43"/>
    </row>
    <row r="95">
      <c r="A95" s="47">
        <v>2017.0</v>
      </c>
      <c r="B95" s="53"/>
      <c r="C95" s="53">
        <v>44302.87748879629</v>
      </c>
      <c r="D95" s="54" t="s">
        <v>451</v>
      </c>
      <c r="E95" s="55">
        <v>1.70001607E9</v>
      </c>
      <c r="F95" s="54" t="s">
        <v>452</v>
      </c>
      <c r="G95" s="56" t="s">
        <v>453</v>
      </c>
      <c r="H95" s="54" t="s">
        <v>454</v>
      </c>
      <c r="I95" s="54" t="s">
        <v>399</v>
      </c>
      <c r="J95" s="60" t="s">
        <v>39</v>
      </c>
      <c r="K95" s="61"/>
      <c r="L95" s="61"/>
      <c r="M95" s="32"/>
      <c r="N95" s="32"/>
      <c r="O95" s="59" t="s">
        <v>40</v>
      </c>
      <c r="P95" s="45" t="s">
        <v>440</v>
      </c>
      <c r="Q95" s="32"/>
      <c r="R95" s="35"/>
      <c r="S95" s="43"/>
      <c r="T95" s="43"/>
      <c r="U95" s="43"/>
      <c r="V95" s="50" t="s">
        <v>316</v>
      </c>
      <c r="W95" s="43"/>
      <c r="X95" s="43"/>
      <c r="Y95" s="43"/>
      <c r="Z95" s="43"/>
      <c r="AA95" s="43"/>
      <c r="AB95" s="43"/>
      <c r="AC95" s="43"/>
    </row>
    <row r="96">
      <c r="A96" s="47">
        <v>2017.0</v>
      </c>
      <c r="B96" s="53"/>
      <c r="C96" s="53">
        <v>44304.946914189815</v>
      </c>
      <c r="D96" s="54" t="s">
        <v>455</v>
      </c>
      <c r="E96" s="55">
        <v>1.711016098E9</v>
      </c>
      <c r="F96" s="54" t="s">
        <v>456</v>
      </c>
      <c r="G96" s="56" t="s">
        <v>457</v>
      </c>
      <c r="H96" s="54" t="s">
        <v>458</v>
      </c>
      <c r="I96" s="54" t="s">
        <v>399</v>
      </c>
      <c r="J96" s="60" t="s">
        <v>39</v>
      </c>
      <c r="K96" s="61"/>
      <c r="L96" s="61"/>
      <c r="M96" s="32"/>
      <c r="N96" s="32"/>
      <c r="O96" s="59" t="s">
        <v>72</v>
      </c>
      <c r="P96" s="71">
        <v>44320.0</v>
      </c>
      <c r="Q96" s="45" t="s">
        <v>178</v>
      </c>
      <c r="R96" s="35"/>
      <c r="S96" s="43"/>
      <c r="T96" s="43"/>
      <c r="U96" s="43"/>
      <c r="V96" s="50" t="s">
        <v>316</v>
      </c>
      <c r="W96" s="43"/>
      <c r="X96" s="43"/>
      <c r="Y96" s="43"/>
      <c r="Z96" s="43"/>
      <c r="AA96" s="43"/>
      <c r="AB96" s="43"/>
      <c r="AC96" s="43"/>
    </row>
    <row r="97">
      <c r="A97" s="47">
        <v>2017.0</v>
      </c>
      <c r="B97" s="53"/>
      <c r="C97" s="53">
        <v>44304.95258810185</v>
      </c>
      <c r="D97" s="54" t="s">
        <v>459</v>
      </c>
      <c r="E97" s="55">
        <v>1.700016116E9</v>
      </c>
      <c r="F97" s="54" t="s">
        <v>460</v>
      </c>
      <c r="G97" s="56" t="s">
        <v>461</v>
      </c>
      <c r="H97" s="54" t="s">
        <v>462</v>
      </c>
      <c r="I97" s="54" t="s">
        <v>399</v>
      </c>
      <c r="J97" s="60" t="s">
        <v>39</v>
      </c>
      <c r="K97" s="61"/>
      <c r="L97" s="61"/>
      <c r="M97" s="32"/>
      <c r="N97" s="32"/>
      <c r="O97" s="59" t="s">
        <v>72</v>
      </c>
      <c r="P97" s="71">
        <v>44320.0</v>
      </c>
      <c r="Q97" s="45" t="s">
        <v>34</v>
      </c>
      <c r="R97" s="35"/>
      <c r="S97" s="43"/>
      <c r="T97" s="43"/>
      <c r="U97" s="43"/>
      <c r="V97" s="50" t="s">
        <v>316</v>
      </c>
      <c r="W97" s="43"/>
      <c r="X97" s="43"/>
      <c r="Y97" s="43"/>
      <c r="Z97" s="43"/>
      <c r="AA97" s="43"/>
      <c r="AB97" s="43"/>
      <c r="AC97" s="43"/>
    </row>
    <row r="98">
      <c r="A98" s="47">
        <v>2017.0</v>
      </c>
      <c r="B98" s="53"/>
      <c r="C98" s="53">
        <v>44305.21517005787</v>
      </c>
      <c r="D98" s="54" t="s">
        <v>463</v>
      </c>
      <c r="E98" s="55">
        <v>1.700016102E9</v>
      </c>
      <c r="F98" s="54" t="s">
        <v>464</v>
      </c>
      <c r="G98" s="56" t="s">
        <v>465</v>
      </c>
      <c r="H98" s="54" t="s">
        <v>466</v>
      </c>
      <c r="I98" s="54" t="s">
        <v>399</v>
      </c>
      <c r="J98" s="60" t="s">
        <v>27</v>
      </c>
      <c r="K98" s="61"/>
      <c r="L98" s="61"/>
      <c r="M98" s="32"/>
      <c r="N98" s="32"/>
      <c r="O98" s="64" t="s">
        <v>347</v>
      </c>
      <c r="P98" s="72">
        <v>44319.0</v>
      </c>
      <c r="Q98" s="73" t="s">
        <v>29</v>
      </c>
      <c r="R98" s="35"/>
      <c r="S98" s="43"/>
      <c r="T98" s="43"/>
      <c r="U98" s="43"/>
      <c r="V98" s="50" t="s">
        <v>316</v>
      </c>
      <c r="W98" s="43"/>
      <c r="X98" s="43"/>
      <c r="Y98" s="43"/>
      <c r="Z98" s="43"/>
      <c r="AA98" s="43"/>
      <c r="AB98" s="43"/>
      <c r="AC98" s="43"/>
    </row>
    <row r="99">
      <c r="A99" s="47">
        <v>2017.0</v>
      </c>
      <c r="B99" s="53"/>
      <c r="C99" s="53">
        <v>44305.23389372685</v>
      </c>
      <c r="D99" s="54" t="s">
        <v>467</v>
      </c>
      <c r="E99" s="55">
        <v>1.700016067E9</v>
      </c>
      <c r="F99" s="54" t="s">
        <v>468</v>
      </c>
      <c r="G99" s="56" t="s">
        <v>469</v>
      </c>
      <c r="H99" s="54" t="s">
        <v>470</v>
      </c>
      <c r="I99" s="54" t="s">
        <v>399</v>
      </c>
      <c r="J99" s="60" t="s">
        <v>27</v>
      </c>
      <c r="K99" s="61"/>
      <c r="L99" s="61"/>
      <c r="M99" s="32"/>
      <c r="N99" s="32"/>
      <c r="O99" s="64" t="s">
        <v>347</v>
      </c>
      <c r="P99" s="71">
        <v>44319.0</v>
      </c>
      <c r="Q99" s="73" t="s">
        <v>178</v>
      </c>
      <c r="R99" s="35"/>
      <c r="S99" s="43"/>
      <c r="T99" s="43"/>
      <c r="U99" s="43"/>
      <c r="V99" s="50" t="s">
        <v>316</v>
      </c>
      <c r="W99" s="43"/>
      <c r="X99" s="43"/>
      <c r="Y99" s="43"/>
      <c r="Z99" s="43"/>
      <c r="AA99" s="43"/>
      <c r="AB99" s="43"/>
      <c r="AC99" s="43"/>
    </row>
    <row r="100">
      <c r="A100" s="47">
        <v>2017.0</v>
      </c>
      <c r="B100" s="53"/>
      <c r="C100" s="53">
        <v>44305.27631797454</v>
      </c>
      <c r="D100" s="54" t="s">
        <v>471</v>
      </c>
      <c r="E100" s="55">
        <v>1.700016009E9</v>
      </c>
      <c r="F100" s="54" t="s">
        <v>472</v>
      </c>
      <c r="G100" s="56" t="s">
        <v>473</v>
      </c>
      <c r="H100" s="54" t="s">
        <v>474</v>
      </c>
      <c r="I100" s="54" t="s">
        <v>399</v>
      </c>
      <c r="J100" s="60" t="s">
        <v>27</v>
      </c>
      <c r="K100" s="61"/>
      <c r="L100" s="61"/>
      <c r="M100" s="32"/>
      <c r="N100" s="32"/>
      <c r="O100" s="63" t="s">
        <v>339</v>
      </c>
      <c r="P100" s="71">
        <v>44319.0</v>
      </c>
      <c r="Q100" s="73" t="s">
        <v>34</v>
      </c>
      <c r="R100" s="35"/>
      <c r="S100" s="43"/>
      <c r="T100" s="43"/>
      <c r="U100" s="43"/>
      <c r="V100" s="50" t="s">
        <v>316</v>
      </c>
      <c r="W100" s="43"/>
      <c r="X100" s="43"/>
      <c r="Y100" s="43"/>
      <c r="Z100" s="43"/>
      <c r="AA100" s="43"/>
      <c r="AB100" s="43"/>
      <c r="AC100" s="43"/>
    </row>
    <row r="101">
      <c r="A101" s="47">
        <v>2017.0</v>
      </c>
      <c r="B101" s="53"/>
      <c r="C101" s="53">
        <v>44305.3479855787</v>
      </c>
      <c r="D101" s="54" t="s">
        <v>475</v>
      </c>
      <c r="E101" s="55">
        <v>1.700016101E9</v>
      </c>
      <c r="F101" s="54" t="s">
        <v>476</v>
      </c>
      <c r="G101" s="56" t="s">
        <v>477</v>
      </c>
      <c r="H101" s="54" t="s">
        <v>478</v>
      </c>
      <c r="I101" s="54" t="s">
        <v>399</v>
      </c>
      <c r="J101" s="54" t="s">
        <v>117</v>
      </c>
      <c r="K101" s="61"/>
      <c r="L101" s="61"/>
      <c r="M101" s="32"/>
      <c r="N101" s="32"/>
      <c r="O101" s="62" t="s">
        <v>28</v>
      </c>
      <c r="P101" s="74">
        <v>44352.0</v>
      </c>
      <c r="Q101" s="75" t="s">
        <v>34</v>
      </c>
      <c r="R101" s="35"/>
      <c r="S101" s="43"/>
      <c r="T101" s="43"/>
      <c r="U101" s="43"/>
      <c r="V101" s="50" t="s">
        <v>316</v>
      </c>
      <c r="W101" s="43"/>
      <c r="X101" s="43"/>
      <c r="Y101" s="43"/>
      <c r="Z101" s="43"/>
      <c r="AA101" s="43"/>
      <c r="AB101" s="43"/>
      <c r="AC101" s="43"/>
    </row>
    <row r="102">
      <c r="A102" s="47">
        <v>2017.0</v>
      </c>
      <c r="B102" s="53"/>
      <c r="C102" s="53">
        <v>44305.41513011574</v>
      </c>
      <c r="D102" s="54" t="s">
        <v>479</v>
      </c>
      <c r="E102" s="55">
        <v>1.700016017E9</v>
      </c>
      <c r="F102" s="54" t="s">
        <v>480</v>
      </c>
      <c r="G102" s="56" t="s">
        <v>481</v>
      </c>
      <c r="H102" s="54" t="s">
        <v>482</v>
      </c>
      <c r="I102" s="54" t="s">
        <v>399</v>
      </c>
      <c r="J102" s="60" t="s">
        <v>27</v>
      </c>
      <c r="K102" s="61"/>
      <c r="L102" s="61"/>
      <c r="M102" s="32"/>
      <c r="N102" s="32"/>
      <c r="O102" s="64" t="s">
        <v>347</v>
      </c>
      <c r="P102" s="71">
        <v>44319.0</v>
      </c>
      <c r="Q102" s="76" t="s">
        <v>202</v>
      </c>
      <c r="R102" s="35"/>
      <c r="S102" s="43"/>
      <c r="T102" s="43"/>
      <c r="U102" s="43"/>
      <c r="V102" s="50" t="s">
        <v>316</v>
      </c>
      <c r="W102" s="43"/>
      <c r="X102" s="43"/>
      <c r="Y102" s="43"/>
      <c r="Z102" s="43"/>
      <c r="AA102" s="43"/>
      <c r="AB102" s="43"/>
      <c r="AC102" s="43"/>
    </row>
    <row r="103">
      <c r="A103" s="47">
        <v>2017.0</v>
      </c>
      <c r="B103" s="53"/>
      <c r="C103" s="53">
        <v>44305.435108391204</v>
      </c>
      <c r="D103" s="54" t="s">
        <v>483</v>
      </c>
      <c r="E103" s="55">
        <v>1.700016135E9</v>
      </c>
      <c r="F103" s="54" t="s">
        <v>484</v>
      </c>
      <c r="G103" s="56" t="s">
        <v>485</v>
      </c>
      <c r="H103" s="54" t="s">
        <v>486</v>
      </c>
      <c r="I103" s="54" t="s">
        <v>399</v>
      </c>
      <c r="J103" s="60" t="s">
        <v>27</v>
      </c>
      <c r="K103" s="61"/>
      <c r="L103" s="61"/>
      <c r="M103" s="32"/>
      <c r="N103" s="32"/>
      <c r="O103" s="64" t="s">
        <v>347</v>
      </c>
      <c r="P103" s="71">
        <v>44319.0</v>
      </c>
      <c r="Q103" s="76" t="s">
        <v>55</v>
      </c>
      <c r="R103" s="35"/>
      <c r="S103" s="43"/>
      <c r="T103" s="43"/>
      <c r="U103" s="43"/>
      <c r="V103" s="50" t="s">
        <v>316</v>
      </c>
      <c r="W103" s="43"/>
      <c r="X103" s="43"/>
      <c r="Y103" s="43"/>
      <c r="Z103" s="43"/>
      <c r="AA103" s="43"/>
      <c r="AB103" s="43"/>
      <c r="AC103" s="43"/>
    </row>
    <row r="104">
      <c r="A104" s="47">
        <v>2017.0</v>
      </c>
      <c r="B104" s="53"/>
      <c r="C104" s="53">
        <v>44305.8794319213</v>
      </c>
      <c r="D104" s="54" t="s">
        <v>487</v>
      </c>
      <c r="E104" s="55">
        <v>1.700016031E9</v>
      </c>
      <c r="F104" s="54" t="s">
        <v>488</v>
      </c>
      <c r="G104" s="56" t="s">
        <v>489</v>
      </c>
      <c r="H104" s="54" t="s">
        <v>490</v>
      </c>
      <c r="I104" s="54" t="s">
        <v>399</v>
      </c>
      <c r="J104" s="60" t="s">
        <v>27</v>
      </c>
      <c r="K104" s="61"/>
      <c r="L104" s="61"/>
      <c r="M104" s="32"/>
      <c r="N104" s="32"/>
      <c r="O104" s="64" t="s">
        <v>347</v>
      </c>
      <c r="P104" s="71">
        <v>44319.0</v>
      </c>
      <c r="Q104" s="76" t="s">
        <v>491</v>
      </c>
      <c r="R104" s="35"/>
      <c r="S104" s="43"/>
      <c r="T104" s="43"/>
      <c r="U104" s="43"/>
      <c r="V104" s="50" t="s">
        <v>316</v>
      </c>
      <c r="W104" s="43"/>
      <c r="X104" s="43"/>
      <c r="Y104" s="43"/>
      <c r="Z104" s="43"/>
      <c r="AA104" s="43"/>
      <c r="AB104" s="43"/>
      <c r="AC104" s="43"/>
    </row>
    <row r="105">
      <c r="A105" s="47">
        <v>2017.0</v>
      </c>
      <c r="B105" s="53"/>
      <c r="C105" s="53">
        <v>44305.90309230324</v>
      </c>
      <c r="D105" s="54" t="s">
        <v>492</v>
      </c>
      <c r="E105" s="55">
        <v>1.700016062E9</v>
      </c>
      <c r="F105" s="54" t="s">
        <v>493</v>
      </c>
      <c r="G105" s="56" t="s">
        <v>494</v>
      </c>
      <c r="H105" s="54" t="s">
        <v>495</v>
      </c>
      <c r="I105" s="54" t="s">
        <v>399</v>
      </c>
      <c r="J105" s="60" t="s">
        <v>393</v>
      </c>
      <c r="K105" s="61"/>
      <c r="L105" s="61"/>
      <c r="M105" s="32"/>
      <c r="N105" s="32"/>
      <c r="O105" s="64" t="s">
        <v>347</v>
      </c>
      <c r="P105" s="71">
        <v>44320.0</v>
      </c>
      <c r="Q105" s="76" t="s">
        <v>29</v>
      </c>
      <c r="R105" s="35"/>
      <c r="S105" s="43"/>
      <c r="T105" s="43"/>
      <c r="U105" s="43"/>
      <c r="V105" s="50" t="s">
        <v>316</v>
      </c>
      <c r="W105" s="43"/>
      <c r="X105" s="43"/>
      <c r="Y105" s="43"/>
      <c r="Z105" s="43"/>
      <c r="AA105" s="43"/>
      <c r="AB105" s="43"/>
      <c r="AC105" s="43"/>
    </row>
    <row r="106">
      <c r="A106" s="47">
        <v>2017.0</v>
      </c>
      <c r="B106" s="53"/>
      <c r="C106" s="53">
        <v>44306.337279189815</v>
      </c>
      <c r="D106" s="54" t="s">
        <v>496</v>
      </c>
      <c r="E106" s="55">
        <v>1.700016025E9</v>
      </c>
      <c r="F106" s="54" t="s">
        <v>497</v>
      </c>
      <c r="G106" s="56" t="s">
        <v>498</v>
      </c>
      <c r="H106" s="54" t="s">
        <v>499</v>
      </c>
      <c r="I106" s="54" t="s">
        <v>399</v>
      </c>
      <c r="J106" s="60" t="s">
        <v>27</v>
      </c>
      <c r="K106" s="61"/>
      <c r="L106" s="61"/>
      <c r="M106" s="32"/>
      <c r="N106" s="32"/>
      <c r="O106" s="64" t="s">
        <v>347</v>
      </c>
      <c r="P106" s="74">
        <v>44350.0</v>
      </c>
      <c r="Q106" s="77" t="s">
        <v>500</v>
      </c>
      <c r="R106" s="35"/>
      <c r="S106" s="43"/>
      <c r="T106" s="43"/>
      <c r="U106" s="43"/>
      <c r="V106" s="50" t="s">
        <v>316</v>
      </c>
      <c r="W106" s="43"/>
      <c r="X106" s="43"/>
      <c r="Y106" s="43"/>
      <c r="Z106" s="43"/>
      <c r="AA106" s="43"/>
      <c r="AB106" s="43"/>
      <c r="AC106" s="43"/>
    </row>
    <row r="107">
      <c r="A107" s="47">
        <v>2017.0</v>
      </c>
      <c r="B107" s="53"/>
      <c r="C107" s="53">
        <v>44306.668418182875</v>
      </c>
      <c r="D107" s="54" t="s">
        <v>501</v>
      </c>
      <c r="E107" s="55">
        <v>1.700016109E9</v>
      </c>
      <c r="F107" s="54" t="s">
        <v>502</v>
      </c>
      <c r="G107" s="56" t="s">
        <v>503</v>
      </c>
      <c r="H107" s="54" t="s">
        <v>504</v>
      </c>
      <c r="I107" s="54" t="s">
        <v>399</v>
      </c>
      <c r="J107" s="60" t="s">
        <v>27</v>
      </c>
      <c r="K107" s="61"/>
      <c r="L107" s="61"/>
      <c r="M107" s="32"/>
      <c r="N107" s="32"/>
      <c r="O107" s="64" t="s">
        <v>347</v>
      </c>
      <c r="P107" s="74">
        <v>44350.0</v>
      </c>
      <c r="Q107" s="77" t="s">
        <v>505</v>
      </c>
      <c r="R107" s="35"/>
      <c r="S107" s="43"/>
      <c r="T107" s="43"/>
      <c r="U107" s="43"/>
      <c r="V107" s="50" t="s">
        <v>316</v>
      </c>
      <c r="W107" s="43"/>
      <c r="X107" s="43"/>
      <c r="Y107" s="43"/>
      <c r="Z107" s="43"/>
      <c r="AA107" s="43"/>
      <c r="AB107" s="43"/>
      <c r="AC107" s="43"/>
    </row>
    <row r="108">
      <c r="A108" s="47">
        <v>2017.0</v>
      </c>
      <c r="B108" s="53"/>
      <c r="C108" s="53">
        <v>44308.259009016205</v>
      </c>
      <c r="D108" s="54" t="s">
        <v>506</v>
      </c>
      <c r="E108" s="55">
        <v>1.700016024E9</v>
      </c>
      <c r="F108" s="54" t="s">
        <v>507</v>
      </c>
      <c r="G108" s="56" t="s">
        <v>508</v>
      </c>
      <c r="H108" s="54" t="s">
        <v>509</v>
      </c>
      <c r="I108" s="54" t="s">
        <v>399</v>
      </c>
      <c r="J108" s="60" t="s">
        <v>27</v>
      </c>
      <c r="K108" s="61"/>
      <c r="L108" s="61"/>
      <c r="M108" s="32"/>
      <c r="N108" s="32"/>
      <c r="O108" s="64" t="s">
        <v>347</v>
      </c>
      <c r="P108" s="74">
        <v>44350.0</v>
      </c>
      <c r="Q108" s="77" t="s">
        <v>510</v>
      </c>
      <c r="R108" s="35"/>
      <c r="S108" s="43"/>
      <c r="T108" s="43"/>
      <c r="U108" s="43"/>
      <c r="V108" s="50" t="s">
        <v>316</v>
      </c>
      <c r="W108" s="43"/>
      <c r="X108" s="43"/>
      <c r="Y108" s="43"/>
      <c r="Z108" s="43"/>
      <c r="AA108" s="43"/>
      <c r="AB108" s="43"/>
      <c r="AC108" s="43"/>
    </row>
    <row r="109">
      <c r="A109" s="47">
        <v>2017.0</v>
      </c>
      <c r="B109" s="53"/>
      <c r="C109" s="53">
        <v>44308.25935736111</v>
      </c>
      <c r="D109" s="54" t="s">
        <v>511</v>
      </c>
      <c r="E109" s="55">
        <v>1.700016086E9</v>
      </c>
      <c r="F109" s="54" t="s">
        <v>512</v>
      </c>
      <c r="G109" s="56" t="s">
        <v>513</v>
      </c>
      <c r="H109" s="54" t="s">
        <v>514</v>
      </c>
      <c r="I109" s="54" t="s">
        <v>399</v>
      </c>
      <c r="J109" s="60" t="s">
        <v>27</v>
      </c>
      <c r="K109" s="61"/>
      <c r="L109" s="61"/>
      <c r="M109" s="32"/>
      <c r="N109" s="32"/>
      <c r="O109" s="64" t="s">
        <v>347</v>
      </c>
      <c r="P109" s="74">
        <v>44350.0</v>
      </c>
      <c r="Q109" s="77" t="s">
        <v>515</v>
      </c>
      <c r="R109" s="35"/>
      <c r="S109" s="43"/>
      <c r="T109" s="43"/>
      <c r="U109" s="43"/>
      <c r="V109" s="50" t="s">
        <v>316</v>
      </c>
      <c r="W109" s="43"/>
      <c r="X109" s="43"/>
      <c r="Y109" s="43"/>
      <c r="Z109" s="43"/>
      <c r="AA109" s="43"/>
      <c r="AB109" s="43"/>
      <c r="AC109" s="43"/>
    </row>
    <row r="110">
      <c r="A110" s="47">
        <v>2017.0</v>
      </c>
      <c r="B110" s="53"/>
      <c r="C110" s="53">
        <v>44309.13698840278</v>
      </c>
      <c r="D110" s="54" t="s">
        <v>516</v>
      </c>
      <c r="E110" s="55">
        <v>1.700016008E9</v>
      </c>
      <c r="F110" s="54" t="s">
        <v>517</v>
      </c>
      <c r="G110" s="56" t="s">
        <v>518</v>
      </c>
      <c r="H110" s="54" t="s">
        <v>519</v>
      </c>
      <c r="I110" s="54" t="s">
        <v>399</v>
      </c>
      <c r="J110" s="60" t="s">
        <v>27</v>
      </c>
      <c r="K110" s="61"/>
      <c r="L110" s="61"/>
      <c r="M110" s="32"/>
      <c r="N110" s="32"/>
      <c r="O110" s="64" t="s">
        <v>347</v>
      </c>
      <c r="P110" s="74">
        <v>44350.0</v>
      </c>
      <c r="Q110" s="77" t="s">
        <v>520</v>
      </c>
      <c r="R110" s="35"/>
      <c r="S110" s="43"/>
      <c r="T110" s="43"/>
      <c r="U110" s="43"/>
      <c r="V110" s="50" t="s">
        <v>316</v>
      </c>
      <c r="W110" s="43"/>
      <c r="X110" s="43"/>
      <c r="Y110" s="43"/>
      <c r="Z110" s="43"/>
      <c r="AA110" s="43"/>
      <c r="AB110" s="43"/>
      <c r="AC110" s="43"/>
    </row>
    <row r="111">
      <c r="A111" s="47">
        <v>2017.0</v>
      </c>
      <c r="B111" s="53"/>
      <c r="C111" s="53">
        <v>44309.37609738426</v>
      </c>
      <c r="D111" s="54" t="s">
        <v>521</v>
      </c>
      <c r="E111" s="55">
        <v>1.700016023E9</v>
      </c>
      <c r="F111" s="54" t="s">
        <v>522</v>
      </c>
      <c r="G111" s="56" t="s">
        <v>523</v>
      </c>
      <c r="H111" s="54" t="s">
        <v>524</v>
      </c>
      <c r="I111" s="54" t="s">
        <v>399</v>
      </c>
      <c r="J111" s="60" t="s">
        <v>27</v>
      </c>
      <c r="K111" s="61"/>
      <c r="L111" s="61"/>
      <c r="M111" s="32"/>
      <c r="N111" s="32"/>
      <c r="O111" s="63" t="s">
        <v>352</v>
      </c>
      <c r="P111" s="74">
        <v>44352.0</v>
      </c>
      <c r="Q111" s="77" t="s">
        <v>505</v>
      </c>
      <c r="R111" s="35"/>
      <c r="S111" s="43"/>
      <c r="T111" s="43"/>
      <c r="U111" s="43"/>
      <c r="V111" s="50" t="s">
        <v>316</v>
      </c>
      <c r="W111" s="43"/>
      <c r="X111" s="43"/>
      <c r="Y111" s="43"/>
      <c r="Z111" s="43"/>
      <c r="AA111" s="43"/>
      <c r="AB111" s="43"/>
      <c r="AC111" s="43"/>
    </row>
    <row r="112">
      <c r="A112" s="47">
        <v>2017.0</v>
      </c>
      <c r="B112" s="53"/>
      <c r="C112" s="53">
        <v>44313.848566712964</v>
      </c>
      <c r="D112" s="54" t="s">
        <v>525</v>
      </c>
      <c r="E112" s="55">
        <v>1.700016085E9</v>
      </c>
      <c r="F112" s="54" t="s">
        <v>526</v>
      </c>
      <c r="G112" s="56" t="s">
        <v>527</v>
      </c>
      <c r="H112" s="54" t="s">
        <v>528</v>
      </c>
      <c r="I112" s="54" t="s">
        <v>399</v>
      </c>
      <c r="J112" s="60" t="s">
        <v>27</v>
      </c>
      <c r="K112" s="61"/>
      <c r="L112" s="61"/>
      <c r="M112" s="32"/>
      <c r="N112" s="32"/>
      <c r="O112" s="64" t="s">
        <v>347</v>
      </c>
      <c r="P112" s="74">
        <v>44361.0</v>
      </c>
      <c r="Q112" s="77" t="s">
        <v>529</v>
      </c>
      <c r="R112" s="35"/>
      <c r="S112" s="43"/>
      <c r="T112" s="43"/>
      <c r="U112" s="43"/>
      <c r="V112" s="50" t="s">
        <v>316</v>
      </c>
      <c r="W112" s="43"/>
      <c r="X112" s="43"/>
      <c r="Y112" s="43"/>
      <c r="Z112" s="43"/>
      <c r="AA112" s="43"/>
      <c r="AB112" s="43"/>
      <c r="AC112" s="43"/>
    </row>
    <row r="113">
      <c r="A113" s="47">
        <v>2017.0</v>
      </c>
      <c r="B113" s="53"/>
      <c r="C113" s="53">
        <v>44314.34829274306</v>
      </c>
      <c r="D113" s="54" t="s">
        <v>530</v>
      </c>
      <c r="E113" s="55">
        <v>1.700016095E9</v>
      </c>
      <c r="F113" s="54" t="s">
        <v>531</v>
      </c>
      <c r="G113" s="56" t="s">
        <v>532</v>
      </c>
      <c r="H113" s="54" t="s">
        <v>533</v>
      </c>
      <c r="I113" s="54" t="s">
        <v>399</v>
      </c>
      <c r="J113" s="54" t="s">
        <v>241</v>
      </c>
      <c r="K113" s="61"/>
      <c r="L113" s="61"/>
      <c r="M113" s="32"/>
      <c r="N113" s="32"/>
      <c r="O113" s="63" t="s">
        <v>339</v>
      </c>
      <c r="P113" s="74">
        <v>44352.0</v>
      </c>
      <c r="Q113" s="75" t="s">
        <v>534</v>
      </c>
      <c r="R113" s="35"/>
      <c r="S113" s="43"/>
      <c r="T113" s="43"/>
      <c r="U113" s="43"/>
      <c r="V113" s="50" t="s">
        <v>316</v>
      </c>
      <c r="W113" s="43"/>
      <c r="X113" s="43"/>
      <c r="Y113" s="43"/>
      <c r="Z113" s="43"/>
      <c r="AA113" s="43"/>
      <c r="AB113" s="43"/>
      <c r="AC113" s="43"/>
    </row>
    <row r="114">
      <c r="A114" s="47">
        <v>2017.0</v>
      </c>
      <c r="B114" s="53"/>
      <c r="C114" s="53">
        <v>44314.91889828704</v>
      </c>
      <c r="D114" s="54" t="s">
        <v>535</v>
      </c>
      <c r="E114" s="55">
        <v>1.70001605E9</v>
      </c>
      <c r="F114" s="54" t="s">
        <v>536</v>
      </c>
      <c r="G114" s="56" t="s">
        <v>537</v>
      </c>
      <c r="H114" s="54" t="s">
        <v>538</v>
      </c>
      <c r="I114" s="54" t="s">
        <v>399</v>
      </c>
      <c r="J114" s="54" t="s">
        <v>241</v>
      </c>
      <c r="K114" s="61"/>
      <c r="L114" s="61"/>
      <c r="M114" s="32"/>
      <c r="N114" s="32"/>
      <c r="O114" s="60" t="s">
        <v>539</v>
      </c>
      <c r="P114" s="74">
        <v>44352.0</v>
      </c>
      <c r="Q114" s="75" t="s">
        <v>540</v>
      </c>
      <c r="R114" s="35"/>
      <c r="S114" s="43"/>
      <c r="T114" s="43"/>
      <c r="U114" s="43"/>
      <c r="V114" s="50" t="s">
        <v>316</v>
      </c>
      <c r="W114" s="43"/>
      <c r="X114" s="43"/>
      <c r="Y114" s="43"/>
      <c r="Z114" s="43"/>
      <c r="AA114" s="43"/>
      <c r="AB114" s="43"/>
      <c r="AC114" s="43"/>
    </row>
    <row r="115">
      <c r="A115" s="47">
        <v>2017.0</v>
      </c>
      <c r="B115" s="53"/>
      <c r="C115" s="53">
        <v>44315.86377736111</v>
      </c>
      <c r="D115" s="54" t="s">
        <v>541</v>
      </c>
      <c r="E115" s="55">
        <v>1.700016013E9</v>
      </c>
      <c r="F115" s="54" t="s">
        <v>542</v>
      </c>
      <c r="G115" s="56" t="s">
        <v>543</v>
      </c>
      <c r="H115" s="54" t="s">
        <v>544</v>
      </c>
      <c r="I115" s="54" t="s">
        <v>399</v>
      </c>
      <c r="J115" s="60" t="s">
        <v>27</v>
      </c>
      <c r="K115" s="61"/>
      <c r="L115" s="61"/>
      <c r="M115" s="32"/>
      <c r="N115" s="32"/>
      <c r="O115" s="64" t="s">
        <v>347</v>
      </c>
      <c r="P115" s="74">
        <v>44350.0</v>
      </c>
      <c r="Q115" s="77" t="s">
        <v>545</v>
      </c>
      <c r="R115" s="35"/>
      <c r="S115" s="43"/>
      <c r="T115" s="43"/>
      <c r="U115" s="43"/>
      <c r="V115" s="50" t="s">
        <v>316</v>
      </c>
      <c r="W115" s="43"/>
      <c r="X115" s="43"/>
      <c r="Y115" s="43"/>
      <c r="Z115" s="43"/>
      <c r="AA115" s="43"/>
      <c r="AB115" s="43"/>
      <c r="AC115" s="43"/>
    </row>
    <row r="116">
      <c r="A116" s="47">
        <v>2017.0</v>
      </c>
      <c r="B116" s="53"/>
      <c r="C116" s="53">
        <v>44317.03060170139</v>
      </c>
      <c r="D116" s="54" t="s">
        <v>546</v>
      </c>
      <c r="E116" s="55">
        <v>1.700016069E9</v>
      </c>
      <c r="F116" s="54" t="s">
        <v>547</v>
      </c>
      <c r="G116" s="56" t="s">
        <v>548</v>
      </c>
      <c r="H116" s="54" t="s">
        <v>549</v>
      </c>
      <c r="I116" s="54" t="s">
        <v>399</v>
      </c>
      <c r="J116" s="60" t="s">
        <v>27</v>
      </c>
      <c r="K116" s="61"/>
      <c r="L116" s="61"/>
      <c r="M116" s="32"/>
      <c r="N116" s="32"/>
      <c r="O116" s="64" t="s">
        <v>347</v>
      </c>
      <c r="P116" s="74">
        <v>44350.0</v>
      </c>
      <c r="Q116" s="77" t="s">
        <v>550</v>
      </c>
      <c r="R116" s="35"/>
      <c r="S116" s="43"/>
      <c r="T116" s="43"/>
      <c r="U116" s="43"/>
      <c r="V116" s="50" t="s">
        <v>316</v>
      </c>
      <c r="W116" s="43"/>
      <c r="X116" s="43"/>
      <c r="Y116" s="43"/>
      <c r="Z116" s="43"/>
      <c r="AA116" s="43"/>
      <c r="AB116" s="43"/>
      <c r="AC116" s="43"/>
    </row>
    <row r="117">
      <c r="A117" s="47">
        <v>2017.0</v>
      </c>
      <c r="B117" s="53"/>
      <c r="C117" s="53">
        <v>44318.90549439815</v>
      </c>
      <c r="D117" s="54" t="s">
        <v>551</v>
      </c>
      <c r="E117" s="55">
        <v>1.700016039E9</v>
      </c>
      <c r="F117" s="54" t="s">
        <v>552</v>
      </c>
      <c r="G117" s="56" t="s">
        <v>553</v>
      </c>
      <c r="H117" s="54" t="s">
        <v>554</v>
      </c>
      <c r="I117" s="54" t="s">
        <v>399</v>
      </c>
      <c r="J117" s="60" t="s">
        <v>27</v>
      </c>
      <c r="K117" s="61"/>
      <c r="L117" s="61"/>
      <c r="M117" s="32"/>
      <c r="N117" s="32"/>
      <c r="O117" s="62" t="s">
        <v>28</v>
      </c>
      <c r="P117" s="74">
        <v>44352.0</v>
      </c>
      <c r="Q117" s="77" t="s">
        <v>500</v>
      </c>
      <c r="R117" s="35"/>
      <c r="S117" s="43"/>
      <c r="T117" s="43"/>
      <c r="U117" s="43"/>
      <c r="V117" s="50" t="s">
        <v>316</v>
      </c>
      <c r="W117" s="43"/>
      <c r="X117" s="43"/>
      <c r="Y117" s="43"/>
      <c r="Z117" s="43"/>
      <c r="AA117" s="43"/>
      <c r="AB117" s="43"/>
      <c r="AC117" s="43"/>
    </row>
    <row r="118">
      <c r="A118" s="47">
        <v>2017.0</v>
      </c>
      <c r="B118" s="65"/>
      <c r="C118" s="65">
        <v>44340.79111951389</v>
      </c>
      <c r="D118" s="66" t="s">
        <v>555</v>
      </c>
      <c r="E118" s="67">
        <v>1.700016084E9</v>
      </c>
      <c r="F118" s="66" t="s">
        <v>556</v>
      </c>
      <c r="G118" s="68" t="s">
        <v>557</v>
      </c>
      <c r="H118" s="66" t="s">
        <v>558</v>
      </c>
      <c r="I118" s="66" t="s">
        <v>399</v>
      </c>
      <c r="J118" s="66" t="s">
        <v>241</v>
      </c>
      <c r="K118" s="69"/>
      <c r="L118" s="69"/>
      <c r="M118" s="26"/>
      <c r="N118" s="26"/>
      <c r="O118" s="60" t="s">
        <v>539</v>
      </c>
      <c r="P118" s="78">
        <v>44361.0</v>
      </c>
      <c r="Q118" s="29" t="s">
        <v>559</v>
      </c>
      <c r="R118" s="70"/>
      <c r="S118" s="43"/>
      <c r="T118" s="43"/>
      <c r="U118" s="43"/>
      <c r="V118" s="50" t="s">
        <v>316</v>
      </c>
      <c r="W118" s="43"/>
      <c r="X118" s="43"/>
      <c r="Y118" s="43"/>
      <c r="Z118" s="43"/>
      <c r="AA118" s="43"/>
      <c r="AB118" s="43"/>
      <c r="AC118" s="43"/>
    </row>
    <row r="119">
      <c r="A119" s="47">
        <v>2017.0</v>
      </c>
      <c r="B119" s="65"/>
      <c r="C119" s="65">
        <v>44341.379164756945</v>
      </c>
      <c r="D119" s="66" t="s">
        <v>560</v>
      </c>
      <c r="E119" s="67">
        <v>1.700016052E9</v>
      </c>
      <c r="F119" s="66" t="s">
        <v>561</v>
      </c>
      <c r="G119" s="68" t="s">
        <v>562</v>
      </c>
      <c r="H119" s="66" t="s">
        <v>563</v>
      </c>
      <c r="I119" s="66" t="s">
        <v>399</v>
      </c>
      <c r="J119" s="79" t="s">
        <v>27</v>
      </c>
      <c r="K119" s="69"/>
      <c r="L119" s="69"/>
      <c r="M119" s="26"/>
      <c r="N119" s="26"/>
      <c r="O119" s="59" t="s">
        <v>40</v>
      </c>
      <c r="P119" s="78">
        <v>44361.0</v>
      </c>
      <c r="Q119" s="29" t="s">
        <v>564</v>
      </c>
      <c r="R119" s="70"/>
      <c r="S119" s="43"/>
      <c r="T119" s="43"/>
      <c r="U119" s="43"/>
      <c r="V119" s="50" t="s">
        <v>316</v>
      </c>
      <c r="W119" s="43"/>
      <c r="X119" s="43"/>
      <c r="Y119" s="43"/>
      <c r="Z119" s="43"/>
      <c r="AA119" s="43"/>
      <c r="AB119" s="43"/>
      <c r="AC119" s="43"/>
    </row>
    <row r="120">
      <c r="A120" s="47">
        <v>2017.0</v>
      </c>
      <c r="B120" s="65"/>
      <c r="C120" s="65">
        <v>44344.02582210649</v>
      </c>
      <c r="D120" s="66" t="s">
        <v>565</v>
      </c>
      <c r="E120" s="67">
        <v>1.700016045E9</v>
      </c>
      <c r="F120" s="66" t="s">
        <v>566</v>
      </c>
      <c r="G120" s="68" t="s">
        <v>567</v>
      </c>
      <c r="H120" s="66" t="s">
        <v>568</v>
      </c>
      <c r="I120" s="66" t="s">
        <v>399</v>
      </c>
      <c r="J120" s="79" t="s">
        <v>569</v>
      </c>
      <c r="K120" s="69"/>
      <c r="L120" s="69"/>
      <c r="M120" s="26"/>
      <c r="N120" s="26"/>
      <c r="O120" s="59" t="s">
        <v>72</v>
      </c>
      <c r="P120" s="80">
        <v>44357.0</v>
      </c>
      <c r="Q120" s="81" t="s">
        <v>570</v>
      </c>
      <c r="R120" s="70"/>
      <c r="S120" s="43"/>
      <c r="T120" s="43"/>
      <c r="U120" s="43"/>
      <c r="V120" s="50" t="s">
        <v>316</v>
      </c>
      <c r="W120" s="43"/>
      <c r="X120" s="43"/>
      <c r="Y120" s="43"/>
      <c r="Z120" s="43"/>
      <c r="AA120" s="43"/>
      <c r="AB120" s="43"/>
      <c r="AC120" s="43"/>
    </row>
    <row r="121">
      <c r="A121" s="47">
        <v>2017.0</v>
      </c>
      <c r="B121" s="65"/>
      <c r="C121" s="65">
        <v>44350.01007962963</v>
      </c>
      <c r="D121" s="66" t="s">
        <v>571</v>
      </c>
      <c r="E121" s="67">
        <v>1.700016038E9</v>
      </c>
      <c r="F121" s="66" t="s">
        <v>572</v>
      </c>
      <c r="G121" s="68" t="s">
        <v>573</v>
      </c>
      <c r="H121" s="66" t="s">
        <v>574</v>
      </c>
      <c r="I121" s="66" t="s">
        <v>399</v>
      </c>
      <c r="J121" s="79" t="s">
        <v>219</v>
      </c>
      <c r="K121" s="69"/>
      <c r="L121" s="69"/>
      <c r="M121" s="26"/>
      <c r="N121" s="26"/>
      <c r="O121" s="59" t="s">
        <v>72</v>
      </c>
      <c r="P121" s="24" t="s">
        <v>575</v>
      </c>
      <c r="Q121" s="29" t="s">
        <v>570</v>
      </c>
      <c r="R121" s="70"/>
      <c r="S121" s="43"/>
      <c r="T121" s="43"/>
      <c r="U121" s="43"/>
      <c r="V121" s="50" t="s">
        <v>316</v>
      </c>
      <c r="W121" s="43"/>
      <c r="X121" s="43"/>
      <c r="Y121" s="43"/>
      <c r="Z121" s="43"/>
      <c r="AA121" s="43"/>
      <c r="AB121" s="43"/>
      <c r="AC121" s="43"/>
    </row>
    <row r="122">
      <c r="A122" s="47">
        <v>2017.0</v>
      </c>
      <c r="B122" s="65"/>
      <c r="C122" s="65">
        <v>44351.96758548611</v>
      </c>
      <c r="D122" s="66" t="s">
        <v>576</v>
      </c>
      <c r="E122" s="67">
        <v>1.700016071E9</v>
      </c>
      <c r="F122" s="66" t="s">
        <v>577</v>
      </c>
      <c r="G122" s="68" t="s">
        <v>578</v>
      </c>
      <c r="H122" s="66" t="s">
        <v>579</v>
      </c>
      <c r="I122" s="66" t="s">
        <v>399</v>
      </c>
      <c r="J122" s="66" t="s">
        <v>241</v>
      </c>
      <c r="K122" s="69"/>
      <c r="L122" s="69"/>
      <c r="M122" s="26"/>
      <c r="N122" s="26"/>
      <c r="O122" s="63" t="s">
        <v>352</v>
      </c>
      <c r="P122" s="78">
        <v>44357.0</v>
      </c>
      <c r="Q122" s="29" t="s">
        <v>570</v>
      </c>
      <c r="R122" s="70"/>
      <c r="S122" s="43"/>
      <c r="T122" s="43"/>
      <c r="U122" s="43"/>
      <c r="V122" s="50" t="s">
        <v>316</v>
      </c>
      <c r="W122" s="43"/>
      <c r="X122" s="43"/>
      <c r="Y122" s="43"/>
      <c r="Z122" s="43"/>
      <c r="AA122" s="43"/>
      <c r="AB122" s="43"/>
      <c r="AC122" s="43"/>
    </row>
    <row r="123">
      <c r="A123" s="47">
        <v>2017.0</v>
      </c>
      <c r="B123" s="65"/>
      <c r="C123" s="65">
        <v>44352.36576238426</v>
      </c>
      <c r="D123" s="66" t="s">
        <v>580</v>
      </c>
      <c r="E123" s="67">
        <v>1.70001603E9</v>
      </c>
      <c r="F123" s="66" t="s">
        <v>581</v>
      </c>
      <c r="G123" s="68" t="s">
        <v>582</v>
      </c>
      <c r="H123" s="66" t="s">
        <v>583</v>
      </c>
      <c r="I123" s="66" t="s">
        <v>399</v>
      </c>
      <c r="J123" s="79" t="s">
        <v>219</v>
      </c>
      <c r="K123" s="69"/>
      <c r="L123" s="69"/>
      <c r="M123" s="26"/>
      <c r="N123" s="26"/>
      <c r="O123" s="59" t="s">
        <v>72</v>
      </c>
      <c r="P123" s="24" t="s">
        <v>575</v>
      </c>
      <c r="Q123" s="29" t="s">
        <v>550</v>
      </c>
      <c r="R123" s="70"/>
      <c r="S123" s="43"/>
      <c r="T123" s="43"/>
      <c r="U123" s="43"/>
      <c r="V123" s="50" t="s">
        <v>316</v>
      </c>
      <c r="W123" s="43"/>
      <c r="X123" s="43"/>
      <c r="Y123" s="43"/>
      <c r="Z123" s="43"/>
      <c r="AA123" s="43"/>
      <c r="AB123" s="43"/>
      <c r="AC123" s="43"/>
    </row>
    <row r="124">
      <c r="A124" s="47">
        <v>2017.0</v>
      </c>
      <c r="B124" s="65"/>
      <c r="C124" s="65">
        <v>44352.8437481713</v>
      </c>
      <c r="D124" s="66" t="s">
        <v>584</v>
      </c>
      <c r="E124" s="67">
        <v>1.700016007E9</v>
      </c>
      <c r="F124" s="66" t="s">
        <v>585</v>
      </c>
      <c r="G124" s="68" t="s">
        <v>586</v>
      </c>
      <c r="H124" s="66" t="s">
        <v>587</v>
      </c>
      <c r="I124" s="66" t="s">
        <v>399</v>
      </c>
      <c r="J124" s="79" t="s">
        <v>27</v>
      </c>
      <c r="K124" s="69"/>
      <c r="L124" s="69"/>
      <c r="M124" s="26"/>
      <c r="N124" s="26"/>
      <c r="O124" s="64" t="s">
        <v>347</v>
      </c>
      <c r="P124" s="78">
        <v>44361.0</v>
      </c>
      <c r="Q124" s="29" t="s">
        <v>510</v>
      </c>
      <c r="R124" s="70"/>
      <c r="S124" s="43"/>
      <c r="T124" s="43"/>
      <c r="U124" s="43"/>
      <c r="V124" s="50" t="s">
        <v>316</v>
      </c>
      <c r="W124" s="43"/>
      <c r="X124" s="43"/>
      <c r="Y124" s="43"/>
      <c r="Z124" s="43"/>
      <c r="AA124" s="43"/>
      <c r="AB124" s="43"/>
      <c r="AC124" s="43"/>
    </row>
    <row r="125">
      <c r="A125" s="47">
        <v>2017.0</v>
      </c>
      <c r="B125" s="53"/>
      <c r="C125" s="53">
        <v>44353.99303538194</v>
      </c>
      <c r="D125" s="54" t="s">
        <v>588</v>
      </c>
      <c r="E125" s="47">
        <v>1.700016004E9</v>
      </c>
      <c r="F125" s="54" t="s">
        <v>589</v>
      </c>
      <c r="G125" s="56" t="s">
        <v>590</v>
      </c>
      <c r="H125" s="54" t="s">
        <v>591</v>
      </c>
      <c r="I125" s="54" t="s">
        <v>399</v>
      </c>
      <c r="J125" s="60" t="s">
        <v>27</v>
      </c>
      <c r="K125" s="61"/>
      <c r="L125" s="61"/>
      <c r="M125" s="32"/>
      <c r="N125" s="32"/>
      <c r="O125" s="64" t="s">
        <v>347</v>
      </c>
      <c r="P125" s="78">
        <v>44361.0</v>
      </c>
      <c r="Q125" s="29" t="s">
        <v>592</v>
      </c>
      <c r="R125" s="35"/>
      <c r="S125" s="43"/>
      <c r="T125" s="43"/>
      <c r="U125" s="43"/>
      <c r="V125" s="50" t="s">
        <v>316</v>
      </c>
      <c r="W125" s="43"/>
      <c r="X125" s="43"/>
      <c r="Y125" s="43"/>
      <c r="Z125" s="43"/>
      <c r="AA125" s="43"/>
      <c r="AB125" s="43"/>
      <c r="AC125" s="43"/>
    </row>
    <row r="126">
      <c r="A126" s="47">
        <v>2017.0</v>
      </c>
      <c r="B126" s="53"/>
      <c r="C126" s="53">
        <v>44354.02491476852</v>
      </c>
      <c r="D126" s="54" t="s">
        <v>593</v>
      </c>
      <c r="E126" s="55">
        <v>1.700016093E9</v>
      </c>
      <c r="F126" s="54" t="s">
        <v>594</v>
      </c>
      <c r="G126" s="56" t="s">
        <v>595</v>
      </c>
      <c r="H126" s="54" t="s">
        <v>596</v>
      </c>
      <c r="I126" s="54" t="s">
        <v>399</v>
      </c>
      <c r="J126" s="60" t="s">
        <v>39</v>
      </c>
      <c r="K126" s="61"/>
      <c r="L126" s="61"/>
      <c r="M126" s="32"/>
      <c r="N126" s="32"/>
      <c r="O126" s="64" t="s">
        <v>347</v>
      </c>
      <c r="P126" s="82">
        <v>44357.0</v>
      </c>
      <c r="Q126" s="45" t="s">
        <v>592</v>
      </c>
      <c r="R126" s="35"/>
      <c r="S126" s="43"/>
      <c r="T126" s="43"/>
      <c r="U126" s="43"/>
      <c r="V126" s="50" t="s">
        <v>316</v>
      </c>
      <c r="W126" s="43"/>
      <c r="X126" s="43"/>
      <c r="Y126" s="43"/>
      <c r="Z126" s="43"/>
      <c r="AA126" s="43"/>
      <c r="AB126" s="43"/>
      <c r="AC126" s="43"/>
    </row>
    <row r="127">
      <c r="A127" s="47">
        <v>2017.0</v>
      </c>
      <c r="B127" s="53"/>
      <c r="C127" s="53">
        <v>44354.03017488426</v>
      </c>
      <c r="D127" s="54" t="s">
        <v>597</v>
      </c>
      <c r="E127" s="55">
        <v>1.700016073E9</v>
      </c>
      <c r="F127" s="54" t="s">
        <v>598</v>
      </c>
      <c r="G127" s="56" t="s">
        <v>599</v>
      </c>
      <c r="H127" s="54" t="s">
        <v>600</v>
      </c>
      <c r="I127" s="54" t="s">
        <v>399</v>
      </c>
      <c r="J127" s="54" t="s">
        <v>241</v>
      </c>
      <c r="K127" s="61"/>
      <c r="L127" s="61"/>
      <c r="M127" s="32"/>
      <c r="N127" s="32"/>
      <c r="O127" s="60" t="s">
        <v>539</v>
      </c>
      <c r="P127" s="78">
        <v>44361.0</v>
      </c>
      <c r="Q127" s="45" t="s">
        <v>520</v>
      </c>
      <c r="R127" s="35"/>
      <c r="S127" s="43"/>
      <c r="T127" s="43"/>
      <c r="U127" s="43"/>
      <c r="V127" s="50" t="s">
        <v>316</v>
      </c>
      <c r="W127" s="43"/>
      <c r="X127" s="43"/>
      <c r="Y127" s="43"/>
      <c r="Z127" s="43"/>
      <c r="AA127" s="43"/>
      <c r="AB127" s="43"/>
      <c r="AC127" s="43"/>
    </row>
    <row r="128">
      <c r="A128" s="47">
        <v>2017.0</v>
      </c>
      <c r="B128" s="53"/>
      <c r="C128" s="53">
        <v>44354.96131321759</v>
      </c>
      <c r="D128" s="54" t="s">
        <v>601</v>
      </c>
      <c r="E128" s="55">
        <v>1.70001609E9</v>
      </c>
      <c r="F128" s="54" t="s">
        <v>602</v>
      </c>
      <c r="G128" s="56" t="s">
        <v>603</v>
      </c>
      <c r="H128" s="54" t="s">
        <v>604</v>
      </c>
      <c r="I128" s="54" t="s">
        <v>399</v>
      </c>
      <c r="J128" s="60" t="s">
        <v>27</v>
      </c>
      <c r="K128" s="61"/>
      <c r="L128" s="83"/>
      <c r="N128" s="84"/>
      <c r="O128" s="59" t="s">
        <v>40</v>
      </c>
      <c r="P128" s="82">
        <v>44364.0</v>
      </c>
      <c r="Q128" s="45" t="s">
        <v>564</v>
      </c>
      <c r="R128" s="35"/>
      <c r="S128" s="32"/>
      <c r="T128" s="43"/>
      <c r="U128" s="43"/>
      <c r="V128" s="50" t="s">
        <v>316</v>
      </c>
      <c r="W128" s="43"/>
      <c r="X128" s="43"/>
      <c r="Y128" s="43"/>
      <c r="Z128" s="43"/>
      <c r="AA128" s="43"/>
      <c r="AB128" s="43"/>
      <c r="AC128" s="43"/>
    </row>
    <row r="129">
      <c r="A129" s="47">
        <v>2017.0</v>
      </c>
      <c r="B129" s="53"/>
      <c r="C129" s="53">
        <v>44355.8997516088</v>
      </c>
      <c r="D129" s="54" t="s">
        <v>605</v>
      </c>
      <c r="E129" s="55">
        <v>1.700016005E9</v>
      </c>
      <c r="F129" s="54" t="s">
        <v>606</v>
      </c>
      <c r="G129" s="56" t="s">
        <v>607</v>
      </c>
      <c r="H129" s="54" t="s">
        <v>608</v>
      </c>
      <c r="I129" s="54" t="s">
        <v>399</v>
      </c>
      <c r="J129" s="60" t="s">
        <v>39</v>
      </c>
      <c r="K129" s="61"/>
      <c r="L129" s="83"/>
      <c r="N129" s="84"/>
      <c r="O129" s="59" t="s">
        <v>72</v>
      </c>
      <c r="P129" s="85" t="s">
        <v>609</v>
      </c>
      <c r="Q129" s="45" t="s">
        <v>570</v>
      </c>
      <c r="R129" s="35"/>
      <c r="S129" s="32"/>
      <c r="T129" s="43"/>
      <c r="U129" s="43"/>
      <c r="V129" s="50" t="s">
        <v>316</v>
      </c>
      <c r="W129" s="43"/>
      <c r="X129" s="43"/>
      <c r="Y129" s="43"/>
      <c r="Z129" s="43"/>
      <c r="AA129" s="43"/>
      <c r="AB129" s="43"/>
      <c r="AC129" s="43"/>
    </row>
    <row r="130">
      <c r="A130" s="47">
        <v>2017.0</v>
      </c>
      <c r="B130" s="53"/>
      <c r="C130" s="53">
        <v>44358.22760777778</v>
      </c>
      <c r="D130" s="54" t="s">
        <v>610</v>
      </c>
      <c r="E130" s="55">
        <v>1.700016119E9</v>
      </c>
      <c r="F130" s="54" t="s">
        <v>611</v>
      </c>
      <c r="G130" s="56" t="s">
        <v>612</v>
      </c>
      <c r="H130" s="54" t="s">
        <v>613</v>
      </c>
      <c r="I130" s="54" t="s">
        <v>399</v>
      </c>
      <c r="J130" s="54" t="s">
        <v>183</v>
      </c>
      <c r="K130" s="61"/>
      <c r="L130" s="83"/>
      <c r="N130" s="84"/>
      <c r="O130" s="63" t="s">
        <v>339</v>
      </c>
      <c r="P130" s="85" t="s">
        <v>609</v>
      </c>
      <c r="Q130" s="45" t="s">
        <v>570</v>
      </c>
      <c r="R130" s="35"/>
      <c r="S130" s="32"/>
      <c r="T130" s="43"/>
      <c r="U130" s="43"/>
      <c r="V130" s="50" t="s">
        <v>316</v>
      </c>
      <c r="W130" s="43"/>
      <c r="X130" s="43"/>
      <c r="Y130" s="43"/>
      <c r="Z130" s="43"/>
      <c r="AA130" s="43"/>
      <c r="AB130" s="43"/>
      <c r="AC130" s="43"/>
    </row>
    <row r="131">
      <c r="A131" s="47">
        <v>2017.0</v>
      </c>
      <c r="B131" s="53"/>
      <c r="C131" s="53">
        <v>44358.42667074074</v>
      </c>
      <c r="D131" s="54" t="s">
        <v>614</v>
      </c>
      <c r="E131" s="55">
        <v>1.700016014E9</v>
      </c>
      <c r="F131" s="54" t="s">
        <v>615</v>
      </c>
      <c r="G131" s="56" t="s">
        <v>616</v>
      </c>
      <c r="H131" s="54" t="s">
        <v>617</v>
      </c>
      <c r="I131" s="54" t="s">
        <v>399</v>
      </c>
      <c r="J131" s="60" t="s">
        <v>27</v>
      </c>
      <c r="K131" s="61"/>
      <c r="L131" s="83"/>
      <c r="N131" s="84"/>
      <c r="O131" s="63" t="s">
        <v>339</v>
      </c>
      <c r="P131" s="82">
        <v>44364.0</v>
      </c>
      <c r="Q131" s="45" t="s">
        <v>592</v>
      </c>
      <c r="R131" s="35"/>
      <c r="S131" s="32"/>
      <c r="T131" s="43"/>
      <c r="U131" s="43"/>
      <c r="V131" s="50" t="s">
        <v>316</v>
      </c>
      <c r="W131" s="43"/>
      <c r="X131" s="43"/>
      <c r="Y131" s="43"/>
      <c r="Z131" s="43"/>
      <c r="AA131" s="43"/>
      <c r="AB131" s="43"/>
      <c r="AC131" s="43"/>
    </row>
    <row r="132">
      <c r="A132" s="24">
        <v>2016.0</v>
      </c>
      <c r="B132" s="53"/>
      <c r="C132" s="53">
        <v>44360.90427049769</v>
      </c>
      <c r="D132" s="54" t="s">
        <v>618</v>
      </c>
      <c r="E132" s="55">
        <v>1.600016009E9</v>
      </c>
      <c r="F132" s="54" t="s">
        <v>619</v>
      </c>
      <c r="G132" s="56" t="s">
        <v>620</v>
      </c>
      <c r="H132" s="54" t="s">
        <v>621</v>
      </c>
      <c r="I132" s="54" t="s">
        <v>399</v>
      </c>
      <c r="J132" s="60" t="s">
        <v>569</v>
      </c>
      <c r="K132" s="58"/>
      <c r="L132" s="84"/>
      <c r="N132" s="84"/>
      <c r="O132" s="59" t="s">
        <v>387</v>
      </c>
      <c r="P132" s="82">
        <v>44375.0</v>
      </c>
      <c r="Q132" s="45" t="s">
        <v>500</v>
      </c>
      <c r="R132" s="35"/>
      <c r="S132" s="32"/>
      <c r="T132" s="43"/>
      <c r="U132" s="43"/>
      <c r="V132" s="50" t="s">
        <v>316</v>
      </c>
      <c r="W132" s="43"/>
      <c r="X132" s="43"/>
      <c r="Y132" s="43"/>
      <c r="Z132" s="43"/>
      <c r="AA132" s="43"/>
      <c r="AB132" s="43"/>
      <c r="AC132" s="43"/>
    </row>
    <row r="133">
      <c r="A133" s="24">
        <v>2016.0</v>
      </c>
      <c r="B133" s="53"/>
      <c r="C133" s="53">
        <v>44361.95907703704</v>
      </c>
      <c r="D133" s="54" t="s">
        <v>622</v>
      </c>
      <c r="E133" s="55">
        <v>1.600016084E9</v>
      </c>
      <c r="F133" s="54" t="s">
        <v>623</v>
      </c>
      <c r="G133" s="56" t="s">
        <v>624</v>
      </c>
      <c r="H133" s="54" t="s">
        <v>625</v>
      </c>
      <c r="I133" s="54" t="s">
        <v>399</v>
      </c>
      <c r="J133" s="60" t="s">
        <v>27</v>
      </c>
      <c r="K133" s="58"/>
      <c r="L133" s="84"/>
      <c r="N133" s="84"/>
      <c r="O133" s="59" t="s">
        <v>123</v>
      </c>
      <c r="P133" s="82">
        <v>44375.0</v>
      </c>
      <c r="Q133" s="32"/>
      <c r="R133" s="35"/>
      <c r="S133" s="32"/>
      <c r="T133" s="43"/>
      <c r="U133" s="43"/>
      <c r="V133" s="50" t="s">
        <v>316</v>
      </c>
      <c r="W133" s="43"/>
      <c r="X133" s="43"/>
      <c r="Y133" s="43"/>
      <c r="Z133" s="43"/>
      <c r="AA133" s="43"/>
      <c r="AB133" s="43"/>
      <c r="AC133" s="43"/>
    </row>
    <row r="134">
      <c r="A134" s="24">
        <v>2016.0</v>
      </c>
      <c r="B134" s="53"/>
      <c r="C134" s="53">
        <v>44371.883535138884</v>
      </c>
      <c r="D134" s="54" t="s">
        <v>174</v>
      </c>
      <c r="E134" s="55">
        <v>1.600016074E9</v>
      </c>
      <c r="F134" s="54" t="s">
        <v>175</v>
      </c>
      <c r="G134" s="56" t="s">
        <v>176</v>
      </c>
      <c r="H134" s="54" t="s">
        <v>626</v>
      </c>
      <c r="I134" s="54" t="s">
        <v>399</v>
      </c>
      <c r="J134" s="60" t="s">
        <v>39</v>
      </c>
      <c r="K134" s="58"/>
      <c r="L134" s="84"/>
      <c r="N134" s="84"/>
      <c r="O134" s="59" t="s">
        <v>72</v>
      </c>
      <c r="P134" s="82">
        <v>44383.0</v>
      </c>
      <c r="Q134" s="45" t="s">
        <v>500</v>
      </c>
      <c r="R134" s="35"/>
      <c r="S134" s="32"/>
      <c r="T134" s="43"/>
      <c r="U134" s="43"/>
      <c r="V134" s="50" t="s">
        <v>316</v>
      </c>
      <c r="W134" s="43"/>
      <c r="X134" s="43"/>
      <c r="Y134" s="43"/>
      <c r="Z134" s="43"/>
      <c r="AA134" s="43"/>
      <c r="AB134" s="43"/>
      <c r="AC134" s="43"/>
    </row>
    <row r="135">
      <c r="A135" s="24">
        <v>2015.0</v>
      </c>
      <c r="B135" s="53"/>
      <c r="C135" s="53">
        <v>44375.10825027778</v>
      </c>
      <c r="D135" s="54" t="s">
        <v>627</v>
      </c>
      <c r="E135" s="55">
        <v>1.500016068E9</v>
      </c>
      <c r="F135" s="54" t="s">
        <v>628</v>
      </c>
      <c r="G135" s="56" t="s">
        <v>629</v>
      </c>
      <c r="H135" s="54" t="s">
        <v>630</v>
      </c>
      <c r="I135" s="54" t="s">
        <v>399</v>
      </c>
      <c r="J135" s="54" t="s">
        <v>117</v>
      </c>
      <c r="K135" s="58"/>
      <c r="L135" s="84"/>
      <c r="N135" s="84"/>
      <c r="O135" s="59" t="s">
        <v>387</v>
      </c>
      <c r="P135" s="82">
        <v>44383.0</v>
      </c>
      <c r="Q135" s="45" t="s">
        <v>564</v>
      </c>
      <c r="R135" s="35"/>
      <c r="S135" s="32"/>
      <c r="T135" s="43"/>
      <c r="U135" s="43"/>
      <c r="V135" s="50" t="s">
        <v>316</v>
      </c>
      <c r="W135" s="43"/>
      <c r="X135" s="43"/>
      <c r="Y135" s="43"/>
      <c r="Z135" s="43"/>
      <c r="AA135" s="43"/>
      <c r="AB135" s="43"/>
      <c r="AC135" s="43"/>
    </row>
    <row r="136">
      <c r="A136" s="47">
        <v>2017.0</v>
      </c>
      <c r="B136" s="53"/>
      <c r="C136" s="53">
        <v>44380.10301944445</v>
      </c>
      <c r="D136" s="54" t="s">
        <v>631</v>
      </c>
      <c r="E136" s="55">
        <v>1.700016068E9</v>
      </c>
      <c r="F136" s="54" t="s">
        <v>632</v>
      </c>
      <c r="G136" s="56" t="s">
        <v>633</v>
      </c>
      <c r="H136" s="54" t="s">
        <v>634</v>
      </c>
      <c r="I136" s="54" t="s">
        <v>399</v>
      </c>
      <c r="J136" s="60" t="s">
        <v>39</v>
      </c>
      <c r="K136" s="61"/>
      <c r="L136" s="83"/>
      <c r="N136" s="84"/>
      <c r="O136" s="64" t="s">
        <v>347</v>
      </c>
      <c r="P136" s="82">
        <v>44389.0</v>
      </c>
      <c r="Q136" s="45" t="s">
        <v>500</v>
      </c>
      <c r="R136" s="35"/>
      <c r="S136" s="32"/>
      <c r="T136" s="43"/>
      <c r="U136" s="43"/>
      <c r="V136" s="50" t="s">
        <v>316</v>
      </c>
      <c r="W136" s="43"/>
      <c r="X136" s="43"/>
      <c r="Y136" s="43"/>
      <c r="Z136" s="43"/>
      <c r="AA136" s="43"/>
      <c r="AB136" s="43"/>
      <c r="AC136" s="43"/>
    </row>
    <row r="137">
      <c r="A137" s="47">
        <v>2017.0</v>
      </c>
      <c r="B137" s="53"/>
      <c r="C137" s="53">
        <v>44386.72891337963</v>
      </c>
      <c r="D137" s="54" t="s">
        <v>635</v>
      </c>
      <c r="E137" s="55">
        <v>1.700016081E9</v>
      </c>
      <c r="F137" s="54" t="s">
        <v>636</v>
      </c>
      <c r="G137" s="56" t="s">
        <v>637</v>
      </c>
      <c r="H137" s="54" t="s">
        <v>638</v>
      </c>
      <c r="I137" s="54" t="s">
        <v>399</v>
      </c>
      <c r="J137" s="60" t="s">
        <v>27</v>
      </c>
      <c r="K137" s="61"/>
      <c r="L137" s="83"/>
      <c r="N137" s="84"/>
      <c r="O137" s="63" t="s">
        <v>339</v>
      </c>
      <c r="P137" s="85" t="s">
        <v>639</v>
      </c>
      <c r="Q137" s="45" t="s">
        <v>564</v>
      </c>
      <c r="R137" s="35"/>
      <c r="S137" s="32"/>
      <c r="T137" s="43"/>
      <c r="U137" s="43"/>
      <c r="V137" s="50" t="s">
        <v>316</v>
      </c>
      <c r="W137" s="43"/>
      <c r="X137" s="43"/>
      <c r="Y137" s="43"/>
      <c r="Z137" s="43"/>
      <c r="AA137" s="43"/>
      <c r="AB137" s="43"/>
      <c r="AC137" s="43"/>
    </row>
    <row r="138">
      <c r="A138" s="47">
        <v>2017.0</v>
      </c>
      <c r="B138" s="53"/>
      <c r="C138" s="53">
        <v>44389.91582800926</v>
      </c>
      <c r="D138" s="54" t="s">
        <v>640</v>
      </c>
      <c r="E138" s="55">
        <v>1.700016044E9</v>
      </c>
      <c r="F138" s="54" t="s">
        <v>641</v>
      </c>
      <c r="G138" s="56" t="s">
        <v>642</v>
      </c>
      <c r="H138" s="54" t="s">
        <v>643</v>
      </c>
      <c r="I138" s="54" t="s">
        <v>399</v>
      </c>
      <c r="J138" s="54" t="s">
        <v>183</v>
      </c>
      <c r="K138" s="61"/>
      <c r="L138" s="83"/>
      <c r="N138" s="84"/>
      <c r="O138" s="63" t="s">
        <v>339</v>
      </c>
      <c r="P138" s="82">
        <v>44408.0</v>
      </c>
      <c r="Q138" s="81" t="s">
        <v>500</v>
      </c>
      <c r="R138" s="35"/>
      <c r="S138" s="32"/>
      <c r="T138" s="43"/>
      <c r="U138" s="43"/>
      <c r="V138" s="50" t="s">
        <v>316</v>
      </c>
      <c r="W138" s="43"/>
      <c r="X138" s="43"/>
      <c r="Y138" s="43"/>
      <c r="Z138" s="43"/>
      <c r="AA138" s="43"/>
      <c r="AB138" s="43"/>
      <c r="AC138" s="43"/>
    </row>
    <row r="139">
      <c r="A139" s="47">
        <v>2017.0</v>
      </c>
      <c r="B139" s="53"/>
      <c r="C139" s="53">
        <v>44394.36930706019</v>
      </c>
      <c r="D139" s="54" t="s">
        <v>644</v>
      </c>
      <c r="E139" s="55">
        <v>1.70001602E9</v>
      </c>
      <c r="F139" s="54" t="s">
        <v>645</v>
      </c>
      <c r="G139" s="56" t="s">
        <v>646</v>
      </c>
      <c r="H139" s="54" t="s">
        <v>647</v>
      </c>
      <c r="I139" s="54" t="s">
        <v>399</v>
      </c>
      <c r="J139" s="60" t="s">
        <v>393</v>
      </c>
      <c r="K139" s="61"/>
      <c r="L139" s="83"/>
      <c r="N139" s="84"/>
      <c r="O139" s="63" t="s">
        <v>352</v>
      </c>
      <c r="P139" s="82">
        <v>44408.0</v>
      </c>
      <c r="Q139" s="45" t="s">
        <v>564</v>
      </c>
      <c r="R139" s="35"/>
      <c r="S139" s="32"/>
      <c r="T139" s="43"/>
      <c r="U139" s="43"/>
      <c r="V139" s="50" t="s">
        <v>316</v>
      </c>
      <c r="W139" s="43"/>
      <c r="X139" s="43"/>
      <c r="Y139" s="43"/>
      <c r="Z139" s="43"/>
      <c r="AA139" s="43"/>
      <c r="AB139" s="43"/>
      <c r="AC139" s="43"/>
    </row>
    <row r="140">
      <c r="A140" s="47">
        <v>2017.0</v>
      </c>
      <c r="B140" s="53"/>
      <c r="C140" s="53">
        <v>44395.13299355324</v>
      </c>
      <c r="D140" s="54" t="s">
        <v>648</v>
      </c>
      <c r="E140" s="55">
        <v>1.70001601E9</v>
      </c>
      <c r="F140" s="54" t="s">
        <v>649</v>
      </c>
      <c r="G140" s="56" t="s">
        <v>650</v>
      </c>
      <c r="H140" s="54" t="s">
        <v>651</v>
      </c>
      <c r="I140" s="54" t="s">
        <v>399</v>
      </c>
      <c r="J140" s="54" t="s">
        <v>241</v>
      </c>
      <c r="K140" s="61"/>
      <c r="L140" s="83"/>
      <c r="N140" s="84"/>
      <c r="O140" s="59" t="s">
        <v>72</v>
      </c>
      <c r="P140" s="45" t="s">
        <v>639</v>
      </c>
      <c r="Q140" s="45" t="s">
        <v>592</v>
      </c>
      <c r="R140" s="35"/>
      <c r="S140" s="32"/>
      <c r="T140" s="43"/>
      <c r="U140" s="43"/>
      <c r="V140" s="50" t="s">
        <v>316</v>
      </c>
      <c r="W140" s="43"/>
      <c r="X140" s="43"/>
      <c r="Y140" s="43"/>
      <c r="Z140" s="43"/>
      <c r="AA140" s="43"/>
      <c r="AB140" s="43"/>
      <c r="AC140" s="43"/>
    </row>
    <row r="141">
      <c r="A141" s="47">
        <v>2017.0</v>
      </c>
      <c r="B141" s="53"/>
      <c r="C141" s="53">
        <v>44411.03992101851</v>
      </c>
      <c r="D141" s="54" t="s">
        <v>652</v>
      </c>
      <c r="E141" s="55">
        <v>1.700016115E9</v>
      </c>
      <c r="F141" s="54" t="s">
        <v>653</v>
      </c>
      <c r="G141" s="56" t="s">
        <v>654</v>
      </c>
      <c r="H141" s="54" t="s">
        <v>655</v>
      </c>
      <c r="I141" s="54" t="s">
        <v>399</v>
      </c>
      <c r="J141" s="54" t="s">
        <v>241</v>
      </c>
      <c r="K141" s="86"/>
      <c r="L141" s="86"/>
      <c r="N141" s="58"/>
      <c r="O141" s="59" t="s">
        <v>387</v>
      </c>
      <c r="P141" s="87">
        <v>44422.0</v>
      </c>
      <c r="Q141" s="60" t="s">
        <v>656</v>
      </c>
      <c r="R141" s="88"/>
      <c r="S141" s="54"/>
      <c r="T141" s="43"/>
      <c r="U141" s="43"/>
      <c r="V141" s="50" t="s">
        <v>316</v>
      </c>
      <c r="W141" s="43"/>
      <c r="X141" s="43"/>
      <c r="Y141" s="43"/>
      <c r="Z141" s="43"/>
      <c r="AA141" s="43"/>
      <c r="AB141" s="43"/>
      <c r="AC141" s="43"/>
    </row>
    <row r="142">
      <c r="A142" s="47">
        <v>2017.0</v>
      </c>
      <c r="B142" s="53"/>
      <c r="C142" s="53">
        <v>44420.86746591435</v>
      </c>
      <c r="D142" s="54" t="s">
        <v>657</v>
      </c>
      <c r="E142" s="55">
        <v>1.700016111E9</v>
      </c>
      <c r="F142" s="54" t="s">
        <v>658</v>
      </c>
      <c r="G142" s="56" t="s">
        <v>659</v>
      </c>
      <c r="H142" s="54" t="s">
        <v>660</v>
      </c>
      <c r="I142" s="54" t="s">
        <v>399</v>
      </c>
      <c r="J142" s="60" t="s">
        <v>569</v>
      </c>
      <c r="K142" s="86"/>
      <c r="L142" s="86"/>
      <c r="N142" s="58"/>
      <c r="O142" s="89" t="s">
        <v>72</v>
      </c>
      <c r="P142" s="90">
        <v>44439.0</v>
      </c>
      <c r="Q142" s="60" t="s">
        <v>661</v>
      </c>
      <c r="R142" s="88"/>
      <c r="S142" s="54"/>
      <c r="T142" s="43"/>
      <c r="U142" s="43"/>
      <c r="V142" s="50" t="s">
        <v>316</v>
      </c>
      <c r="W142" s="43"/>
      <c r="X142" s="43"/>
      <c r="Y142" s="43"/>
      <c r="Z142" s="43"/>
      <c r="AA142" s="43"/>
      <c r="AB142" s="43"/>
      <c r="AC142" s="43"/>
    </row>
    <row r="143">
      <c r="A143" s="24">
        <v>2016.0</v>
      </c>
      <c r="B143" s="53"/>
      <c r="C143" s="53">
        <v>44421.870001180556</v>
      </c>
      <c r="D143" s="54" t="s">
        <v>662</v>
      </c>
      <c r="E143" s="55">
        <v>1.600016014E9</v>
      </c>
      <c r="F143" s="54" t="s">
        <v>663</v>
      </c>
      <c r="G143" s="56" t="s">
        <v>664</v>
      </c>
      <c r="H143" s="54" t="s">
        <v>665</v>
      </c>
      <c r="I143" s="54" t="s">
        <v>399</v>
      </c>
      <c r="J143" s="54" t="s">
        <v>117</v>
      </c>
      <c r="K143" s="91"/>
      <c r="L143" s="91"/>
      <c r="N143" s="58"/>
      <c r="O143" s="59" t="s">
        <v>387</v>
      </c>
      <c r="P143" s="90">
        <v>44439.0</v>
      </c>
      <c r="Q143" s="60" t="s">
        <v>666</v>
      </c>
      <c r="R143" s="88"/>
      <c r="S143" s="54"/>
      <c r="T143" s="43"/>
      <c r="U143" s="43"/>
      <c r="V143" s="50" t="s">
        <v>316</v>
      </c>
      <c r="W143" s="43"/>
      <c r="X143" s="43"/>
      <c r="Y143" s="43"/>
      <c r="Z143" s="43"/>
      <c r="AA143" s="43"/>
      <c r="AB143" s="43"/>
      <c r="AC143" s="43"/>
    </row>
    <row r="144">
      <c r="A144" s="47">
        <v>2017.0</v>
      </c>
      <c r="B144" s="53"/>
      <c r="C144" s="53">
        <v>44431.11158228009</v>
      </c>
      <c r="D144" s="54" t="s">
        <v>667</v>
      </c>
      <c r="E144" s="55">
        <v>1.70001606E9</v>
      </c>
      <c r="F144" s="54" t="s">
        <v>668</v>
      </c>
      <c r="G144" s="56" t="s">
        <v>669</v>
      </c>
      <c r="H144" s="54" t="s">
        <v>670</v>
      </c>
      <c r="I144" s="54" t="s">
        <v>399</v>
      </c>
      <c r="J144" s="60" t="s">
        <v>27</v>
      </c>
      <c r="K144" s="86"/>
      <c r="L144" s="86"/>
      <c r="N144" s="58"/>
      <c r="O144" s="63" t="s">
        <v>352</v>
      </c>
      <c r="P144" s="54"/>
      <c r="Q144" s="54"/>
      <c r="R144" s="88"/>
      <c r="S144" s="54"/>
      <c r="T144" s="43"/>
      <c r="U144" s="43"/>
      <c r="V144" s="50" t="s">
        <v>316</v>
      </c>
      <c r="W144" s="43"/>
      <c r="X144" s="43"/>
      <c r="Y144" s="43"/>
      <c r="Z144" s="43"/>
      <c r="AA144" s="43"/>
      <c r="AB144" s="43"/>
      <c r="AC144" s="43"/>
    </row>
    <row r="145">
      <c r="A145" s="47">
        <v>2017.0</v>
      </c>
      <c r="B145" s="53"/>
      <c r="C145" s="53">
        <v>44440.07337025463</v>
      </c>
      <c r="D145" s="54" t="s">
        <v>671</v>
      </c>
      <c r="E145" s="55">
        <v>1.700016091E9</v>
      </c>
      <c r="F145" s="54" t="s">
        <v>672</v>
      </c>
      <c r="G145" s="56" t="s">
        <v>673</v>
      </c>
      <c r="H145" s="54" t="s">
        <v>674</v>
      </c>
      <c r="I145" s="54" t="s">
        <v>399</v>
      </c>
      <c r="J145" s="60" t="s">
        <v>27</v>
      </c>
      <c r="K145" s="86"/>
      <c r="L145" s="86"/>
      <c r="N145" s="58"/>
      <c r="O145" s="89" t="s">
        <v>123</v>
      </c>
      <c r="P145" s="54"/>
      <c r="Q145" s="54"/>
      <c r="R145" s="88"/>
      <c r="S145" s="54"/>
      <c r="T145" s="54"/>
      <c r="U145" s="43"/>
      <c r="V145" s="50" t="s">
        <v>316</v>
      </c>
      <c r="W145" s="43"/>
      <c r="X145" s="43"/>
      <c r="Y145" s="43"/>
      <c r="Z145" s="43"/>
      <c r="AA145" s="43"/>
      <c r="AB145" s="43"/>
      <c r="AC145" s="43"/>
    </row>
    <row r="146">
      <c r="A146" s="47">
        <v>2017.0</v>
      </c>
      <c r="B146" s="53"/>
      <c r="C146" s="53">
        <v>44448.043251469906</v>
      </c>
      <c r="D146" s="54" t="s">
        <v>675</v>
      </c>
      <c r="E146" s="55">
        <v>1.700016029E9</v>
      </c>
      <c r="F146" s="54" t="s">
        <v>676</v>
      </c>
      <c r="G146" s="56" t="s">
        <v>677</v>
      </c>
      <c r="H146" s="60" t="s">
        <v>678</v>
      </c>
      <c r="I146" s="54" t="s">
        <v>399</v>
      </c>
      <c r="J146" s="60" t="s">
        <v>27</v>
      </c>
      <c r="K146" s="92"/>
      <c r="L146" s="92"/>
      <c r="N146" s="58"/>
      <c r="O146" s="89" t="s">
        <v>123</v>
      </c>
      <c r="P146" s="60" t="s">
        <v>679</v>
      </c>
      <c r="Q146" s="60" t="s">
        <v>680</v>
      </c>
      <c r="R146" s="88"/>
      <c r="S146" s="54"/>
      <c r="T146" s="54"/>
      <c r="U146" s="43"/>
      <c r="V146" s="50" t="s">
        <v>316</v>
      </c>
      <c r="W146" s="43"/>
      <c r="X146" s="43"/>
      <c r="Y146" s="43"/>
      <c r="Z146" s="43"/>
      <c r="AA146" s="43"/>
      <c r="AB146" s="43"/>
      <c r="AC146" s="43"/>
    </row>
    <row r="147">
      <c r="A147" s="47">
        <v>2017.0</v>
      </c>
      <c r="B147" s="53"/>
      <c r="C147" s="53">
        <v>44463.988094050925</v>
      </c>
      <c r="D147" s="54" t="s">
        <v>681</v>
      </c>
      <c r="E147" s="55">
        <v>1.700016034E9</v>
      </c>
      <c r="F147" s="54" t="s">
        <v>682</v>
      </c>
      <c r="G147" s="56" t="s">
        <v>683</v>
      </c>
      <c r="H147" s="54" t="s">
        <v>684</v>
      </c>
      <c r="I147" s="54" t="s">
        <v>399</v>
      </c>
      <c r="J147" s="54" t="s">
        <v>183</v>
      </c>
      <c r="K147" s="86"/>
      <c r="L147" s="86"/>
      <c r="N147" s="58"/>
      <c r="O147" s="62" t="s">
        <v>28</v>
      </c>
      <c r="P147" s="87">
        <v>44481.0</v>
      </c>
      <c r="Q147" s="60" t="s">
        <v>661</v>
      </c>
      <c r="R147" s="88"/>
      <c r="S147" s="54"/>
      <c r="T147" s="54"/>
      <c r="U147" s="43"/>
      <c r="V147" s="50" t="s">
        <v>316</v>
      </c>
      <c r="W147" s="43"/>
      <c r="X147" s="43"/>
      <c r="Y147" s="43"/>
      <c r="Z147" s="43"/>
      <c r="AA147" s="43"/>
      <c r="AB147" s="43"/>
      <c r="AC147" s="43"/>
    </row>
    <row r="148" ht="27.0" customHeight="1">
      <c r="A148" s="13">
        <v>2016.0</v>
      </c>
      <c r="B148" s="53"/>
      <c r="C148" s="53">
        <v>44492.08647113426</v>
      </c>
      <c r="D148" s="54" t="s">
        <v>685</v>
      </c>
      <c r="E148" s="55">
        <v>1.600016114E9</v>
      </c>
      <c r="F148" s="54" t="s">
        <v>686</v>
      </c>
      <c r="G148" s="56" t="s">
        <v>687</v>
      </c>
      <c r="H148" s="54" t="s">
        <v>688</v>
      </c>
      <c r="I148" s="54" t="s">
        <v>399</v>
      </c>
      <c r="J148" s="54" t="s">
        <v>241</v>
      </c>
      <c r="K148" s="91"/>
      <c r="L148" s="91"/>
      <c r="N148" s="58"/>
      <c r="O148" s="64" t="s">
        <v>347</v>
      </c>
      <c r="P148" s="87">
        <v>44506.0</v>
      </c>
      <c r="Q148" s="60" t="s">
        <v>689</v>
      </c>
      <c r="R148" s="88"/>
      <c r="S148" s="54"/>
      <c r="T148" s="54"/>
      <c r="U148" s="43"/>
      <c r="V148" s="50" t="s">
        <v>316</v>
      </c>
      <c r="W148" s="43"/>
      <c r="X148" s="43"/>
      <c r="Y148" s="43"/>
      <c r="Z148" s="43"/>
      <c r="AA148" s="43"/>
      <c r="AB148" s="43"/>
      <c r="AC148" s="43"/>
    </row>
    <row r="149" ht="31.5" customHeight="1">
      <c r="A149" s="13">
        <v>2016.0</v>
      </c>
      <c r="B149" s="53"/>
      <c r="C149" s="53">
        <v>44503.46858324074</v>
      </c>
      <c r="D149" s="54" t="s">
        <v>690</v>
      </c>
      <c r="E149" s="55">
        <v>1.600016015E9</v>
      </c>
      <c r="F149" s="54" t="s">
        <v>691</v>
      </c>
      <c r="G149" s="56" t="s">
        <v>692</v>
      </c>
      <c r="H149" s="54" t="s">
        <v>693</v>
      </c>
      <c r="I149" s="54" t="s">
        <v>399</v>
      </c>
      <c r="J149" s="60" t="s">
        <v>569</v>
      </c>
      <c r="K149" s="91"/>
      <c r="L149" s="91"/>
      <c r="N149" s="58"/>
      <c r="O149" s="59" t="s">
        <v>387</v>
      </c>
      <c r="P149" s="87">
        <v>44513.0</v>
      </c>
      <c r="Q149" s="60" t="s">
        <v>694</v>
      </c>
      <c r="R149" s="88"/>
      <c r="S149" s="54"/>
      <c r="T149" s="54"/>
      <c r="U149" s="43"/>
      <c r="V149" s="50" t="s">
        <v>316</v>
      </c>
      <c r="W149" s="43"/>
      <c r="X149" s="43"/>
      <c r="Y149" s="43"/>
      <c r="Z149" s="43"/>
      <c r="AA149" s="43"/>
      <c r="AB149" s="43"/>
      <c r="AC149" s="43"/>
    </row>
    <row r="150" ht="31.5" customHeight="1">
      <c r="A150" s="13">
        <v>2016.0</v>
      </c>
      <c r="B150" s="53"/>
      <c r="C150" s="53">
        <v>44504.93099525463</v>
      </c>
      <c r="D150" s="54" t="s">
        <v>695</v>
      </c>
      <c r="E150" s="55">
        <v>1.600016104E9</v>
      </c>
      <c r="F150" s="54" t="s">
        <v>696</v>
      </c>
      <c r="G150" s="93">
        <v>6.282288137252E12</v>
      </c>
      <c r="H150" s="54" t="s">
        <v>697</v>
      </c>
      <c r="I150" s="54" t="s">
        <v>399</v>
      </c>
      <c r="J150" s="60" t="s">
        <v>27</v>
      </c>
      <c r="K150" s="91"/>
      <c r="L150" s="91"/>
      <c r="N150" s="58"/>
      <c r="O150" s="59" t="s">
        <v>387</v>
      </c>
      <c r="P150" s="87">
        <v>44513.0</v>
      </c>
      <c r="Q150" s="60" t="s">
        <v>698</v>
      </c>
      <c r="R150" s="88"/>
      <c r="S150" s="54"/>
      <c r="T150" s="54"/>
      <c r="U150" s="43"/>
      <c r="V150" s="50" t="s">
        <v>316</v>
      </c>
      <c r="W150" s="43"/>
      <c r="X150" s="43"/>
      <c r="Y150" s="43"/>
      <c r="Z150" s="43"/>
      <c r="AA150" s="43"/>
      <c r="AB150" s="43"/>
      <c r="AC150" s="43"/>
    </row>
    <row r="151" ht="31.5" customHeight="1">
      <c r="A151" s="13">
        <v>2015.0</v>
      </c>
      <c r="B151" s="53"/>
      <c r="C151" s="53">
        <v>44547.1579681713</v>
      </c>
      <c r="D151" s="54" t="s">
        <v>699</v>
      </c>
      <c r="E151" s="55">
        <v>1.500016032E9</v>
      </c>
      <c r="F151" s="54" t="s">
        <v>700</v>
      </c>
      <c r="G151" s="56" t="s">
        <v>701</v>
      </c>
      <c r="H151" s="54" t="s">
        <v>702</v>
      </c>
      <c r="I151" s="54" t="s">
        <v>399</v>
      </c>
      <c r="J151" s="60" t="s">
        <v>703</v>
      </c>
      <c r="K151" s="91"/>
      <c r="L151" s="91"/>
      <c r="N151" s="58"/>
      <c r="O151" s="62" t="s">
        <v>28</v>
      </c>
      <c r="P151" s="87">
        <v>44524.0</v>
      </c>
      <c r="Q151" s="60" t="s">
        <v>689</v>
      </c>
      <c r="R151" s="88"/>
      <c r="S151" s="54"/>
      <c r="T151" s="54"/>
      <c r="U151" s="43"/>
      <c r="V151" s="50" t="s">
        <v>316</v>
      </c>
      <c r="W151" s="43"/>
      <c r="X151" s="43"/>
      <c r="Y151" s="43"/>
      <c r="Z151" s="43"/>
      <c r="AA151" s="43"/>
      <c r="AB151" s="43"/>
      <c r="AC151" s="43"/>
    </row>
    <row r="152" ht="31.5" customHeight="1">
      <c r="A152" s="94">
        <v>2015.0</v>
      </c>
      <c r="B152" s="95"/>
      <c r="C152" s="95">
        <v>44552.810273449075</v>
      </c>
      <c r="D152" s="96" t="s">
        <v>704</v>
      </c>
      <c r="E152" s="97">
        <v>1.500016021E9</v>
      </c>
      <c r="F152" s="96" t="s">
        <v>705</v>
      </c>
      <c r="G152" s="98" t="s">
        <v>706</v>
      </c>
      <c r="H152" s="96" t="s">
        <v>707</v>
      </c>
      <c r="I152" s="96" t="s">
        <v>399</v>
      </c>
      <c r="J152" s="99" t="s">
        <v>27</v>
      </c>
      <c r="K152" s="100"/>
      <c r="L152" s="100"/>
      <c r="N152" s="101"/>
      <c r="O152" s="102" t="s">
        <v>387</v>
      </c>
      <c r="P152" s="103">
        <v>44617.0</v>
      </c>
      <c r="Q152" s="99" t="s">
        <v>708</v>
      </c>
      <c r="R152" s="104"/>
      <c r="S152" s="96"/>
      <c r="T152" s="96"/>
      <c r="U152" s="105"/>
      <c r="V152" s="106" t="s">
        <v>316</v>
      </c>
      <c r="W152" s="105"/>
      <c r="X152" s="105"/>
      <c r="Y152" s="105"/>
      <c r="Z152" s="105"/>
      <c r="AA152" s="105"/>
      <c r="AB152" s="105"/>
      <c r="AC152" s="105"/>
    </row>
    <row r="153" ht="31.5" customHeight="1">
      <c r="A153" s="107">
        <v>2016.0</v>
      </c>
      <c r="B153" s="108"/>
      <c r="C153" s="108">
        <v>44558.06402347222</v>
      </c>
      <c r="D153" s="109" t="s">
        <v>709</v>
      </c>
      <c r="E153" s="110">
        <v>1.600016113E9</v>
      </c>
      <c r="F153" s="109" t="s">
        <v>710</v>
      </c>
      <c r="G153" s="111" t="s">
        <v>711</v>
      </c>
      <c r="H153" s="109" t="s">
        <v>712</v>
      </c>
      <c r="I153" s="109" t="s">
        <v>399</v>
      </c>
      <c r="J153" s="112" t="s">
        <v>27</v>
      </c>
      <c r="K153" s="113"/>
      <c r="L153" s="113"/>
      <c r="N153" s="114"/>
      <c r="O153" s="115" t="s">
        <v>72</v>
      </c>
      <c r="P153" s="116">
        <v>44618.0</v>
      </c>
      <c r="Q153" s="112" t="s">
        <v>713</v>
      </c>
      <c r="R153" s="88"/>
      <c r="S153" s="54"/>
      <c r="T153" s="54"/>
      <c r="U153" s="43"/>
      <c r="V153" s="50" t="s">
        <v>316</v>
      </c>
      <c r="W153" s="43"/>
      <c r="X153" s="43"/>
      <c r="Y153" s="43"/>
      <c r="Z153" s="43"/>
      <c r="AA153" s="43"/>
      <c r="AB153" s="43"/>
      <c r="AC153" s="43"/>
    </row>
    <row r="154" ht="31.5" customHeight="1">
      <c r="A154" s="107">
        <v>2016.0</v>
      </c>
      <c r="B154" s="108"/>
      <c r="C154" s="108">
        <v>44563.89428695602</v>
      </c>
      <c r="D154" s="109" t="s">
        <v>714</v>
      </c>
      <c r="E154" s="110">
        <v>1.600016035E9</v>
      </c>
      <c r="F154" s="109" t="s">
        <v>715</v>
      </c>
      <c r="G154" s="111" t="s">
        <v>716</v>
      </c>
      <c r="H154" s="109" t="s">
        <v>717</v>
      </c>
      <c r="I154" s="109" t="s">
        <v>399</v>
      </c>
      <c r="J154" s="112" t="s">
        <v>27</v>
      </c>
      <c r="K154" s="113"/>
      <c r="L154" s="113"/>
      <c r="N154" s="114"/>
      <c r="O154" s="115" t="s">
        <v>123</v>
      </c>
      <c r="P154" s="116">
        <v>44617.0</v>
      </c>
      <c r="Q154" s="112" t="s">
        <v>718</v>
      </c>
      <c r="R154" s="88"/>
      <c r="S154" s="54"/>
      <c r="T154" s="54"/>
      <c r="U154" s="43"/>
      <c r="V154" s="50" t="s">
        <v>316</v>
      </c>
      <c r="W154" s="43"/>
      <c r="X154" s="43"/>
      <c r="Y154" s="43"/>
      <c r="Z154" s="43"/>
      <c r="AA154" s="43"/>
      <c r="AB154" s="43"/>
      <c r="AC154" s="43"/>
    </row>
    <row r="155" ht="31.5" customHeight="1">
      <c r="A155" s="107">
        <v>2016.0</v>
      </c>
      <c r="B155" s="108"/>
      <c r="C155" s="108">
        <v>44564.37888364583</v>
      </c>
      <c r="D155" s="109" t="s">
        <v>719</v>
      </c>
      <c r="E155" s="110">
        <v>1.600016062E9</v>
      </c>
      <c r="F155" s="109" t="s">
        <v>720</v>
      </c>
      <c r="G155" s="111" t="s">
        <v>721</v>
      </c>
      <c r="H155" s="109" t="s">
        <v>722</v>
      </c>
      <c r="I155" s="109" t="s">
        <v>399</v>
      </c>
      <c r="J155" s="112" t="s">
        <v>27</v>
      </c>
      <c r="K155" s="113"/>
      <c r="L155" s="113"/>
      <c r="N155" s="114"/>
      <c r="O155" s="115" t="s">
        <v>123</v>
      </c>
      <c r="P155" s="116">
        <v>44617.0</v>
      </c>
      <c r="Q155" s="112" t="s">
        <v>723</v>
      </c>
      <c r="R155" s="88"/>
      <c r="S155" s="54"/>
      <c r="T155" s="54"/>
      <c r="U155" s="43"/>
      <c r="V155" s="50" t="s">
        <v>316</v>
      </c>
      <c r="W155" s="43"/>
      <c r="X155" s="43"/>
      <c r="Y155" s="43"/>
      <c r="Z155" s="43"/>
      <c r="AA155" s="43"/>
      <c r="AB155" s="43"/>
      <c r="AC155" s="43"/>
    </row>
    <row r="156" ht="31.5" customHeight="1">
      <c r="A156" s="107">
        <v>2017.0</v>
      </c>
      <c r="B156" s="108"/>
      <c r="C156" s="108">
        <v>44566.87206869213</v>
      </c>
      <c r="D156" s="109" t="s">
        <v>644</v>
      </c>
      <c r="E156" s="110">
        <v>1.70001602E9</v>
      </c>
      <c r="F156" s="109" t="s">
        <v>645</v>
      </c>
      <c r="G156" s="111" t="s">
        <v>646</v>
      </c>
      <c r="H156" s="109" t="s">
        <v>724</v>
      </c>
      <c r="I156" s="109" t="s">
        <v>399</v>
      </c>
      <c r="J156" s="112" t="s">
        <v>27</v>
      </c>
      <c r="K156" s="117"/>
      <c r="L156" s="117"/>
      <c r="N156" s="114"/>
      <c r="O156" s="115" t="s">
        <v>123</v>
      </c>
      <c r="P156" s="116">
        <v>44617.0</v>
      </c>
      <c r="Q156" s="112" t="s">
        <v>725</v>
      </c>
      <c r="R156" s="88"/>
      <c r="S156" s="54"/>
      <c r="T156" s="54"/>
      <c r="U156" s="43"/>
      <c r="V156" s="50" t="s">
        <v>316</v>
      </c>
      <c r="W156" s="43"/>
      <c r="X156" s="43"/>
      <c r="Y156" s="43"/>
      <c r="Z156" s="43"/>
      <c r="AA156" s="43"/>
      <c r="AB156" s="43"/>
      <c r="AC156" s="43"/>
    </row>
    <row r="157" ht="31.5" customHeight="1">
      <c r="A157" s="107">
        <v>2016.0</v>
      </c>
      <c r="B157" s="108"/>
      <c r="C157" s="108">
        <v>44576.04526914352</v>
      </c>
      <c r="D157" s="109" t="s">
        <v>726</v>
      </c>
      <c r="E157" s="110">
        <v>1.602016022E9</v>
      </c>
      <c r="F157" s="109" t="s">
        <v>727</v>
      </c>
      <c r="G157" s="111" t="s">
        <v>728</v>
      </c>
      <c r="H157" s="109" t="s">
        <v>729</v>
      </c>
      <c r="I157" s="109" t="s">
        <v>399</v>
      </c>
      <c r="J157" s="109" t="s">
        <v>183</v>
      </c>
      <c r="K157" s="113"/>
      <c r="L157" s="113"/>
      <c r="N157" s="114"/>
      <c r="O157" s="115" t="s">
        <v>123</v>
      </c>
      <c r="P157" s="116">
        <v>44618.0</v>
      </c>
      <c r="Q157" s="112" t="s">
        <v>730</v>
      </c>
      <c r="R157" s="88"/>
      <c r="S157" s="54"/>
      <c r="T157" s="54"/>
      <c r="U157" s="43"/>
      <c r="V157" s="50" t="s">
        <v>316</v>
      </c>
      <c r="W157" s="43"/>
      <c r="X157" s="43"/>
      <c r="Y157" s="43"/>
      <c r="Z157" s="43"/>
      <c r="AA157" s="43"/>
      <c r="AB157" s="43"/>
      <c r="AC157" s="43"/>
    </row>
    <row r="158" ht="31.5" customHeight="1">
      <c r="A158" s="107">
        <v>2015.0</v>
      </c>
      <c r="B158" s="108"/>
      <c r="C158" s="108">
        <v>44577.36430351852</v>
      </c>
      <c r="D158" s="109" t="s">
        <v>731</v>
      </c>
      <c r="E158" s="110">
        <v>1.500016005E9</v>
      </c>
      <c r="F158" s="109" t="s">
        <v>732</v>
      </c>
      <c r="G158" s="111" t="s">
        <v>733</v>
      </c>
      <c r="H158" s="109" t="s">
        <v>734</v>
      </c>
      <c r="I158" s="109" t="s">
        <v>399</v>
      </c>
      <c r="J158" s="109" t="s">
        <v>183</v>
      </c>
      <c r="K158" s="113"/>
      <c r="L158" s="113"/>
      <c r="N158" s="114"/>
      <c r="O158" s="118" t="s">
        <v>339</v>
      </c>
      <c r="P158" s="116">
        <v>44617.0</v>
      </c>
      <c r="Q158" s="112" t="s">
        <v>723</v>
      </c>
      <c r="R158" s="88"/>
      <c r="S158" s="54"/>
      <c r="T158" s="54"/>
      <c r="U158" s="43"/>
      <c r="V158" s="50" t="s">
        <v>316</v>
      </c>
      <c r="W158" s="43"/>
      <c r="X158" s="43"/>
      <c r="Y158" s="43"/>
      <c r="Z158" s="43"/>
      <c r="AA158" s="43"/>
      <c r="AB158" s="43"/>
      <c r="AC158" s="43"/>
    </row>
    <row r="159" ht="31.5" customHeight="1">
      <c r="A159" s="107">
        <v>2017.0</v>
      </c>
      <c r="B159" s="108"/>
      <c r="C159" s="108">
        <v>44580.89317949074</v>
      </c>
      <c r="D159" s="109" t="s">
        <v>735</v>
      </c>
      <c r="E159" s="110">
        <v>1.700016027E9</v>
      </c>
      <c r="F159" s="109" t="s">
        <v>736</v>
      </c>
      <c r="G159" s="111" t="s">
        <v>737</v>
      </c>
      <c r="H159" s="109" t="s">
        <v>738</v>
      </c>
      <c r="I159" s="109" t="s">
        <v>399</v>
      </c>
      <c r="J159" s="112" t="s">
        <v>39</v>
      </c>
      <c r="K159" s="117"/>
      <c r="L159" s="117"/>
      <c r="N159" s="114"/>
      <c r="O159" s="118" t="s">
        <v>352</v>
      </c>
      <c r="P159" s="116">
        <v>44618.0</v>
      </c>
      <c r="Q159" s="112" t="s">
        <v>713</v>
      </c>
      <c r="R159" s="88"/>
      <c r="S159" s="54"/>
      <c r="T159" s="54"/>
      <c r="U159" s="43"/>
      <c r="V159" s="50" t="s">
        <v>316</v>
      </c>
      <c r="W159" s="43"/>
      <c r="X159" s="43"/>
      <c r="Y159" s="43"/>
      <c r="Z159" s="43"/>
      <c r="AA159" s="43"/>
      <c r="AB159" s="43"/>
      <c r="AC159" s="43"/>
    </row>
    <row r="160">
      <c r="A160" s="107">
        <v>2016.0</v>
      </c>
      <c r="B160" s="108"/>
      <c r="C160" s="108">
        <v>44583.423635740735</v>
      </c>
      <c r="D160" s="109" t="s">
        <v>739</v>
      </c>
      <c r="E160" s="110">
        <v>1.600016094E9</v>
      </c>
      <c r="F160" s="109" t="s">
        <v>740</v>
      </c>
      <c r="G160" s="111" t="s">
        <v>741</v>
      </c>
      <c r="H160" s="109" t="s">
        <v>742</v>
      </c>
      <c r="I160" s="109" t="s">
        <v>399</v>
      </c>
      <c r="J160" s="109" t="s">
        <v>117</v>
      </c>
      <c r="K160" s="113"/>
      <c r="L160" s="113"/>
      <c r="N160" s="114"/>
      <c r="O160" s="119" t="s">
        <v>28</v>
      </c>
      <c r="P160" s="116">
        <v>44618.0</v>
      </c>
      <c r="Q160" s="112" t="s">
        <v>708</v>
      </c>
      <c r="R160" s="88"/>
      <c r="S160" s="54"/>
      <c r="T160" s="54"/>
      <c r="U160" s="43"/>
      <c r="V160" s="50" t="s">
        <v>316</v>
      </c>
      <c r="W160" s="43"/>
      <c r="X160" s="43"/>
      <c r="Y160" s="43"/>
      <c r="Z160" s="43"/>
      <c r="AA160" s="43"/>
      <c r="AB160" s="43"/>
      <c r="AC160" s="43"/>
    </row>
    <row r="161">
      <c r="A161" s="107">
        <v>2018.0</v>
      </c>
      <c r="B161" s="108"/>
      <c r="C161" s="108">
        <v>44586.841284953705</v>
      </c>
      <c r="D161" s="109" t="s">
        <v>743</v>
      </c>
      <c r="E161" s="110">
        <v>1.80001604E9</v>
      </c>
      <c r="F161" s="109" t="s">
        <v>744</v>
      </c>
      <c r="G161" s="111" t="s">
        <v>745</v>
      </c>
      <c r="H161" s="109" t="s">
        <v>746</v>
      </c>
      <c r="I161" s="109" t="s">
        <v>399</v>
      </c>
      <c r="J161" s="109" t="s">
        <v>747</v>
      </c>
      <c r="K161" s="117"/>
      <c r="L161" s="117"/>
      <c r="N161" s="114"/>
      <c r="O161" s="120" t="s">
        <v>28</v>
      </c>
      <c r="P161" s="121">
        <v>44613.0</v>
      </c>
      <c r="Q161" s="122" t="s">
        <v>708</v>
      </c>
      <c r="R161" s="88"/>
      <c r="S161" s="54"/>
      <c r="T161" s="54"/>
      <c r="U161" s="43"/>
      <c r="V161" s="50" t="s">
        <v>316</v>
      </c>
      <c r="W161" s="43"/>
      <c r="X161" s="43"/>
      <c r="Y161" s="43"/>
      <c r="Z161" s="43"/>
      <c r="AA161" s="43"/>
      <c r="AB161" s="123"/>
      <c r="AC161" s="43"/>
    </row>
    <row r="162">
      <c r="A162" s="107">
        <v>2018.0</v>
      </c>
      <c r="B162" s="108"/>
      <c r="C162" s="108">
        <v>44598.80571833333</v>
      </c>
      <c r="D162" s="109" t="s">
        <v>748</v>
      </c>
      <c r="E162" s="110">
        <v>1.800016003E9</v>
      </c>
      <c r="F162" s="109" t="s">
        <v>749</v>
      </c>
      <c r="G162" s="111" t="s">
        <v>750</v>
      </c>
      <c r="H162" s="109" t="s">
        <v>751</v>
      </c>
      <c r="I162" s="109" t="s">
        <v>399</v>
      </c>
      <c r="J162" s="109" t="s">
        <v>747</v>
      </c>
      <c r="K162" s="117"/>
      <c r="L162" s="117"/>
      <c r="N162" s="114"/>
      <c r="O162" s="124" t="s">
        <v>347</v>
      </c>
      <c r="P162" s="121">
        <v>44613.0</v>
      </c>
      <c r="Q162" s="122" t="s">
        <v>718</v>
      </c>
      <c r="R162" s="88"/>
      <c r="S162" s="54"/>
      <c r="T162" s="54"/>
      <c r="U162" s="43"/>
      <c r="V162" s="50" t="s">
        <v>316</v>
      </c>
      <c r="W162" s="43"/>
      <c r="X162" s="43"/>
      <c r="Y162" s="43"/>
      <c r="Z162" s="43"/>
      <c r="AA162" s="43"/>
      <c r="AB162" s="123"/>
      <c r="AC162" s="43"/>
    </row>
    <row r="163">
      <c r="A163" s="107">
        <v>2017.0</v>
      </c>
      <c r="B163" s="108"/>
      <c r="C163" s="108">
        <v>44599.18832120371</v>
      </c>
      <c r="D163" s="109" t="s">
        <v>752</v>
      </c>
      <c r="E163" s="110">
        <v>1.700016039E9</v>
      </c>
      <c r="F163" s="109" t="s">
        <v>552</v>
      </c>
      <c r="G163" s="111" t="s">
        <v>553</v>
      </c>
      <c r="H163" s="109" t="s">
        <v>753</v>
      </c>
      <c r="I163" s="109" t="s">
        <v>399</v>
      </c>
      <c r="J163" s="109" t="s">
        <v>183</v>
      </c>
      <c r="K163" s="117"/>
      <c r="L163" s="117"/>
      <c r="N163" s="114"/>
      <c r="O163" s="115" t="s">
        <v>40</v>
      </c>
      <c r="P163" s="116">
        <v>44617.0</v>
      </c>
      <c r="Q163" s="112" t="s">
        <v>718</v>
      </c>
      <c r="R163" s="88"/>
      <c r="S163" s="54"/>
      <c r="T163" s="54"/>
      <c r="U163" s="43"/>
      <c r="V163" s="50" t="s">
        <v>316</v>
      </c>
      <c r="W163" s="43"/>
      <c r="X163" s="43"/>
      <c r="Y163" s="43"/>
      <c r="Z163" s="43"/>
      <c r="AA163" s="43"/>
      <c r="AB163" s="43"/>
      <c r="AC163" s="43"/>
    </row>
    <row r="164">
      <c r="A164" s="107">
        <v>2015.0</v>
      </c>
      <c r="B164" s="108"/>
      <c r="C164" s="108">
        <v>44600.289193715274</v>
      </c>
      <c r="D164" s="109" t="s">
        <v>754</v>
      </c>
      <c r="E164" s="110">
        <v>1.500016024E9</v>
      </c>
      <c r="F164" s="109" t="s">
        <v>755</v>
      </c>
      <c r="G164" s="111" t="s">
        <v>756</v>
      </c>
      <c r="H164" s="109" t="s">
        <v>757</v>
      </c>
      <c r="I164" s="109" t="s">
        <v>399</v>
      </c>
      <c r="J164" s="112" t="s">
        <v>39</v>
      </c>
      <c r="K164" s="113"/>
      <c r="L164" s="113"/>
      <c r="N164" s="114"/>
      <c r="O164" s="115" t="s">
        <v>72</v>
      </c>
      <c r="P164" s="112" t="s">
        <v>758</v>
      </c>
      <c r="Q164" s="112" t="s">
        <v>718</v>
      </c>
      <c r="R164" s="88"/>
      <c r="S164" s="54"/>
      <c r="T164" s="54"/>
      <c r="U164" s="43"/>
      <c r="V164" s="50" t="s">
        <v>316</v>
      </c>
      <c r="W164" s="43"/>
      <c r="X164" s="43"/>
      <c r="Y164" s="43"/>
      <c r="Z164" s="43"/>
      <c r="AA164" s="43"/>
      <c r="AB164" s="43"/>
      <c r="AC164" s="43"/>
    </row>
    <row r="165">
      <c r="A165" s="107">
        <v>2017.0</v>
      </c>
      <c r="B165" s="108"/>
      <c r="C165" s="108">
        <v>44614.74466673611</v>
      </c>
      <c r="D165" s="109" t="s">
        <v>759</v>
      </c>
      <c r="E165" s="110">
        <v>1.700016012E9</v>
      </c>
      <c r="F165" s="109" t="s">
        <v>760</v>
      </c>
      <c r="G165" s="111" t="s">
        <v>761</v>
      </c>
      <c r="H165" s="109" t="s">
        <v>762</v>
      </c>
      <c r="I165" s="109" t="s">
        <v>399</v>
      </c>
      <c r="J165" s="109" t="s">
        <v>241</v>
      </c>
      <c r="K165" s="117"/>
      <c r="L165" s="117"/>
      <c r="N165" s="114"/>
      <c r="O165" s="118" t="s">
        <v>352</v>
      </c>
      <c r="P165" s="116">
        <v>44593.0</v>
      </c>
      <c r="Q165" s="112" t="s">
        <v>694</v>
      </c>
      <c r="R165" s="88"/>
      <c r="S165" s="54"/>
      <c r="T165" s="54"/>
      <c r="U165" s="43"/>
      <c r="V165" s="50" t="s">
        <v>316</v>
      </c>
      <c r="W165" s="43"/>
      <c r="X165" s="43"/>
      <c r="Y165" s="43"/>
      <c r="Z165" s="43"/>
      <c r="AA165" s="43"/>
      <c r="AB165" s="43"/>
      <c r="AC165" s="43"/>
    </row>
    <row r="166">
      <c r="A166" s="107">
        <v>2017.0</v>
      </c>
      <c r="B166" s="108"/>
      <c r="C166" s="108">
        <v>44628.79905354167</v>
      </c>
      <c r="D166" s="109" t="s">
        <v>763</v>
      </c>
      <c r="E166" s="110">
        <v>1.700016114E9</v>
      </c>
      <c r="F166" s="109" t="s">
        <v>764</v>
      </c>
      <c r="G166" s="111" t="s">
        <v>765</v>
      </c>
      <c r="H166" s="109" t="s">
        <v>766</v>
      </c>
      <c r="I166" s="109" t="s">
        <v>399</v>
      </c>
      <c r="J166" s="109" t="s">
        <v>117</v>
      </c>
      <c r="K166" s="117"/>
      <c r="L166" s="117"/>
      <c r="N166" s="114"/>
      <c r="O166" s="119" t="s">
        <v>28</v>
      </c>
      <c r="P166" s="125">
        <v>44635.0</v>
      </c>
      <c r="Q166" s="112" t="s">
        <v>767</v>
      </c>
      <c r="R166" s="88"/>
      <c r="S166" s="54"/>
      <c r="T166" s="54"/>
      <c r="U166" s="43"/>
      <c r="V166" s="50" t="s">
        <v>316</v>
      </c>
      <c r="W166" s="43"/>
      <c r="X166" s="43"/>
      <c r="Y166" s="43"/>
      <c r="Z166" s="43"/>
      <c r="AA166" s="43"/>
      <c r="AB166" s="43"/>
      <c r="AC166" s="43"/>
    </row>
    <row r="167">
      <c r="A167" s="107">
        <v>2016.0</v>
      </c>
      <c r="B167" s="108"/>
      <c r="C167" s="108">
        <v>44629.983958854165</v>
      </c>
      <c r="D167" s="109" t="s">
        <v>768</v>
      </c>
      <c r="E167" s="110">
        <v>1.600016032E9</v>
      </c>
      <c r="F167" s="109" t="s">
        <v>769</v>
      </c>
      <c r="G167" s="111" t="s">
        <v>770</v>
      </c>
      <c r="H167" s="109" t="s">
        <v>771</v>
      </c>
      <c r="I167" s="109" t="s">
        <v>399</v>
      </c>
      <c r="J167" s="109" t="s">
        <v>117</v>
      </c>
      <c r="K167" s="113"/>
      <c r="L167" s="113"/>
      <c r="N167" s="114"/>
      <c r="O167" s="119" t="s">
        <v>28</v>
      </c>
      <c r="P167" s="125">
        <v>44635.0</v>
      </c>
      <c r="Q167" s="112" t="s">
        <v>772</v>
      </c>
      <c r="R167" s="88"/>
      <c r="S167" s="54"/>
      <c r="T167" s="54"/>
      <c r="U167" s="43"/>
      <c r="V167" s="50" t="s">
        <v>316</v>
      </c>
      <c r="W167" s="43"/>
      <c r="X167" s="43"/>
      <c r="Y167" s="43"/>
      <c r="Z167" s="43"/>
      <c r="AA167" s="43"/>
      <c r="AB167" s="43"/>
      <c r="AC167" s="43"/>
    </row>
    <row r="168">
      <c r="A168" s="107">
        <v>2018.0</v>
      </c>
      <c r="B168" s="108"/>
      <c r="C168" s="108">
        <v>44633.867306747685</v>
      </c>
      <c r="D168" s="109" t="s">
        <v>773</v>
      </c>
      <c r="E168" s="110">
        <v>1.800016053E9</v>
      </c>
      <c r="F168" s="109" t="s">
        <v>774</v>
      </c>
      <c r="G168" s="111" t="s">
        <v>775</v>
      </c>
      <c r="H168" s="109" t="s">
        <v>776</v>
      </c>
      <c r="I168" s="109" t="s">
        <v>399</v>
      </c>
      <c r="J168" s="112" t="s">
        <v>27</v>
      </c>
      <c r="K168" s="117"/>
      <c r="L168" s="117"/>
      <c r="N168" s="114"/>
      <c r="O168" s="126" t="s">
        <v>339</v>
      </c>
      <c r="P168" s="127">
        <v>44641.0</v>
      </c>
      <c r="Q168" s="122" t="s">
        <v>777</v>
      </c>
      <c r="R168" s="88"/>
      <c r="S168" s="54"/>
      <c r="T168" s="54"/>
      <c r="U168" s="43"/>
      <c r="V168" s="50" t="s">
        <v>316</v>
      </c>
      <c r="W168" s="43"/>
      <c r="X168" s="43"/>
      <c r="Y168" s="43"/>
      <c r="Z168" s="43"/>
      <c r="AA168" s="43"/>
      <c r="AB168" s="123"/>
      <c r="AC168" s="43"/>
    </row>
    <row r="169">
      <c r="A169" s="107">
        <v>2018.0</v>
      </c>
      <c r="B169" s="108"/>
      <c r="C169" s="108">
        <v>44634.90764074074</v>
      </c>
      <c r="D169" s="109" t="s">
        <v>778</v>
      </c>
      <c r="E169" s="110">
        <v>1.800016101E9</v>
      </c>
      <c r="F169" s="109" t="s">
        <v>779</v>
      </c>
      <c r="G169" s="111" t="s">
        <v>780</v>
      </c>
      <c r="H169" s="109" t="s">
        <v>781</v>
      </c>
      <c r="I169" s="109" t="s">
        <v>399</v>
      </c>
      <c r="J169" s="112" t="s">
        <v>27</v>
      </c>
      <c r="K169" s="117"/>
      <c r="L169" s="117"/>
      <c r="N169" s="114"/>
      <c r="O169" s="124" t="s">
        <v>347</v>
      </c>
      <c r="P169" s="127">
        <v>44641.0</v>
      </c>
      <c r="Q169" s="122" t="s">
        <v>689</v>
      </c>
      <c r="R169" s="88"/>
      <c r="S169" s="54"/>
      <c r="T169" s="54"/>
      <c r="U169" s="43"/>
      <c r="V169" s="50" t="s">
        <v>316</v>
      </c>
      <c r="W169" s="43"/>
      <c r="X169" s="43"/>
      <c r="Y169" s="43"/>
      <c r="Z169" s="43"/>
      <c r="AA169" s="43"/>
      <c r="AB169" s="123"/>
      <c r="AC169" s="43"/>
    </row>
    <row r="170">
      <c r="A170" s="107">
        <v>2018.0</v>
      </c>
      <c r="B170" s="108"/>
      <c r="C170" s="108">
        <v>44635.28159643519</v>
      </c>
      <c r="D170" s="109" t="s">
        <v>782</v>
      </c>
      <c r="E170" s="110">
        <v>1.800016048E9</v>
      </c>
      <c r="F170" s="109" t="s">
        <v>783</v>
      </c>
      <c r="G170" s="111" t="s">
        <v>784</v>
      </c>
      <c r="H170" s="109" t="s">
        <v>785</v>
      </c>
      <c r="I170" s="109" t="s">
        <v>399</v>
      </c>
      <c r="J170" s="109" t="s">
        <v>747</v>
      </c>
      <c r="K170" s="117"/>
      <c r="L170" s="117"/>
      <c r="N170" s="114"/>
      <c r="O170" s="128" t="s">
        <v>40</v>
      </c>
      <c r="P170" s="127">
        <v>44641.0</v>
      </c>
      <c r="Q170" s="122" t="s">
        <v>767</v>
      </c>
      <c r="R170" s="88"/>
      <c r="S170" s="54"/>
      <c r="T170" s="54"/>
      <c r="U170" s="43"/>
      <c r="V170" s="50" t="s">
        <v>316</v>
      </c>
      <c r="W170" s="43"/>
      <c r="X170" s="43"/>
      <c r="Y170" s="43"/>
      <c r="Z170" s="43"/>
      <c r="AA170" s="43"/>
      <c r="AB170" s="123"/>
      <c r="AC170" s="43"/>
    </row>
    <row r="171">
      <c r="A171" s="107">
        <v>2018.0</v>
      </c>
      <c r="B171" s="108"/>
      <c r="C171" s="108">
        <v>44635.91083435185</v>
      </c>
      <c r="D171" s="109" t="s">
        <v>786</v>
      </c>
      <c r="E171" s="110">
        <v>1.800016036E9</v>
      </c>
      <c r="F171" s="109" t="s">
        <v>787</v>
      </c>
      <c r="G171" s="111" t="s">
        <v>788</v>
      </c>
      <c r="H171" s="109" t="s">
        <v>789</v>
      </c>
      <c r="I171" s="109" t="s">
        <v>399</v>
      </c>
      <c r="J171" s="112" t="s">
        <v>27</v>
      </c>
      <c r="K171" s="117"/>
      <c r="L171" s="117"/>
      <c r="N171" s="114"/>
      <c r="O171" s="126" t="s">
        <v>339</v>
      </c>
      <c r="P171" s="129"/>
      <c r="Q171" s="122" t="s">
        <v>790</v>
      </c>
      <c r="R171" s="88"/>
      <c r="S171" s="54"/>
      <c r="T171" s="54"/>
      <c r="U171" s="43"/>
      <c r="V171" s="50" t="s">
        <v>316</v>
      </c>
      <c r="W171" s="43"/>
      <c r="X171" s="43"/>
      <c r="Y171" s="43"/>
      <c r="Z171" s="43"/>
      <c r="AA171" s="43"/>
      <c r="AB171" s="123"/>
      <c r="AC171" s="43"/>
    </row>
    <row r="172">
      <c r="A172" s="107">
        <v>2018.0</v>
      </c>
      <c r="B172" s="108"/>
      <c r="C172" s="108">
        <v>44635.93869460648</v>
      </c>
      <c r="D172" s="109" t="s">
        <v>791</v>
      </c>
      <c r="E172" s="110">
        <v>1.80001601E9</v>
      </c>
      <c r="F172" s="109" t="s">
        <v>792</v>
      </c>
      <c r="G172" s="111" t="s">
        <v>793</v>
      </c>
      <c r="H172" s="109" t="s">
        <v>794</v>
      </c>
      <c r="I172" s="109" t="s">
        <v>399</v>
      </c>
      <c r="J172" s="109" t="s">
        <v>747</v>
      </c>
      <c r="K172" s="117"/>
      <c r="L172" s="117"/>
      <c r="N172" s="114"/>
      <c r="O172" s="128" t="s">
        <v>40</v>
      </c>
      <c r="P172" s="127">
        <v>44641.0</v>
      </c>
      <c r="Q172" s="122" t="s">
        <v>772</v>
      </c>
      <c r="R172" s="88"/>
      <c r="S172" s="54"/>
      <c r="T172" s="54"/>
      <c r="U172" s="43"/>
      <c r="V172" s="50" t="s">
        <v>316</v>
      </c>
      <c r="W172" s="43"/>
      <c r="X172" s="43"/>
      <c r="Y172" s="43"/>
      <c r="Z172" s="43"/>
      <c r="AA172" s="43"/>
      <c r="AB172" s="123"/>
      <c r="AC172" s="43"/>
    </row>
    <row r="173">
      <c r="A173" s="107">
        <v>2018.0</v>
      </c>
      <c r="B173" s="108"/>
      <c r="C173" s="108">
        <v>44635.981367939814</v>
      </c>
      <c r="D173" s="109" t="s">
        <v>795</v>
      </c>
      <c r="E173" s="110">
        <v>1.80001606E9</v>
      </c>
      <c r="F173" s="109" t="s">
        <v>796</v>
      </c>
      <c r="G173" s="111" t="s">
        <v>797</v>
      </c>
      <c r="H173" s="109" t="s">
        <v>798</v>
      </c>
      <c r="I173" s="109" t="s">
        <v>399</v>
      </c>
      <c r="J173" s="109" t="s">
        <v>747</v>
      </c>
      <c r="K173" s="117"/>
      <c r="L173" s="117"/>
      <c r="N173" s="114"/>
      <c r="O173" s="128" t="s">
        <v>40</v>
      </c>
      <c r="P173" s="127">
        <v>44641.0</v>
      </c>
      <c r="Q173" s="122" t="s">
        <v>694</v>
      </c>
      <c r="R173" s="88"/>
      <c r="S173" s="54"/>
      <c r="T173" s="54"/>
      <c r="U173" s="43"/>
      <c r="V173" s="50" t="s">
        <v>316</v>
      </c>
      <c r="W173" s="43"/>
      <c r="X173" s="43"/>
      <c r="Y173" s="43"/>
      <c r="Z173" s="43"/>
      <c r="AA173" s="43"/>
      <c r="AB173" s="123"/>
      <c r="AC173" s="43"/>
    </row>
    <row r="174">
      <c r="A174" s="107">
        <v>2018.0</v>
      </c>
      <c r="B174" s="108"/>
      <c r="C174" s="108">
        <v>44638.03381861111</v>
      </c>
      <c r="D174" s="109" t="s">
        <v>799</v>
      </c>
      <c r="E174" s="110">
        <v>1.800016042E9</v>
      </c>
      <c r="F174" s="109" t="s">
        <v>800</v>
      </c>
      <c r="G174" s="111" t="s">
        <v>801</v>
      </c>
      <c r="H174" s="109" t="s">
        <v>802</v>
      </c>
      <c r="I174" s="109" t="s">
        <v>399</v>
      </c>
      <c r="J174" s="112" t="s">
        <v>27</v>
      </c>
      <c r="K174" s="117"/>
      <c r="L174" s="117"/>
      <c r="N174" s="114"/>
      <c r="O174" s="124" t="s">
        <v>347</v>
      </c>
      <c r="P174" s="127">
        <v>44648.0</v>
      </c>
      <c r="Q174" s="122" t="s">
        <v>767</v>
      </c>
      <c r="R174" s="88"/>
      <c r="S174" s="54"/>
      <c r="T174" s="54"/>
      <c r="U174" s="43"/>
      <c r="V174" s="50" t="s">
        <v>316</v>
      </c>
      <c r="W174" s="43"/>
      <c r="X174" s="43"/>
      <c r="Y174" s="43"/>
      <c r="Z174" s="43"/>
      <c r="AA174" s="43"/>
      <c r="AB174" s="123"/>
      <c r="AC174" s="43"/>
    </row>
    <row r="175">
      <c r="A175" s="107">
        <v>2018.0</v>
      </c>
      <c r="B175" s="108"/>
      <c r="C175" s="108">
        <v>44641.37765359954</v>
      </c>
      <c r="D175" s="109" t="s">
        <v>803</v>
      </c>
      <c r="E175" s="110">
        <v>1.800016009E9</v>
      </c>
      <c r="F175" s="109" t="s">
        <v>804</v>
      </c>
      <c r="G175" s="109" t="s">
        <v>805</v>
      </c>
      <c r="H175" s="109" t="s">
        <v>806</v>
      </c>
      <c r="I175" s="109" t="s">
        <v>399</v>
      </c>
      <c r="J175" s="109" t="s">
        <v>747</v>
      </c>
      <c r="K175" s="117"/>
      <c r="L175" s="117"/>
      <c r="N175" s="114"/>
      <c r="O175" s="128" t="s">
        <v>40</v>
      </c>
      <c r="P175" s="127">
        <v>44651.0</v>
      </c>
      <c r="Q175" s="122" t="s">
        <v>767</v>
      </c>
      <c r="R175" s="88"/>
      <c r="S175" s="54"/>
      <c r="T175" s="54"/>
      <c r="U175" s="43"/>
      <c r="V175" s="50" t="s">
        <v>316</v>
      </c>
      <c r="W175" s="43"/>
      <c r="X175" s="43"/>
      <c r="Y175" s="43"/>
      <c r="Z175" s="43"/>
      <c r="AA175" s="43"/>
      <c r="AB175" s="123"/>
      <c r="AC175" s="43"/>
    </row>
    <row r="176">
      <c r="A176" s="107">
        <v>2018.0</v>
      </c>
      <c r="B176" s="108"/>
      <c r="C176" s="108">
        <v>44641.99258038195</v>
      </c>
      <c r="D176" s="109" t="s">
        <v>807</v>
      </c>
      <c r="E176" s="110">
        <v>1.800016014E9</v>
      </c>
      <c r="F176" s="109" t="s">
        <v>808</v>
      </c>
      <c r="G176" s="111" t="s">
        <v>809</v>
      </c>
      <c r="H176" s="109" t="s">
        <v>810</v>
      </c>
      <c r="I176" s="109" t="s">
        <v>399</v>
      </c>
      <c r="J176" s="109" t="s">
        <v>241</v>
      </c>
      <c r="K176" s="117"/>
      <c r="L176" s="117"/>
      <c r="N176" s="114"/>
      <c r="O176" s="126" t="s">
        <v>352</v>
      </c>
      <c r="P176" s="127">
        <v>44649.0</v>
      </c>
      <c r="Q176" s="122" t="s">
        <v>767</v>
      </c>
      <c r="R176" s="88"/>
      <c r="S176" s="54"/>
      <c r="T176" s="54"/>
      <c r="U176" s="43"/>
      <c r="V176" s="50" t="s">
        <v>316</v>
      </c>
      <c r="W176" s="43"/>
      <c r="X176" s="43"/>
      <c r="Y176" s="43"/>
      <c r="Z176" s="43"/>
      <c r="AA176" s="43"/>
      <c r="AB176" s="123"/>
      <c r="AC176" s="43"/>
    </row>
    <row r="177">
      <c r="A177" s="107">
        <v>2018.0</v>
      </c>
      <c r="B177" s="108"/>
      <c r="C177" s="108">
        <v>44642.865774872684</v>
      </c>
      <c r="D177" s="109" t="s">
        <v>811</v>
      </c>
      <c r="E177" s="110">
        <v>1.800016098E9</v>
      </c>
      <c r="F177" s="109" t="s">
        <v>812</v>
      </c>
      <c r="G177" s="111" t="s">
        <v>813</v>
      </c>
      <c r="H177" s="109" t="s">
        <v>814</v>
      </c>
      <c r="I177" s="109" t="s">
        <v>399</v>
      </c>
      <c r="J177" s="109" t="s">
        <v>747</v>
      </c>
      <c r="K177" s="117"/>
      <c r="L177" s="117"/>
      <c r="N177" s="114"/>
      <c r="O177" s="128" t="s">
        <v>40</v>
      </c>
      <c r="P177" s="127">
        <v>44651.0</v>
      </c>
      <c r="Q177" s="122" t="s">
        <v>772</v>
      </c>
      <c r="R177" s="88"/>
      <c r="S177" s="54"/>
      <c r="T177" s="54"/>
      <c r="U177" s="43"/>
      <c r="V177" s="50" t="s">
        <v>316</v>
      </c>
      <c r="W177" s="43"/>
      <c r="X177" s="43"/>
      <c r="Y177" s="43"/>
      <c r="Z177" s="43"/>
      <c r="AA177" s="43"/>
      <c r="AB177" s="123"/>
      <c r="AC177" s="43"/>
    </row>
    <row r="178">
      <c r="A178" s="107">
        <v>2018.0</v>
      </c>
      <c r="B178" s="108"/>
      <c r="C178" s="108">
        <v>44642.98802256944</v>
      </c>
      <c r="D178" s="109" t="s">
        <v>815</v>
      </c>
      <c r="E178" s="110">
        <v>1.800016038E9</v>
      </c>
      <c r="F178" s="109" t="s">
        <v>816</v>
      </c>
      <c r="G178" s="111" t="s">
        <v>817</v>
      </c>
      <c r="H178" s="109" t="s">
        <v>818</v>
      </c>
      <c r="I178" s="109" t="s">
        <v>399</v>
      </c>
      <c r="J178" s="109" t="s">
        <v>241</v>
      </c>
      <c r="K178" s="117"/>
      <c r="L178" s="117"/>
      <c r="N178" s="114"/>
      <c r="O178" s="130" t="s">
        <v>539</v>
      </c>
      <c r="P178" s="127">
        <v>44649.0</v>
      </c>
      <c r="Q178" s="122" t="s">
        <v>772</v>
      </c>
      <c r="R178" s="88"/>
      <c r="S178" s="54"/>
      <c r="T178" s="54"/>
      <c r="U178" s="43"/>
      <c r="V178" s="50" t="s">
        <v>316</v>
      </c>
      <c r="W178" s="43"/>
      <c r="X178" s="43"/>
      <c r="Y178" s="43"/>
      <c r="Z178" s="43"/>
      <c r="AA178" s="43"/>
      <c r="AB178" s="123"/>
      <c r="AC178" s="43"/>
    </row>
    <row r="179">
      <c r="A179" s="107">
        <v>2017.0</v>
      </c>
      <c r="B179" s="108"/>
      <c r="C179" s="108">
        <v>44643.32825381945</v>
      </c>
      <c r="D179" s="109" t="s">
        <v>819</v>
      </c>
      <c r="E179" s="110">
        <v>1.700016074E9</v>
      </c>
      <c r="F179" s="109" t="s">
        <v>820</v>
      </c>
      <c r="G179" s="111" t="s">
        <v>821</v>
      </c>
      <c r="H179" s="109" t="s">
        <v>822</v>
      </c>
      <c r="I179" s="109" t="s">
        <v>399</v>
      </c>
      <c r="J179" s="109" t="s">
        <v>117</v>
      </c>
      <c r="K179" s="117"/>
      <c r="L179" s="117"/>
      <c r="N179" s="114"/>
      <c r="O179" s="115" t="s">
        <v>123</v>
      </c>
      <c r="P179" s="125">
        <v>44649.0</v>
      </c>
      <c r="Q179" s="112" t="s">
        <v>694</v>
      </c>
      <c r="R179" s="88"/>
      <c r="S179" s="54"/>
      <c r="T179" s="54"/>
      <c r="U179" s="43"/>
      <c r="V179" s="50" t="s">
        <v>316</v>
      </c>
      <c r="W179" s="43"/>
      <c r="X179" s="43"/>
      <c r="Y179" s="43"/>
      <c r="Z179" s="43"/>
      <c r="AA179" s="43"/>
      <c r="AB179" s="43"/>
      <c r="AC179" s="43"/>
    </row>
    <row r="180">
      <c r="A180" s="107">
        <v>2018.0</v>
      </c>
      <c r="B180" s="108"/>
      <c r="C180" s="108">
        <v>44644.33917446759</v>
      </c>
      <c r="D180" s="109" t="s">
        <v>823</v>
      </c>
      <c r="E180" s="110">
        <v>1.800016015E9</v>
      </c>
      <c r="F180" s="109" t="s">
        <v>824</v>
      </c>
      <c r="G180" s="111" t="s">
        <v>825</v>
      </c>
      <c r="H180" s="109" t="s">
        <v>826</v>
      </c>
      <c r="I180" s="109" t="s">
        <v>399</v>
      </c>
      <c r="J180" s="109" t="s">
        <v>183</v>
      </c>
      <c r="K180" s="117"/>
      <c r="L180" s="117"/>
      <c r="N180" s="114"/>
      <c r="O180" s="130" t="s">
        <v>539</v>
      </c>
      <c r="P180" s="127">
        <v>44648.0</v>
      </c>
      <c r="Q180" s="122" t="s">
        <v>772</v>
      </c>
      <c r="R180" s="88"/>
      <c r="S180" s="54"/>
      <c r="T180" s="54"/>
      <c r="U180" s="43"/>
      <c r="V180" s="50" t="s">
        <v>316</v>
      </c>
      <c r="W180" s="43"/>
      <c r="X180" s="43"/>
      <c r="Y180" s="43"/>
      <c r="Z180" s="43"/>
      <c r="AA180" s="43"/>
      <c r="AB180" s="123"/>
      <c r="AC180" s="43"/>
    </row>
    <row r="181">
      <c r="A181" s="107">
        <v>2018.0</v>
      </c>
      <c r="B181" s="108"/>
      <c r="C181" s="108">
        <v>44644.98336096064</v>
      </c>
      <c r="D181" s="109" t="s">
        <v>827</v>
      </c>
      <c r="E181" s="110">
        <v>1.800016056E9</v>
      </c>
      <c r="F181" s="109" t="s">
        <v>828</v>
      </c>
      <c r="G181" s="111" t="s">
        <v>829</v>
      </c>
      <c r="H181" s="109" t="s">
        <v>830</v>
      </c>
      <c r="I181" s="109" t="s">
        <v>399</v>
      </c>
      <c r="J181" s="109" t="s">
        <v>183</v>
      </c>
      <c r="K181" s="117"/>
      <c r="L181" s="117"/>
      <c r="N181" s="114"/>
      <c r="O181" s="130" t="s">
        <v>539</v>
      </c>
      <c r="P181" s="127">
        <v>44648.0</v>
      </c>
      <c r="Q181" s="122" t="s">
        <v>694</v>
      </c>
      <c r="R181" s="88"/>
      <c r="S181" s="54"/>
      <c r="T181" s="54"/>
      <c r="U181" s="43"/>
      <c r="V181" s="50" t="s">
        <v>316</v>
      </c>
      <c r="W181" s="43"/>
      <c r="X181" s="43"/>
      <c r="Y181" s="43"/>
      <c r="Z181" s="43"/>
      <c r="AA181" s="43"/>
      <c r="AB181" s="123"/>
      <c r="AC181" s="43"/>
    </row>
    <row r="182">
      <c r="A182" s="107">
        <v>2018.0</v>
      </c>
      <c r="B182" s="108"/>
      <c r="C182" s="108">
        <v>44645.365480127315</v>
      </c>
      <c r="D182" s="109" t="s">
        <v>831</v>
      </c>
      <c r="E182" s="110">
        <v>1.800016117E9</v>
      </c>
      <c r="F182" s="109" t="s">
        <v>832</v>
      </c>
      <c r="G182" s="111" t="s">
        <v>833</v>
      </c>
      <c r="H182" s="109" t="s">
        <v>834</v>
      </c>
      <c r="I182" s="109" t="s">
        <v>399</v>
      </c>
      <c r="J182" s="109" t="s">
        <v>747</v>
      </c>
      <c r="K182" s="117"/>
      <c r="L182" s="117"/>
      <c r="N182" s="114"/>
      <c r="O182" s="124" t="s">
        <v>347</v>
      </c>
      <c r="P182" s="127">
        <v>44653.0</v>
      </c>
      <c r="Q182" s="122" t="s">
        <v>767</v>
      </c>
      <c r="R182" s="88"/>
      <c r="S182" s="54"/>
      <c r="T182" s="54"/>
      <c r="U182" s="54"/>
      <c r="V182" s="50" t="s">
        <v>316</v>
      </c>
      <c r="W182" s="43"/>
      <c r="X182" s="43"/>
      <c r="Y182" s="43"/>
      <c r="Z182" s="43"/>
      <c r="AA182" s="43"/>
      <c r="AB182" s="123"/>
      <c r="AC182" s="43"/>
    </row>
    <row r="183">
      <c r="A183" s="107">
        <v>2016.0</v>
      </c>
      <c r="B183" s="108"/>
      <c r="C183" s="108">
        <v>44645.90944364583</v>
      </c>
      <c r="D183" s="109" t="s">
        <v>835</v>
      </c>
      <c r="E183" s="110">
        <v>1.600016102E9</v>
      </c>
      <c r="F183" s="109" t="s">
        <v>836</v>
      </c>
      <c r="G183" s="111" t="s">
        <v>837</v>
      </c>
      <c r="H183" s="109" t="s">
        <v>838</v>
      </c>
      <c r="I183" s="109" t="s">
        <v>399</v>
      </c>
      <c r="J183" s="109" t="s">
        <v>183</v>
      </c>
      <c r="K183" s="113"/>
      <c r="L183" s="113"/>
      <c r="N183" s="114"/>
      <c r="O183" s="119" t="s">
        <v>28</v>
      </c>
      <c r="P183" s="125">
        <v>44652.0</v>
      </c>
      <c r="Q183" s="112" t="s">
        <v>680</v>
      </c>
      <c r="R183" s="88"/>
      <c r="S183" s="54"/>
      <c r="T183" s="54"/>
      <c r="U183" s="54"/>
      <c r="V183" s="50" t="s">
        <v>316</v>
      </c>
      <c r="W183" s="43"/>
      <c r="X183" s="43"/>
      <c r="Y183" s="43"/>
      <c r="Z183" s="43"/>
      <c r="AA183" s="43"/>
      <c r="AB183" s="43"/>
      <c r="AC183" s="43"/>
    </row>
    <row r="184">
      <c r="A184" s="107">
        <v>2018.0</v>
      </c>
      <c r="B184" s="108"/>
      <c r="C184" s="108">
        <v>44646.161827731485</v>
      </c>
      <c r="D184" s="109" t="s">
        <v>839</v>
      </c>
      <c r="E184" s="110">
        <v>1.800016097E9</v>
      </c>
      <c r="F184" s="109" t="s">
        <v>840</v>
      </c>
      <c r="G184" s="111" t="s">
        <v>841</v>
      </c>
      <c r="H184" s="109" t="s">
        <v>842</v>
      </c>
      <c r="I184" s="109" t="s">
        <v>399</v>
      </c>
      <c r="J184" s="112" t="s">
        <v>27</v>
      </c>
      <c r="K184" s="117"/>
      <c r="L184" s="117"/>
      <c r="N184" s="114"/>
      <c r="O184" s="126" t="s">
        <v>352</v>
      </c>
      <c r="P184" s="127">
        <v>44652.0</v>
      </c>
      <c r="Q184" s="122" t="s">
        <v>767</v>
      </c>
      <c r="R184" s="88"/>
      <c r="S184" s="54"/>
      <c r="T184" s="54"/>
      <c r="U184" s="54"/>
      <c r="V184" s="50" t="s">
        <v>316</v>
      </c>
      <c r="W184" s="43"/>
      <c r="X184" s="43"/>
      <c r="Y184" s="43"/>
      <c r="Z184" s="43"/>
      <c r="AA184" s="43"/>
      <c r="AB184" s="123"/>
      <c r="AC184" s="43"/>
    </row>
    <row r="185">
      <c r="A185" s="107">
        <v>2018.0</v>
      </c>
      <c r="B185" s="108"/>
      <c r="C185" s="108">
        <v>44646.17431341435</v>
      </c>
      <c r="D185" s="109" t="s">
        <v>843</v>
      </c>
      <c r="E185" s="110">
        <v>1.800016083E9</v>
      </c>
      <c r="F185" s="109" t="s">
        <v>844</v>
      </c>
      <c r="G185" s="111" t="s">
        <v>845</v>
      </c>
      <c r="H185" s="109" t="s">
        <v>846</v>
      </c>
      <c r="I185" s="109" t="s">
        <v>399</v>
      </c>
      <c r="J185" s="112" t="s">
        <v>27</v>
      </c>
      <c r="K185" s="117"/>
      <c r="L185" s="117"/>
      <c r="N185" s="114"/>
      <c r="O185" s="126" t="s">
        <v>352</v>
      </c>
      <c r="P185" s="127">
        <v>44652.0</v>
      </c>
      <c r="Q185" s="122" t="s">
        <v>772</v>
      </c>
      <c r="R185" s="88"/>
      <c r="S185" s="54"/>
      <c r="T185" s="54"/>
      <c r="U185" s="54"/>
      <c r="V185" s="50" t="s">
        <v>316</v>
      </c>
      <c r="W185" s="43"/>
      <c r="X185" s="43"/>
      <c r="Y185" s="43"/>
      <c r="Z185" s="43"/>
      <c r="AA185" s="43"/>
      <c r="AB185" s="123"/>
      <c r="AC185" s="43"/>
    </row>
    <row r="186">
      <c r="A186" s="107">
        <v>2018.0</v>
      </c>
      <c r="B186" s="108"/>
      <c r="C186" s="108">
        <v>44647.347463865735</v>
      </c>
      <c r="D186" s="109" t="s">
        <v>847</v>
      </c>
      <c r="E186" s="110">
        <v>1.800016086E9</v>
      </c>
      <c r="F186" s="109" t="s">
        <v>848</v>
      </c>
      <c r="G186" s="111" t="s">
        <v>849</v>
      </c>
      <c r="H186" s="109" t="s">
        <v>850</v>
      </c>
      <c r="I186" s="109" t="s">
        <v>399</v>
      </c>
      <c r="J186" s="112" t="s">
        <v>27</v>
      </c>
      <c r="K186" s="117"/>
      <c r="L186" s="117"/>
      <c r="N186" s="114"/>
      <c r="O186" s="126" t="s">
        <v>339</v>
      </c>
      <c r="P186" s="127">
        <v>44653.0</v>
      </c>
      <c r="Q186" s="122" t="s">
        <v>851</v>
      </c>
      <c r="R186" s="88"/>
      <c r="S186" s="54"/>
      <c r="T186" s="54"/>
      <c r="U186" s="54"/>
      <c r="V186" s="50" t="s">
        <v>316</v>
      </c>
      <c r="W186" s="43"/>
      <c r="X186" s="43"/>
      <c r="Y186" s="43"/>
      <c r="Z186" s="43"/>
      <c r="AA186" s="43"/>
      <c r="AB186" s="123"/>
      <c r="AC186" s="43"/>
    </row>
    <row r="187">
      <c r="A187" s="107">
        <v>2018.0</v>
      </c>
      <c r="B187" s="108"/>
      <c r="C187" s="108">
        <v>44647.99218641204</v>
      </c>
      <c r="D187" s="109" t="s">
        <v>852</v>
      </c>
      <c r="E187" s="110">
        <v>1.800016137E9</v>
      </c>
      <c r="F187" s="109" t="s">
        <v>853</v>
      </c>
      <c r="G187" s="111" t="s">
        <v>854</v>
      </c>
      <c r="H187" s="109" t="s">
        <v>855</v>
      </c>
      <c r="I187" s="109" t="s">
        <v>399</v>
      </c>
      <c r="J187" s="109" t="s">
        <v>747</v>
      </c>
      <c r="K187" s="117"/>
      <c r="L187" s="117"/>
      <c r="N187" s="114"/>
      <c r="O187" s="124" t="s">
        <v>347</v>
      </c>
      <c r="P187" s="127">
        <v>44653.0</v>
      </c>
      <c r="Q187" s="122" t="s">
        <v>718</v>
      </c>
      <c r="R187" s="88"/>
      <c r="S187" s="54"/>
      <c r="T187" s="54"/>
      <c r="U187" s="54"/>
      <c r="V187" s="50" t="s">
        <v>316</v>
      </c>
      <c r="W187" s="43"/>
      <c r="X187" s="43"/>
      <c r="Y187" s="43"/>
      <c r="Z187" s="43"/>
      <c r="AA187" s="43"/>
      <c r="AB187" s="123"/>
      <c r="AC187" s="43"/>
    </row>
    <row r="188">
      <c r="A188" s="107">
        <v>2017.0</v>
      </c>
      <c r="B188" s="131"/>
      <c r="C188" s="108">
        <v>44648.926950995374</v>
      </c>
      <c r="D188" s="109" t="s">
        <v>856</v>
      </c>
      <c r="E188" s="132">
        <v>1.700016065E9</v>
      </c>
      <c r="F188" s="109" t="s">
        <v>857</v>
      </c>
      <c r="G188" s="111" t="s">
        <v>858</v>
      </c>
      <c r="H188" s="109" t="s">
        <v>859</v>
      </c>
      <c r="I188" s="109" t="s">
        <v>399</v>
      </c>
      <c r="J188" s="109" t="s">
        <v>117</v>
      </c>
      <c r="K188" s="117"/>
      <c r="L188" s="117"/>
      <c r="N188" s="114"/>
      <c r="O188" s="119" t="s">
        <v>28</v>
      </c>
      <c r="P188" s="125">
        <v>44658.0</v>
      </c>
      <c r="Q188" s="112" t="s">
        <v>723</v>
      </c>
      <c r="R188" s="88"/>
      <c r="S188" s="54"/>
      <c r="T188" s="54"/>
      <c r="U188" s="54"/>
      <c r="V188" s="50" t="s">
        <v>316</v>
      </c>
      <c r="W188" s="43"/>
      <c r="X188" s="43"/>
      <c r="Y188" s="43"/>
      <c r="Z188" s="43"/>
      <c r="AA188" s="43"/>
      <c r="AB188" s="43"/>
      <c r="AC188" s="43"/>
    </row>
    <row r="189">
      <c r="A189" s="107">
        <v>2018.0</v>
      </c>
      <c r="B189" s="131"/>
      <c r="C189" s="108">
        <v>44651.78868005787</v>
      </c>
      <c r="D189" s="109" t="s">
        <v>860</v>
      </c>
      <c r="E189" s="110">
        <v>1.800016146E9</v>
      </c>
      <c r="F189" s="109" t="s">
        <v>861</v>
      </c>
      <c r="G189" s="111" t="s">
        <v>862</v>
      </c>
      <c r="H189" s="109" t="s">
        <v>863</v>
      </c>
      <c r="I189" s="109" t="s">
        <v>399</v>
      </c>
      <c r="J189" s="112" t="s">
        <v>569</v>
      </c>
      <c r="K189" s="117"/>
      <c r="L189" s="117"/>
      <c r="N189" s="114"/>
      <c r="O189" s="133" t="s">
        <v>703</v>
      </c>
      <c r="P189" s="127">
        <v>44658.0</v>
      </c>
      <c r="Q189" s="122" t="s">
        <v>723</v>
      </c>
      <c r="R189" s="88"/>
      <c r="S189" s="54"/>
      <c r="T189" s="54"/>
      <c r="U189" s="54"/>
      <c r="V189" s="50" t="s">
        <v>316</v>
      </c>
      <c r="W189" s="43"/>
      <c r="X189" s="43"/>
      <c r="Y189" s="43"/>
      <c r="Z189" s="43"/>
      <c r="AA189" s="43"/>
      <c r="AB189" s="123"/>
      <c r="AC189" s="43"/>
    </row>
    <row r="190">
      <c r="A190" s="107">
        <v>2018.0</v>
      </c>
      <c r="B190" s="131"/>
      <c r="C190" s="108">
        <v>44654.95291018518</v>
      </c>
      <c r="D190" s="109" t="s">
        <v>864</v>
      </c>
      <c r="E190" s="110">
        <v>1.800016058E9</v>
      </c>
      <c r="F190" s="109" t="s">
        <v>865</v>
      </c>
      <c r="G190" s="111" t="s">
        <v>866</v>
      </c>
      <c r="H190" s="109" t="s">
        <v>867</v>
      </c>
      <c r="I190" s="109" t="s">
        <v>399</v>
      </c>
      <c r="J190" s="109" t="s">
        <v>183</v>
      </c>
      <c r="K190" s="117"/>
      <c r="L190" s="117"/>
      <c r="N190" s="114"/>
      <c r="O190" s="128" t="s">
        <v>72</v>
      </c>
      <c r="P190" s="127">
        <v>44666.0</v>
      </c>
      <c r="Q190" s="122" t="s">
        <v>708</v>
      </c>
      <c r="R190" s="88"/>
      <c r="S190" s="54"/>
      <c r="T190" s="54"/>
      <c r="U190" s="54"/>
      <c r="V190" s="50" t="s">
        <v>316</v>
      </c>
      <c r="W190" s="43"/>
      <c r="X190" s="43"/>
      <c r="Y190" s="43"/>
      <c r="Z190" s="43"/>
      <c r="AA190" s="43"/>
      <c r="AB190" s="123"/>
      <c r="AC190" s="43"/>
    </row>
    <row r="191">
      <c r="A191" s="107">
        <v>2017.0</v>
      </c>
      <c r="B191" s="131"/>
      <c r="C191" s="108">
        <v>44656.36133296296</v>
      </c>
      <c r="D191" s="109" t="s">
        <v>675</v>
      </c>
      <c r="E191" s="110">
        <v>1.700016029E9</v>
      </c>
      <c r="F191" s="109" t="s">
        <v>868</v>
      </c>
      <c r="G191" s="111" t="s">
        <v>677</v>
      </c>
      <c r="H191" s="109" t="s">
        <v>869</v>
      </c>
      <c r="I191" s="109" t="s">
        <v>399</v>
      </c>
      <c r="J191" s="109" t="s">
        <v>117</v>
      </c>
      <c r="K191" s="117"/>
      <c r="L191" s="117"/>
      <c r="N191" s="114"/>
      <c r="O191" s="119" t="s">
        <v>28</v>
      </c>
      <c r="P191" s="125">
        <v>44666.0</v>
      </c>
      <c r="Q191" s="112" t="s">
        <v>718</v>
      </c>
      <c r="R191" s="88"/>
      <c r="S191" s="54"/>
      <c r="T191" s="54"/>
      <c r="U191" s="54"/>
      <c r="V191" s="50" t="s">
        <v>316</v>
      </c>
      <c r="W191" s="43"/>
      <c r="X191" s="43"/>
      <c r="Y191" s="43"/>
      <c r="Z191" s="43"/>
      <c r="AA191" s="43"/>
      <c r="AB191" s="43"/>
      <c r="AC191" s="43"/>
    </row>
    <row r="192">
      <c r="A192" s="107">
        <v>2018.0</v>
      </c>
      <c r="B192" s="131"/>
      <c r="C192" s="108">
        <v>44656.95859079861</v>
      </c>
      <c r="D192" s="109" t="s">
        <v>870</v>
      </c>
      <c r="E192" s="110">
        <v>1.800016029E9</v>
      </c>
      <c r="F192" s="109" t="s">
        <v>871</v>
      </c>
      <c r="G192" s="111" t="s">
        <v>872</v>
      </c>
      <c r="H192" s="109" t="s">
        <v>873</v>
      </c>
      <c r="I192" s="109" t="s">
        <v>399</v>
      </c>
      <c r="J192" s="109" t="s">
        <v>747</v>
      </c>
      <c r="K192" s="117"/>
      <c r="L192" s="117"/>
      <c r="N192" s="114"/>
      <c r="O192" s="124" t="s">
        <v>347</v>
      </c>
      <c r="P192" s="122" t="s">
        <v>874</v>
      </c>
      <c r="Q192" s="122" t="s">
        <v>708</v>
      </c>
      <c r="R192" s="88"/>
      <c r="S192" s="54"/>
      <c r="T192" s="54"/>
      <c r="U192" s="54"/>
      <c r="V192" s="50" t="s">
        <v>316</v>
      </c>
      <c r="W192" s="43"/>
      <c r="X192" s="43"/>
      <c r="Y192" s="43"/>
      <c r="Z192" s="43"/>
      <c r="AA192" s="43"/>
      <c r="AB192" s="123"/>
      <c r="AC192" s="43"/>
    </row>
    <row r="193">
      <c r="A193" s="107">
        <v>2018.0</v>
      </c>
      <c r="B193" s="131"/>
      <c r="C193" s="108">
        <v>44644.74608162037</v>
      </c>
      <c r="D193" s="109" t="s">
        <v>778</v>
      </c>
      <c r="E193" s="110">
        <v>1.800016101E9</v>
      </c>
      <c r="F193" s="109" t="s">
        <v>779</v>
      </c>
      <c r="G193" s="111" t="s">
        <v>780</v>
      </c>
      <c r="H193" s="109" t="s">
        <v>875</v>
      </c>
      <c r="I193" s="109" t="s">
        <v>399</v>
      </c>
      <c r="J193" s="112" t="s">
        <v>27</v>
      </c>
      <c r="K193" s="117"/>
      <c r="L193" s="117"/>
      <c r="N193" s="114"/>
      <c r="O193" s="124" t="s">
        <v>347</v>
      </c>
      <c r="P193" s="127">
        <v>44673.0</v>
      </c>
      <c r="Q193" s="122" t="s">
        <v>876</v>
      </c>
      <c r="R193" s="88"/>
      <c r="S193" s="54"/>
      <c r="T193" s="54"/>
      <c r="U193" s="54"/>
      <c r="V193" s="50" t="s">
        <v>316</v>
      </c>
      <c r="W193" s="43"/>
      <c r="X193" s="43"/>
      <c r="Y193" s="43"/>
      <c r="Z193" s="43"/>
      <c r="AA193" s="43"/>
      <c r="AB193" s="123"/>
      <c r="AC193" s="43"/>
    </row>
    <row r="194">
      <c r="A194" s="107">
        <v>2018.0</v>
      </c>
      <c r="B194" s="131"/>
      <c r="C194" s="108">
        <v>44663.264845046295</v>
      </c>
      <c r="D194" s="109" t="s">
        <v>877</v>
      </c>
      <c r="E194" s="110">
        <v>1.800016025E9</v>
      </c>
      <c r="F194" s="109" t="s">
        <v>878</v>
      </c>
      <c r="G194" s="111" t="s">
        <v>879</v>
      </c>
      <c r="H194" s="109" t="s">
        <v>880</v>
      </c>
      <c r="I194" s="109" t="s">
        <v>399</v>
      </c>
      <c r="J194" s="109" t="s">
        <v>241</v>
      </c>
      <c r="K194" s="117"/>
      <c r="L194" s="117"/>
      <c r="N194" s="114"/>
      <c r="O194" s="126" t="s">
        <v>352</v>
      </c>
      <c r="P194" s="127">
        <v>44673.0</v>
      </c>
      <c r="Q194" s="122" t="s">
        <v>881</v>
      </c>
      <c r="R194" s="88"/>
      <c r="S194" s="54"/>
      <c r="T194" s="54"/>
      <c r="U194" s="54"/>
      <c r="V194" s="50" t="s">
        <v>316</v>
      </c>
      <c r="W194" s="43"/>
      <c r="X194" s="43"/>
      <c r="Y194" s="43"/>
      <c r="Z194" s="43"/>
      <c r="AA194" s="43"/>
      <c r="AB194" s="123"/>
      <c r="AC194" s="43"/>
    </row>
    <row r="195">
      <c r="A195" s="107">
        <v>2018.0</v>
      </c>
      <c r="B195" s="131"/>
      <c r="C195" s="108">
        <v>44663.26485743056</v>
      </c>
      <c r="D195" s="109" t="s">
        <v>882</v>
      </c>
      <c r="E195" s="110">
        <v>1.800016049E9</v>
      </c>
      <c r="F195" s="109" t="s">
        <v>883</v>
      </c>
      <c r="G195" s="111" t="s">
        <v>884</v>
      </c>
      <c r="H195" s="109" t="s">
        <v>885</v>
      </c>
      <c r="I195" s="109" t="s">
        <v>399</v>
      </c>
      <c r="J195" s="109" t="s">
        <v>747</v>
      </c>
      <c r="K195" s="117"/>
      <c r="L195" s="117"/>
      <c r="N195" s="114"/>
      <c r="O195" s="128" t="s">
        <v>40</v>
      </c>
      <c r="P195" s="127">
        <v>44673.0</v>
      </c>
      <c r="Q195" s="122" t="s">
        <v>876</v>
      </c>
      <c r="R195" s="88"/>
      <c r="S195" s="54"/>
      <c r="T195" s="54"/>
      <c r="U195" s="54"/>
      <c r="V195" s="50" t="s">
        <v>316</v>
      </c>
      <c r="W195" s="43"/>
      <c r="X195" s="43"/>
      <c r="Y195" s="43"/>
      <c r="Z195" s="43"/>
      <c r="AA195" s="43"/>
      <c r="AB195" s="123"/>
      <c r="AC195" s="43"/>
    </row>
    <row r="196">
      <c r="A196" s="107">
        <v>2018.0</v>
      </c>
      <c r="B196" s="131"/>
      <c r="C196" s="108">
        <v>44669.047588738424</v>
      </c>
      <c r="D196" s="109" t="s">
        <v>886</v>
      </c>
      <c r="E196" s="110">
        <v>1.800016007E9</v>
      </c>
      <c r="F196" s="109" t="s">
        <v>887</v>
      </c>
      <c r="G196" s="111" t="s">
        <v>888</v>
      </c>
      <c r="H196" s="109" t="s">
        <v>889</v>
      </c>
      <c r="I196" s="109" t="s">
        <v>399</v>
      </c>
      <c r="J196" s="109" t="s">
        <v>241</v>
      </c>
      <c r="K196" s="117"/>
      <c r="L196" s="117"/>
      <c r="N196" s="114"/>
      <c r="O196" s="126" t="s">
        <v>352</v>
      </c>
      <c r="P196" s="127">
        <v>44678.0</v>
      </c>
      <c r="Q196" s="122" t="s">
        <v>890</v>
      </c>
      <c r="R196" s="88"/>
      <c r="S196" s="54"/>
      <c r="T196" s="54"/>
      <c r="U196" s="54"/>
      <c r="V196" s="50" t="s">
        <v>316</v>
      </c>
      <c r="W196" s="43"/>
      <c r="X196" s="43"/>
      <c r="Y196" s="43"/>
      <c r="Z196" s="43"/>
      <c r="AA196" s="43"/>
      <c r="AB196" s="123"/>
      <c r="AC196" s="43"/>
    </row>
    <row r="197">
      <c r="A197" s="107">
        <v>2018.0</v>
      </c>
      <c r="B197" s="131"/>
      <c r="C197" s="108">
        <v>44680.857651388884</v>
      </c>
      <c r="D197" s="109" t="s">
        <v>891</v>
      </c>
      <c r="E197" s="110">
        <v>1.800016161E9</v>
      </c>
      <c r="F197" s="109" t="s">
        <v>892</v>
      </c>
      <c r="G197" s="111" t="s">
        <v>893</v>
      </c>
      <c r="H197" s="109" t="s">
        <v>894</v>
      </c>
      <c r="I197" s="109" t="s">
        <v>399</v>
      </c>
      <c r="J197" s="112" t="s">
        <v>39</v>
      </c>
      <c r="K197" s="117"/>
      <c r="L197" s="117"/>
      <c r="N197" s="114"/>
      <c r="O197" s="124" t="s">
        <v>347</v>
      </c>
      <c r="P197" s="127">
        <v>44700.0</v>
      </c>
      <c r="Q197" s="122" t="s">
        <v>895</v>
      </c>
      <c r="R197" s="88"/>
      <c r="S197" s="54"/>
      <c r="T197" s="54"/>
      <c r="U197" s="54"/>
      <c r="V197" s="50" t="s">
        <v>316</v>
      </c>
      <c r="W197" s="43"/>
      <c r="X197" s="43"/>
      <c r="Y197" s="43"/>
      <c r="Z197" s="43"/>
      <c r="AA197" s="43"/>
      <c r="AB197" s="123"/>
      <c r="AC197" s="43"/>
    </row>
    <row r="198">
      <c r="A198" s="107">
        <v>2016.0</v>
      </c>
      <c r="B198" s="131"/>
      <c r="C198" s="108">
        <v>44682.445993807865</v>
      </c>
      <c r="D198" s="109" t="s">
        <v>896</v>
      </c>
      <c r="E198" s="110">
        <v>1.600016056E9</v>
      </c>
      <c r="F198" s="109" t="s">
        <v>897</v>
      </c>
      <c r="G198" s="111" t="s">
        <v>898</v>
      </c>
      <c r="H198" s="109" t="s">
        <v>899</v>
      </c>
      <c r="I198" s="109" t="s">
        <v>399</v>
      </c>
      <c r="J198" s="109" t="s">
        <v>183</v>
      </c>
      <c r="K198" s="113"/>
      <c r="L198" s="113"/>
      <c r="N198" s="114"/>
      <c r="O198" s="115" t="s">
        <v>123</v>
      </c>
      <c r="P198" s="125">
        <v>44700.0</v>
      </c>
      <c r="Q198" s="112" t="s">
        <v>689</v>
      </c>
      <c r="R198" s="88"/>
      <c r="S198" s="54"/>
      <c r="T198" s="54"/>
      <c r="U198" s="54"/>
      <c r="V198" s="50" t="s">
        <v>316</v>
      </c>
      <c r="W198" s="43"/>
      <c r="X198" s="43"/>
      <c r="Y198" s="43"/>
      <c r="Z198" s="43"/>
      <c r="AA198" s="43"/>
      <c r="AB198" s="43"/>
      <c r="AC198" s="43"/>
    </row>
    <row r="199">
      <c r="A199" s="107">
        <v>2018.0</v>
      </c>
      <c r="B199" s="131"/>
      <c r="C199" s="108">
        <v>44690.077942557866</v>
      </c>
      <c r="D199" s="109" t="s">
        <v>900</v>
      </c>
      <c r="E199" s="110">
        <v>1.800016147E9</v>
      </c>
      <c r="F199" s="109" t="s">
        <v>901</v>
      </c>
      <c r="G199" s="111" t="s">
        <v>902</v>
      </c>
      <c r="H199" s="109" t="s">
        <v>903</v>
      </c>
      <c r="I199" s="109" t="s">
        <v>399</v>
      </c>
      <c r="J199" s="112" t="s">
        <v>39</v>
      </c>
      <c r="K199" s="117"/>
      <c r="L199" s="117"/>
      <c r="N199" s="114"/>
      <c r="O199" s="124" t="s">
        <v>347</v>
      </c>
      <c r="P199" s="127">
        <v>44700.0</v>
      </c>
      <c r="Q199" s="134" t="s">
        <v>689</v>
      </c>
      <c r="R199" s="88"/>
      <c r="S199" s="54"/>
      <c r="T199" s="54"/>
      <c r="U199" s="54"/>
      <c r="V199" s="50" t="s">
        <v>316</v>
      </c>
      <c r="W199" s="43"/>
      <c r="X199" s="43"/>
      <c r="Y199" s="43"/>
      <c r="Z199" s="43"/>
      <c r="AA199" s="43"/>
      <c r="AB199" s="123"/>
      <c r="AC199" s="43"/>
    </row>
    <row r="200">
      <c r="A200" s="107">
        <v>2018.0</v>
      </c>
      <c r="B200" s="131"/>
      <c r="C200" s="108">
        <v>44690.69767142361</v>
      </c>
      <c r="D200" s="109" t="s">
        <v>904</v>
      </c>
      <c r="E200" s="110">
        <v>1.800016074E9</v>
      </c>
      <c r="F200" s="109" t="s">
        <v>905</v>
      </c>
      <c r="G200" s="111" t="s">
        <v>906</v>
      </c>
      <c r="H200" s="109" t="s">
        <v>907</v>
      </c>
      <c r="I200" s="109" t="s">
        <v>399</v>
      </c>
      <c r="J200" s="112" t="s">
        <v>39</v>
      </c>
      <c r="K200" s="117"/>
      <c r="L200" s="117"/>
      <c r="N200" s="114"/>
      <c r="O200" s="128" t="s">
        <v>703</v>
      </c>
      <c r="P200" s="127">
        <v>44700.0</v>
      </c>
      <c r="Q200" s="122" t="s">
        <v>908</v>
      </c>
      <c r="R200" s="88"/>
      <c r="S200" s="54"/>
      <c r="T200" s="54"/>
      <c r="U200" s="54"/>
      <c r="V200" s="50" t="s">
        <v>316</v>
      </c>
      <c r="W200" s="43"/>
      <c r="X200" s="43"/>
      <c r="Y200" s="43"/>
      <c r="Z200" s="43"/>
      <c r="AA200" s="43"/>
      <c r="AB200" s="123"/>
      <c r="AC200" s="43"/>
    </row>
    <row r="201">
      <c r="A201" s="107">
        <v>2018.0</v>
      </c>
      <c r="B201" s="131"/>
      <c r="C201" s="108">
        <v>44692.24161372685</v>
      </c>
      <c r="D201" s="109" t="s">
        <v>909</v>
      </c>
      <c r="E201" s="110">
        <v>1.800016066E9</v>
      </c>
      <c r="F201" s="109" t="s">
        <v>910</v>
      </c>
      <c r="G201" s="111" t="s">
        <v>911</v>
      </c>
      <c r="H201" s="109" t="s">
        <v>912</v>
      </c>
      <c r="I201" s="109" t="s">
        <v>399</v>
      </c>
      <c r="J201" s="109" t="s">
        <v>241</v>
      </c>
      <c r="K201" s="117"/>
      <c r="L201" s="117"/>
      <c r="N201" s="114"/>
      <c r="O201" s="126" t="s">
        <v>352</v>
      </c>
      <c r="P201" s="127">
        <v>44700.0</v>
      </c>
      <c r="Q201" s="122" t="s">
        <v>895</v>
      </c>
      <c r="R201" s="88"/>
      <c r="S201" s="54"/>
      <c r="T201" s="54"/>
      <c r="U201" s="54"/>
      <c r="V201" s="50" t="s">
        <v>316</v>
      </c>
      <c r="W201" s="43"/>
      <c r="X201" s="43"/>
      <c r="Y201" s="43"/>
      <c r="Z201" s="43"/>
      <c r="AA201" s="43"/>
      <c r="AB201" s="123"/>
      <c r="AC201" s="43"/>
    </row>
    <row r="202">
      <c r="A202" s="107">
        <v>2017.0</v>
      </c>
      <c r="B202" s="131"/>
      <c r="C202" s="108">
        <v>44693.84388486111</v>
      </c>
      <c r="D202" s="109" t="s">
        <v>913</v>
      </c>
      <c r="E202" s="110">
        <v>1.700016078E9</v>
      </c>
      <c r="F202" s="109" t="s">
        <v>914</v>
      </c>
      <c r="G202" s="111" t="s">
        <v>915</v>
      </c>
      <c r="H202" s="109" t="s">
        <v>916</v>
      </c>
      <c r="I202" s="109" t="s">
        <v>399</v>
      </c>
      <c r="J202" s="109" t="s">
        <v>117</v>
      </c>
      <c r="K202" s="117"/>
      <c r="L202" s="117"/>
      <c r="N202" s="114"/>
      <c r="O202" s="119" t="s">
        <v>28</v>
      </c>
      <c r="P202" s="125">
        <v>44700.0</v>
      </c>
      <c r="Q202" s="112" t="s">
        <v>917</v>
      </c>
      <c r="R202" s="88"/>
      <c r="S202" s="54"/>
      <c r="T202" s="54"/>
      <c r="U202" s="54"/>
      <c r="V202" s="50" t="s">
        <v>316</v>
      </c>
      <c r="W202" s="43"/>
      <c r="X202" s="43"/>
      <c r="Y202" s="43"/>
      <c r="Z202" s="43"/>
      <c r="AA202" s="43"/>
      <c r="AB202" s="43"/>
      <c r="AC202" s="43"/>
    </row>
    <row r="203">
      <c r="A203" s="107">
        <v>2017.0</v>
      </c>
      <c r="B203" s="131"/>
      <c r="C203" s="108">
        <v>44693.895069363425</v>
      </c>
      <c r="D203" s="109" t="s">
        <v>918</v>
      </c>
      <c r="E203" s="110">
        <v>1.700016018E9</v>
      </c>
      <c r="F203" s="109" t="s">
        <v>919</v>
      </c>
      <c r="G203" s="111" t="s">
        <v>920</v>
      </c>
      <c r="H203" s="109" t="s">
        <v>921</v>
      </c>
      <c r="I203" s="109" t="s">
        <v>399</v>
      </c>
      <c r="J203" s="109" t="s">
        <v>117</v>
      </c>
      <c r="K203" s="117"/>
      <c r="L203" s="117"/>
      <c r="N203" s="114"/>
      <c r="O203" s="115" t="s">
        <v>703</v>
      </c>
      <c r="P203" s="125">
        <v>44700.0</v>
      </c>
      <c r="Q203" s="112" t="s">
        <v>895</v>
      </c>
      <c r="R203" s="88"/>
      <c r="S203" s="54"/>
      <c r="T203" s="54"/>
      <c r="U203" s="54"/>
      <c r="V203" s="50" t="s">
        <v>316</v>
      </c>
      <c r="W203" s="43"/>
      <c r="X203" s="43"/>
      <c r="Y203" s="43"/>
      <c r="Z203" s="43"/>
      <c r="AA203" s="43"/>
      <c r="AB203" s="43"/>
      <c r="AC203" s="43"/>
    </row>
    <row r="204">
      <c r="A204" s="107">
        <v>2017.0</v>
      </c>
      <c r="B204" s="131"/>
      <c r="C204" s="108">
        <v>44694.27106111111</v>
      </c>
      <c r="D204" s="109" t="s">
        <v>922</v>
      </c>
      <c r="E204" s="110">
        <v>1.700016104E9</v>
      </c>
      <c r="F204" s="109" t="s">
        <v>923</v>
      </c>
      <c r="G204" s="111" t="s">
        <v>924</v>
      </c>
      <c r="H204" s="109" t="s">
        <v>925</v>
      </c>
      <c r="I204" s="109" t="s">
        <v>399</v>
      </c>
      <c r="J204" s="109" t="s">
        <v>117</v>
      </c>
      <c r="K204" s="117"/>
      <c r="L204" s="117"/>
      <c r="N204" s="114"/>
      <c r="O204" s="115" t="s">
        <v>703</v>
      </c>
      <c r="P204" s="125">
        <v>44700.0</v>
      </c>
      <c r="Q204" s="112" t="s">
        <v>689</v>
      </c>
      <c r="R204" s="88"/>
      <c r="S204" s="54"/>
      <c r="T204" s="54"/>
      <c r="U204" s="54"/>
      <c r="V204" s="50" t="s">
        <v>316</v>
      </c>
      <c r="W204" s="43"/>
      <c r="X204" s="43"/>
      <c r="Y204" s="43"/>
      <c r="Z204" s="43"/>
      <c r="AA204" s="43"/>
      <c r="AB204" s="43"/>
      <c r="AC204" s="43"/>
    </row>
    <row r="205">
      <c r="A205" s="107">
        <v>2018.0</v>
      </c>
      <c r="B205" s="131"/>
      <c r="C205" s="108">
        <v>44698.987319004635</v>
      </c>
      <c r="D205" s="109" t="s">
        <v>926</v>
      </c>
      <c r="E205" s="110">
        <v>1.800016005E9</v>
      </c>
      <c r="F205" s="109" t="s">
        <v>927</v>
      </c>
      <c r="G205" s="111" t="s">
        <v>928</v>
      </c>
      <c r="H205" s="109" t="s">
        <v>929</v>
      </c>
      <c r="I205" s="109" t="s">
        <v>399</v>
      </c>
      <c r="J205" s="112" t="s">
        <v>39</v>
      </c>
      <c r="K205" s="117"/>
      <c r="L205" s="117"/>
      <c r="N205" s="114"/>
      <c r="O205" s="128" t="s">
        <v>703</v>
      </c>
      <c r="P205" s="127">
        <v>44711.0</v>
      </c>
      <c r="Q205" s="122" t="s">
        <v>680</v>
      </c>
      <c r="R205" s="88"/>
      <c r="S205" s="54"/>
      <c r="T205" s="54"/>
      <c r="U205" s="54"/>
      <c r="V205" s="50" t="s">
        <v>316</v>
      </c>
      <c r="W205" s="43"/>
      <c r="X205" s="43"/>
      <c r="Y205" s="43"/>
      <c r="Z205" s="43"/>
      <c r="AA205" s="43"/>
      <c r="AB205" s="123"/>
      <c r="AC205" s="43"/>
    </row>
    <row r="206">
      <c r="A206" s="107">
        <v>2018.0</v>
      </c>
      <c r="B206" s="131"/>
      <c r="C206" s="108">
        <v>44701.889157893514</v>
      </c>
      <c r="D206" s="109" t="s">
        <v>930</v>
      </c>
      <c r="E206" s="110">
        <v>1.800016023E9</v>
      </c>
      <c r="F206" s="109" t="s">
        <v>931</v>
      </c>
      <c r="G206" s="111" t="s">
        <v>932</v>
      </c>
      <c r="H206" s="109" t="s">
        <v>933</v>
      </c>
      <c r="I206" s="109" t="s">
        <v>399</v>
      </c>
      <c r="J206" s="112" t="s">
        <v>39</v>
      </c>
      <c r="K206" s="117"/>
      <c r="L206" s="117"/>
      <c r="N206" s="114"/>
      <c r="O206" s="128" t="s">
        <v>703</v>
      </c>
      <c r="P206" s="127">
        <v>44711.0</v>
      </c>
      <c r="Q206" s="122" t="s">
        <v>767</v>
      </c>
      <c r="R206" s="88"/>
      <c r="S206" s="54"/>
      <c r="T206" s="54"/>
      <c r="U206" s="54"/>
      <c r="V206" s="50" t="s">
        <v>316</v>
      </c>
      <c r="W206" s="43"/>
      <c r="X206" s="43"/>
      <c r="Y206" s="43"/>
      <c r="Z206" s="43"/>
      <c r="AA206" s="43"/>
      <c r="AB206" s="123"/>
      <c r="AC206" s="43"/>
    </row>
    <row r="207">
      <c r="A207" s="107">
        <v>2018.0</v>
      </c>
      <c r="B207" s="131"/>
      <c r="C207" s="108">
        <v>44704.395141064815</v>
      </c>
      <c r="D207" s="109" t="s">
        <v>934</v>
      </c>
      <c r="E207" s="110">
        <v>1.800016018E9</v>
      </c>
      <c r="F207" s="109" t="s">
        <v>935</v>
      </c>
      <c r="G207" s="111" t="s">
        <v>936</v>
      </c>
      <c r="H207" s="109" t="s">
        <v>937</v>
      </c>
      <c r="I207" s="109" t="s">
        <v>399</v>
      </c>
      <c r="J207" s="109" t="s">
        <v>241</v>
      </c>
      <c r="K207" s="117"/>
      <c r="L207" s="117"/>
      <c r="N207" s="114"/>
      <c r="O207" s="130" t="s">
        <v>539</v>
      </c>
      <c r="P207" s="127">
        <v>44711.0</v>
      </c>
      <c r="Q207" s="122" t="s">
        <v>895</v>
      </c>
      <c r="R207" s="88"/>
      <c r="S207" s="54"/>
      <c r="T207" s="54"/>
      <c r="U207" s="54"/>
      <c r="V207" s="50" t="s">
        <v>316</v>
      </c>
      <c r="W207" s="43"/>
      <c r="X207" s="43"/>
      <c r="Y207" s="43"/>
      <c r="Z207" s="43"/>
      <c r="AA207" s="43"/>
      <c r="AB207" s="123"/>
      <c r="AC207" s="43"/>
    </row>
    <row r="208">
      <c r="A208" s="107">
        <v>2018.0</v>
      </c>
      <c r="B208" s="131"/>
      <c r="C208" s="108">
        <v>44704.69501189815</v>
      </c>
      <c r="D208" s="109" t="s">
        <v>938</v>
      </c>
      <c r="E208" s="110">
        <v>1.800016017E9</v>
      </c>
      <c r="F208" s="109" t="s">
        <v>939</v>
      </c>
      <c r="G208" s="111" t="s">
        <v>940</v>
      </c>
      <c r="H208" s="109" t="s">
        <v>941</v>
      </c>
      <c r="I208" s="109" t="s">
        <v>399</v>
      </c>
      <c r="J208" s="112" t="s">
        <v>39</v>
      </c>
      <c r="K208" s="117"/>
      <c r="L208" s="117"/>
      <c r="N208" s="114"/>
      <c r="O208" s="128" t="s">
        <v>703</v>
      </c>
      <c r="P208" s="127">
        <v>44711.0</v>
      </c>
      <c r="Q208" s="122" t="s">
        <v>772</v>
      </c>
      <c r="R208" s="88"/>
      <c r="S208" s="54"/>
      <c r="T208" s="54"/>
      <c r="U208" s="54"/>
      <c r="V208" s="50" t="s">
        <v>316</v>
      </c>
      <c r="W208" s="43"/>
      <c r="X208" s="43"/>
      <c r="Y208" s="43"/>
      <c r="Z208" s="43"/>
      <c r="AA208" s="43"/>
      <c r="AB208" s="123"/>
      <c r="AC208" s="43"/>
    </row>
    <row r="209">
      <c r="A209" s="107">
        <v>2018.0</v>
      </c>
      <c r="B209" s="131"/>
      <c r="C209" s="108">
        <v>44713.935979375005</v>
      </c>
      <c r="D209" s="109" t="s">
        <v>942</v>
      </c>
      <c r="E209" s="110">
        <v>1.800016028E9</v>
      </c>
      <c r="F209" s="109" t="s">
        <v>943</v>
      </c>
      <c r="G209" s="111" t="s">
        <v>944</v>
      </c>
      <c r="H209" s="109" t="s">
        <v>945</v>
      </c>
      <c r="I209" s="109" t="s">
        <v>399</v>
      </c>
      <c r="J209" s="109" t="s">
        <v>747</v>
      </c>
      <c r="K209" s="135"/>
      <c r="L209" s="135"/>
      <c r="N209" s="114"/>
      <c r="O209" s="128" t="s">
        <v>40</v>
      </c>
      <c r="P209" s="127">
        <v>44719.0</v>
      </c>
      <c r="Q209" s="122" t="s">
        <v>890</v>
      </c>
      <c r="R209" s="88"/>
      <c r="S209" s="54"/>
      <c r="T209" s="54"/>
      <c r="U209" s="54"/>
      <c r="V209" s="50" t="s">
        <v>316</v>
      </c>
      <c r="W209" s="43"/>
      <c r="X209" s="43"/>
      <c r="Y209" s="43"/>
      <c r="Z209" s="43"/>
      <c r="AA209" s="43"/>
      <c r="AB209" s="123"/>
      <c r="AC209" s="43"/>
    </row>
    <row r="210">
      <c r="A210" s="107">
        <v>2018.0</v>
      </c>
      <c r="B210" s="131"/>
      <c r="C210" s="108">
        <v>44717.87174436342</v>
      </c>
      <c r="D210" s="109" t="s">
        <v>946</v>
      </c>
      <c r="E210" s="110">
        <v>1.80001609E9</v>
      </c>
      <c r="F210" s="109" t="s">
        <v>947</v>
      </c>
      <c r="G210" s="111" t="s">
        <v>948</v>
      </c>
      <c r="H210" s="109" t="s">
        <v>949</v>
      </c>
      <c r="I210" s="109" t="s">
        <v>399</v>
      </c>
      <c r="J210" s="112" t="s">
        <v>950</v>
      </c>
      <c r="K210" s="117"/>
      <c r="L210" s="117"/>
      <c r="N210" s="114"/>
      <c r="O210" s="128" t="s">
        <v>40</v>
      </c>
      <c r="P210" s="127">
        <v>44732.0</v>
      </c>
      <c r="Q210" s="122" t="s">
        <v>680</v>
      </c>
      <c r="R210" s="88"/>
      <c r="S210" s="54"/>
      <c r="T210" s="54"/>
      <c r="U210" s="54"/>
      <c r="V210" s="50" t="s">
        <v>316</v>
      </c>
      <c r="W210" s="43"/>
      <c r="X210" s="43"/>
      <c r="Y210" s="43"/>
      <c r="Z210" s="43"/>
      <c r="AA210" s="43"/>
      <c r="AB210" s="123"/>
      <c r="AC210" s="43"/>
    </row>
    <row r="211">
      <c r="A211" s="107">
        <v>2018.0</v>
      </c>
      <c r="B211" s="131"/>
      <c r="C211" s="108">
        <v>44718.907146365746</v>
      </c>
      <c r="D211" s="109" t="s">
        <v>951</v>
      </c>
      <c r="E211" s="110">
        <v>1.800016134E9</v>
      </c>
      <c r="F211" s="109" t="s">
        <v>952</v>
      </c>
      <c r="G211" s="111" t="s">
        <v>953</v>
      </c>
      <c r="H211" s="109" t="s">
        <v>954</v>
      </c>
      <c r="I211" s="109" t="s">
        <v>399</v>
      </c>
      <c r="J211" s="112" t="s">
        <v>950</v>
      </c>
      <c r="K211" s="117"/>
      <c r="L211" s="117"/>
      <c r="N211" s="114"/>
      <c r="O211" s="128" t="s">
        <v>40</v>
      </c>
      <c r="P211" s="127">
        <v>44732.0</v>
      </c>
      <c r="Q211" s="122" t="s">
        <v>708</v>
      </c>
      <c r="R211" s="88"/>
      <c r="S211" s="54"/>
      <c r="T211" s="54"/>
      <c r="U211" s="54"/>
      <c r="V211" s="50" t="s">
        <v>316</v>
      </c>
      <c r="W211" s="43"/>
      <c r="X211" s="43"/>
      <c r="Y211" s="43"/>
      <c r="Z211" s="43"/>
      <c r="AA211" s="43"/>
      <c r="AB211" s="123"/>
      <c r="AC211" s="43"/>
    </row>
    <row r="212">
      <c r="A212" s="107">
        <v>2018.0</v>
      </c>
      <c r="B212" s="131"/>
      <c r="C212" s="108">
        <v>44721.031865324076</v>
      </c>
      <c r="D212" s="109" t="s">
        <v>955</v>
      </c>
      <c r="E212" s="110">
        <v>1.800016139E9</v>
      </c>
      <c r="F212" s="109" t="s">
        <v>956</v>
      </c>
      <c r="G212" s="111" t="s">
        <v>957</v>
      </c>
      <c r="H212" s="109" t="s">
        <v>958</v>
      </c>
      <c r="I212" s="109" t="s">
        <v>399</v>
      </c>
      <c r="J212" s="109" t="s">
        <v>747</v>
      </c>
      <c r="K212" s="117"/>
      <c r="L212" s="117"/>
      <c r="N212" s="114"/>
      <c r="O212" s="128" t="s">
        <v>703</v>
      </c>
      <c r="P212" s="127">
        <v>44732.0</v>
      </c>
      <c r="Q212" s="122" t="s">
        <v>708</v>
      </c>
      <c r="R212" s="88"/>
      <c r="S212" s="54"/>
      <c r="T212" s="54"/>
      <c r="U212" s="54"/>
      <c r="V212" s="50" t="s">
        <v>316</v>
      </c>
      <c r="W212" s="43"/>
      <c r="X212" s="43"/>
      <c r="Y212" s="43"/>
      <c r="Z212" s="43"/>
      <c r="AA212" s="43"/>
      <c r="AB212" s="123"/>
      <c r="AC212" s="43"/>
    </row>
    <row r="213">
      <c r="A213" s="107">
        <v>2018.0</v>
      </c>
      <c r="B213" s="131"/>
      <c r="C213" s="108">
        <v>44724.72913986111</v>
      </c>
      <c r="D213" s="109" t="s">
        <v>959</v>
      </c>
      <c r="E213" s="110">
        <v>1.800016055E9</v>
      </c>
      <c r="F213" s="109" t="s">
        <v>960</v>
      </c>
      <c r="G213" s="111" t="s">
        <v>961</v>
      </c>
      <c r="H213" s="109" t="s">
        <v>962</v>
      </c>
      <c r="I213" s="109" t="s">
        <v>399</v>
      </c>
      <c r="J213" s="109" t="s">
        <v>117</v>
      </c>
      <c r="K213" s="117"/>
      <c r="L213" s="117"/>
      <c r="N213" s="114"/>
      <c r="O213" s="120" t="s">
        <v>28</v>
      </c>
      <c r="P213" s="127">
        <v>44732.0</v>
      </c>
      <c r="Q213" s="122" t="s">
        <v>708</v>
      </c>
      <c r="R213" s="88"/>
      <c r="S213" s="54"/>
      <c r="T213" s="54"/>
      <c r="U213" s="54"/>
      <c r="V213" s="50" t="s">
        <v>316</v>
      </c>
      <c r="W213" s="43"/>
      <c r="X213" s="43"/>
      <c r="Y213" s="43"/>
      <c r="Z213" s="43"/>
      <c r="AA213" s="43"/>
      <c r="AB213" s="123"/>
      <c r="AC213" s="43"/>
    </row>
    <row r="214">
      <c r="A214" s="107">
        <v>2018.0</v>
      </c>
      <c r="B214" s="131"/>
      <c r="C214" s="108">
        <v>44726.846446446754</v>
      </c>
      <c r="D214" s="109" t="s">
        <v>963</v>
      </c>
      <c r="E214" s="110">
        <v>1.800016063E9</v>
      </c>
      <c r="F214" s="109" t="s">
        <v>964</v>
      </c>
      <c r="G214" s="111" t="s">
        <v>965</v>
      </c>
      <c r="H214" s="109" t="s">
        <v>966</v>
      </c>
      <c r="I214" s="109" t="s">
        <v>399</v>
      </c>
      <c r="J214" s="109" t="s">
        <v>117</v>
      </c>
      <c r="K214" s="117"/>
      <c r="L214" s="117"/>
      <c r="N214" s="114"/>
      <c r="O214" s="120" t="s">
        <v>28</v>
      </c>
      <c r="P214" s="127">
        <v>44736.0</v>
      </c>
      <c r="Q214" s="122" t="s">
        <v>967</v>
      </c>
      <c r="R214" s="88"/>
      <c r="S214" s="54"/>
      <c r="T214" s="54"/>
      <c r="U214" s="54"/>
      <c r="V214" s="50" t="s">
        <v>316</v>
      </c>
      <c r="W214" s="43"/>
      <c r="X214" s="43"/>
      <c r="Y214" s="43"/>
      <c r="Z214" s="43"/>
      <c r="AA214" s="43"/>
      <c r="AB214" s="123"/>
      <c r="AC214" s="43"/>
    </row>
    <row r="215">
      <c r="A215" s="107">
        <v>2018.0</v>
      </c>
      <c r="B215" s="131"/>
      <c r="C215" s="108">
        <v>44731.95515554398</v>
      </c>
      <c r="D215" s="109" t="s">
        <v>968</v>
      </c>
      <c r="E215" s="110">
        <v>1.800016061E9</v>
      </c>
      <c r="F215" s="109" t="s">
        <v>969</v>
      </c>
      <c r="G215" s="111" t="s">
        <v>970</v>
      </c>
      <c r="H215" s="109" t="s">
        <v>971</v>
      </c>
      <c r="I215" s="109" t="s">
        <v>399</v>
      </c>
      <c r="J215" s="109" t="s">
        <v>117</v>
      </c>
      <c r="K215" s="117"/>
      <c r="L215" s="117"/>
      <c r="N215" s="114"/>
      <c r="O215" s="128" t="s">
        <v>703</v>
      </c>
      <c r="P215" s="127">
        <v>44736.0</v>
      </c>
      <c r="Q215" s="122" t="s">
        <v>972</v>
      </c>
      <c r="R215" s="88"/>
      <c r="S215" s="54"/>
      <c r="T215" s="54"/>
      <c r="U215" s="54"/>
      <c r="V215" s="50" t="s">
        <v>316</v>
      </c>
      <c r="W215" s="43"/>
      <c r="X215" s="43"/>
      <c r="Y215" s="43"/>
      <c r="Z215" s="43"/>
      <c r="AA215" s="43"/>
      <c r="AB215" s="123"/>
      <c r="AC215" s="43"/>
    </row>
    <row r="216">
      <c r="A216" s="107">
        <v>2018.0</v>
      </c>
      <c r="B216" s="131"/>
      <c r="C216" s="108">
        <v>44732.79789324074</v>
      </c>
      <c r="D216" s="109" t="s">
        <v>973</v>
      </c>
      <c r="E216" s="110">
        <v>1.80001613E9</v>
      </c>
      <c r="F216" s="109" t="s">
        <v>974</v>
      </c>
      <c r="G216" s="111" t="s">
        <v>975</v>
      </c>
      <c r="H216" s="109" t="s">
        <v>976</v>
      </c>
      <c r="I216" s="109" t="s">
        <v>399</v>
      </c>
      <c r="J216" s="109" t="s">
        <v>117</v>
      </c>
      <c r="K216" s="117"/>
      <c r="L216" s="117"/>
      <c r="N216" s="114"/>
      <c r="O216" s="120" t="s">
        <v>28</v>
      </c>
      <c r="P216" s="127">
        <v>44736.0</v>
      </c>
      <c r="Q216" s="122" t="s">
        <v>977</v>
      </c>
      <c r="R216" s="88"/>
      <c r="S216" s="54"/>
      <c r="T216" s="54"/>
      <c r="U216" s="54"/>
      <c r="V216" s="50" t="s">
        <v>316</v>
      </c>
      <c r="W216" s="43"/>
      <c r="X216" s="43"/>
      <c r="Y216" s="43"/>
      <c r="Z216" s="43"/>
      <c r="AA216" s="43"/>
      <c r="AB216" s="123"/>
      <c r="AC216" s="43"/>
    </row>
    <row r="217">
      <c r="A217" s="107">
        <v>2018.0</v>
      </c>
      <c r="B217" s="131"/>
      <c r="C217" s="108">
        <v>44732.798056678235</v>
      </c>
      <c r="D217" s="109" t="s">
        <v>978</v>
      </c>
      <c r="E217" s="110">
        <v>1.800016165E9</v>
      </c>
      <c r="F217" s="109" t="s">
        <v>979</v>
      </c>
      <c r="G217" s="111" t="s">
        <v>980</v>
      </c>
      <c r="H217" s="109" t="s">
        <v>981</v>
      </c>
      <c r="I217" s="109" t="s">
        <v>399</v>
      </c>
      <c r="J217" s="109" t="s">
        <v>117</v>
      </c>
      <c r="K217" s="117"/>
      <c r="L217" s="117"/>
      <c r="N217" s="114"/>
      <c r="O217" s="120" t="s">
        <v>28</v>
      </c>
      <c r="P217" s="127">
        <v>44736.0</v>
      </c>
      <c r="Q217" s="122" t="s">
        <v>982</v>
      </c>
      <c r="R217" s="88"/>
      <c r="S217" s="54"/>
      <c r="T217" s="54"/>
      <c r="U217" s="54"/>
      <c r="V217" s="50" t="s">
        <v>316</v>
      </c>
      <c r="W217" s="43"/>
      <c r="X217" s="43"/>
      <c r="Y217" s="43"/>
      <c r="Z217" s="43"/>
      <c r="AA217" s="43"/>
      <c r="AB217" s="123"/>
      <c r="AC217" s="43"/>
    </row>
    <row r="218">
      <c r="A218" s="107">
        <v>2018.0</v>
      </c>
      <c r="B218" s="131"/>
      <c r="C218" s="108">
        <v>44732.8625256713</v>
      </c>
      <c r="D218" s="109" t="s">
        <v>983</v>
      </c>
      <c r="E218" s="110">
        <v>1.800016138E9</v>
      </c>
      <c r="F218" s="109" t="s">
        <v>984</v>
      </c>
      <c r="G218" s="111" t="s">
        <v>985</v>
      </c>
      <c r="H218" s="109" t="s">
        <v>986</v>
      </c>
      <c r="I218" s="109" t="s">
        <v>399</v>
      </c>
      <c r="J218" s="109" t="s">
        <v>117</v>
      </c>
      <c r="K218" s="117"/>
      <c r="L218" s="117"/>
      <c r="N218" s="114"/>
      <c r="O218" s="128" t="s">
        <v>703</v>
      </c>
      <c r="P218" s="127">
        <v>44743.0</v>
      </c>
      <c r="Q218" s="122" t="s">
        <v>987</v>
      </c>
      <c r="R218" s="88"/>
      <c r="S218" s="54"/>
      <c r="T218" s="54"/>
      <c r="U218" s="54"/>
      <c r="V218" s="50" t="s">
        <v>316</v>
      </c>
      <c r="W218" s="43"/>
      <c r="X218" s="43"/>
      <c r="Y218" s="43"/>
      <c r="Z218" s="43"/>
      <c r="AA218" s="43"/>
      <c r="AB218" s="123"/>
      <c r="AC218" s="43"/>
    </row>
    <row r="219">
      <c r="A219" s="107">
        <v>2018.0</v>
      </c>
      <c r="B219" s="131"/>
      <c r="C219" s="108">
        <v>44733.78507481482</v>
      </c>
      <c r="D219" s="109" t="s">
        <v>988</v>
      </c>
      <c r="E219" s="110">
        <v>1.800016073E9</v>
      </c>
      <c r="F219" s="109" t="s">
        <v>989</v>
      </c>
      <c r="G219" s="111" t="s">
        <v>990</v>
      </c>
      <c r="H219" s="109" t="s">
        <v>991</v>
      </c>
      <c r="I219" s="109" t="s">
        <v>399</v>
      </c>
      <c r="J219" s="109" t="s">
        <v>117</v>
      </c>
      <c r="K219" s="117"/>
      <c r="L219" s="117"/>
      <c r="N219" s="114"/>
      <c r="O219" s="128" t="s">
        <v>703</v>
      </c>
      <c r="P219" s="127">
        <v>44743.0</v>
      </c>
      <c r="Q219" s="122" t="s">
        <v>987</v>
      </c>
      <c r="R219" s="88"/>
      <c r="S219" s="54"/>
      <c r="T219" s="54"/>
      <c r="U219" s="54"/>
      <c r="V219" s="50" t="s">
        <v>316</v>
      </c>
      <c r="W219" s="43"/>
      <c r="X219" s="43"/>
      <c r="Y219" s="43"/>
      <c r="Z219" s="43"/>
      <c r="AA219" s="43"/>
      <c r="AB219" s="123"/>
      <c r="AC219" s="43"/>
    </row>
    <row r="220">
      <c r="A220" s="107">
        <v>2018.0</v>
      </c>
      <c r="B220" s="131"/>
      <c r="C220" s="108">
        <v>44732.91892596065</v>
      </c>
      <c r="D220" s="109" t="s">
        <v>992</v>
      </c>
      <c r="E220" s="110">
        <v>1.800016126E9</v>
      </c>
      <c r="F220" s="109" t="s">
        <v>993</v>
      </c>
      <c r="G220" s="111" t="s">
        <v>994</v>
      </c>
      <c r="H220" s="109" t="s">
        <v>995</v>
      </c>
      <c r="I220" s="109" t="s">
        <v>399</v>
      </c>
      <c r="J220" s="109" t="s">
        <v>117</v>
      </c>
      <c r="K220" s="117"/>
      <c r="L220" s="117"/>
      <c r="N220" s="114"/>
      <c r="O220" s="128" t="s">
        <v>703</v>
      </c>
      <c r="P220" s="127">
        <v>44743.0</v>
      </c>
      <c r="Q220" s="122" t="s">
        <v>987</v>
      </c>
      <c r="R220" s="88"/>
      <c r="S220" s="54"/>
      <c r="T220" s="54"/>
      <c r="U220" s="54"/>
      <c r="V220" s="50" t="s">
        <v>316</v>
      </c>
      <c r="W220" s="43"/>
      <c r="X220" s="43"/>
      <c r="Y220" s="43"/>
      <c r="Z220" s="43"/>
      <c r="AA220" s="43"/>
      <c r="AB220" s="123"/>
      <c r="AC220" s="43"/>
    </row>
    <row r="221">
      <c r="A221" s="107">
        <v>2018.0</v>
      </c>
      <c r="B221" s="131"/>
      <c r="C221" s="108">
        <v>44732.974681377316</v>
      </c>
      <c r="D221" s="109" t="s">
        <v>996</v>
      </c>
      <c r="E221" s="110">
        <v>1.800016085E9</v>
      </c>
      <c r="F221" s="109" t="s">
        <v>997</v>
      </c>
      <c r="G221" s="111" t="s">
        <v>998</v>
      </c>
      <c r="H221" s="109" t="s">
        <v>999</v>
      </c>
      <c r="I221" s="109" t="s">
        <v>399</v>
      </c>
      <c r="J221" s="109" t="s">
        <v>117</v>
      </c>
      <c r="K221" s="117"/>
      <c r="L221" s="117"/>
      <c r="N221" s="114"/>
      <c r="O221" s="128" t="s">
        <v>703</v>
      </c>
      <c r="P221" s="127">
        <v>44743.0</v>
      </c>
      <c r="Q221" s="122" t="s">
        <v>987</v>
      </c>
      <c r="R221" s="88"/>
      <c r="S221" s="54"/>
      <c r="T221" s="54"/>
      <c r="U221" s="54"/>
      <c r="V221" s="50" t="s">
        <v>316</v>
      </c>
      <c r="W221" s="43"/>
      <c r="X221" s="43"/>
      <c r="Y221" s="43"/>
      <c r="Z221" s="43"/>
      <c r="AA221" s="43"/>
      <c r="AB221" s="123"/>
      <c r="AC221" s="43"/>
    </row>
    <row r="222">
      <c r="A222" s="107">
        <v>2018.0</v>
      </c>
      <c r="B222" s="131"/>
      <c r="C222" s="108">
        <v>44732.86239165509</v>
      </c>
      <c r="D222" s="109" t="s">
        <v>1000</v>
      </c>
      <c r="E222" s="110">
        <v>1.800016132E9</v>
      </c>
      <c r="F222" s="109" t="s">
        <v>1001</v>
      </c>
      <c r="G222" s="111" t="s">
        <v>1002</v>
      </c>
      <c r="H222" s="109" t="s">
        <v>1003</v>
      </c>
      <c r="I222" s="109" t="s">
        <v>399</v>
      </c>
      <c r="J222" s="109" t="s">
        <v>117</v>
      </c>
      <c r="K222" s="117"/>
      <c r="L222" s="117"/>
      <c r="N222" s="114"/>
      <c r="O222" s="120" t="s">
        <v>28</v>
      </c>
      <c r="P222" s="127">
        <v>44743.0</v>
      </c>
      <c r="Q222" s="122" t="s">
        <v>1004</v>
      </c>
      <c r="R222" s="88"/>
      <c r="S222" s="54"/>
      <c r="T222" s="54"/>
      <c r="U222" s="54"/>
      <c r="V222" s="50" t="s">
        <v>316</v>
      </c>
      <c r="W222" s="43"/>
      <c r="X222" s="43"/>
      <c r="Y222" s="43"/>
      <c r="Z222" s="43"/>
      <c r="AA222" s="43"/>
      <c r="AB222" s="123"/>
      <c r="AC222" s="43"/>
    </row>
    <row r="223">
      <c r="A223" s="107">
        <v>2018.0</v>
      </c>
      <c r="B223" s="131"/>
      <c r="C223" s="108">
        <v>44737.873477939815</v>
      </c>
      <c r="D223" s="109" t="s">
        <v>1005</v>
      </c>
      <c r="E223" s="136" t="s">
        <v>1006</v>
      </c>
      <c r="F223" s="109" t="s">
        <v>1007</v>
      </c>
      <c r="G223" s="111" t="s">
        <v>1008</v>
      </c>
      <c r="H223" s="109" t="s">
        <v>1009</v>
      </c>
      <c r="I223" s="109" t="s">
        <v>399</v>
      </c>
      <c r="J223" s="109" t="s">
        <v>117</v>
      </c>
      <c r="K223" s="117"/>
      <c r="L223" s="117"/>
      <c r="N223" s="114"/>
      <c r="O223" s="120" t="s">
        <v>28</v>
      </c>
      <c r="P223" s="127">
        <v>44743.0</v>
      </c>
      <c r="Q223" s="122" t="s">
        <v>1004</v>
      </c>
      <c r="R223" s="88"/>
      <c r="S223" s="54"/>
      <c r="T223" s="54"/>
      <c r="U223" s="54"/>
      <c r="V223" s="50" t="s">
        <v>316</v>
      </c>
      <c r="W223" s="43"/>
      <c r="X223" s="43"/>
      <c r="Y223" s="43"/>
      <c r="Z223" s="43"/>
      <c r="AA223" s="43"/>
      <c r="AB223" s="123"/>
      <c r="AC223" s="43"/>
    </row>
    <row r="224">
      <c r="A224" s="107">
        <v>2017.0</v>
      </c>
      <c r="B224" s="131"/>
      <c r="C224" s="108">
        <v>44737.04648107639</v>
      </c>
      <c r="D224" s="109" t="s">
        <v>1010</v>
      </c>
      <c r="E224" s="110">
        <v>1.700016026E9</v>
      </c>
      <c r="F224" s="109" t="s">
        <v>1011</v>
      </c>
      <c r="G224" s="111" t="s">
        <v>1012</v>
      </c>
      <c r="H224" s="109" t="s">
        <v>1013</v>
      </c>
      <c r="I224" s="109" t="s">
        <v>399</v>
      </c>
      <c r="J224" s="109" t="s">
        <v>230</v>
      </c>
      <c r="K224" s="117"/>
      <c r="L224" s="117"/>
      <c r="N224" s="114"/>
      <c r="O224" s="119" t="s">
        <v>28</v>
      </c>
      <c r="P224" s="125">
        <v>44743.0</v>
      </c>
      <c r="Q224" s="112" t="s">
        <v>1014</v>
      </c>
      <c r="R224" s="88"/>
      <c r="S224" s="54"/>
      <c r="T224" s="54"/>
      <c r="U224" s="54"/>
      <c r="V224" s="50" t="s">
        <v>316</v>
      </c>
      <c r="W224" s="43"/>
      <c r="X224" s="43"/>
      <c r="Y224" s="43"/>
      <c r="Z224" s="43"/>
      <c r="AA224" s="43"/>
      <c r="AB224" s="43"/>
      <c r="AC224" s="43"/>
    </row>
    <row r="225">
      <c r="A225" s="107">
        <v>2018.0</v>
      </c>
      <c r="B225" s="131"/>
      <c r="C225" s="108">
        <v>44738.84992259259</v>
      </c>
      <c r="D225" s="109" t="s">
        <v>1015</v>
      </c>
      <c r="E225" s="110">
        <v>1.800016026E9</v>
      </c>
      <c r="F225" s="109" t="s">
        <v>1016</v>
      </c>
      <c r="G225" s="111" t="s">
        <v>1017</v>
      </c>
      <c r="H225" s="109" t="s">
        <v>1018</v>
      </c>
      <c r="I225" s="109" t="s">
        <v>399</v>
      </c>
      <c r="J225" s="109" t="s">
        <v>183</v>
      </c>
      <c r="K225" s="117"/>
      <c r="L225" s="117"/>
      <c r="N225" s="114"/>
      <c r="O225" s="128" t="s">
        <v>40</v>
      </c>
      <c r="P225" s="127">
        <v>44743.0</v>
      </c>
      <c r="Q225" s="122" t="s">
        <v>1019</v>
      </c>
      <c r="R225" s="88"/>
      <c r="S225" s="54"/>
      <c r="T225" s="54"/>
      <c r="U225" s="54"/>
      <c r="V225" s="50" t="s">
        <v>316</v>
      </c>
      <c r="W225" s="43"/>
      <c r="X225" s="43"/>
      <c r="Y225" s="43"/>
      <c r="Z225" s="43"/>
      <c r="AA225" s="43"/>
      <c r="AB225" s="123"/>
      <c r="AC225" s="43"/>
    </row>
    <row r="226">
      <c r="A226" s="107">
        <v>2018.0</v>
      </c>
      <c r="B226" s="131"/>
      <c r="C226" s="108">
        <v>44742.567320393515</v>
      </c>
      <c r="D226" s="109" t="s">
        <v>1020</v>
      </c>
      <c r="E226" s="110">
        <v>1.800016013E9</v>
      </c>
      <c r="F226" s="109" t="s">
        <v>1021</v>
      </c>
      <c r="G226" s="111" t="s">
        <v>1022</v>
      </c>
      <c r="H226" s="109" t="s">
        <v>1023</v>
      </c>
      <c r="I226" s="109" t="s">
        <v>399</v>
      </c>
      <c r="J226" s="109" t="s">
        <v>747</v>
      </c>
      <c r="K226" s="135"/>
      <c r="L226" s="135"/>
      <c r="N226" s="114"/>
      <c r="O226" s="130" t="s">
        <v>539</v>
      </c>
      <c r="P226" s="127">
        <v>44750.0</v>
      </c>
      <c r="Q226" s="122" t="s">
        <v>881</v>
      </c>
      <c r="R226" s="137"/>
      <c r="S226" s="109"/>
      <c r="T226" s="109"/>
      <c r="U226" s="109"/>
      <c r="V226" s="138" t="s">
        <v>316</v>
      </c>
      <c r="W226" s="131"/>
      <c r="X226" s="131"/>
      <c r="Y226" s="131"/>
      <c r="Z226" s="131"/>
      <c r="AA226" s="131"/>
      <c r="AB226" s="139"/>
      <c r="AC226" s="131"/>
    </row>
    <row r="227">
      <c r="A227" s="107">
        <v>2018.0</v>
      </c>
      <c r="B227" s="131"/>
      <c r="C227" s="108">
        <v>44746.03479659722</v>
      </c>
      <c r="D227" s="109" t="s">
        <v>1024</v>
      </c>
      <c r="E227" s="110">
        <v>1.800016159E9</v>
      </c>
      <c r="F227" s="109" t="s">
        <v>1025</v>
      </c>
      <c r="G227" s="111" t="s">
        <v>1026</v>
      </c>
      <c r="H227" s="109" t="s">
        <v>1027</v>
      </c>
      <c r="I227" s="109" t="s">
        <v>399</v>
      </c>
      <c r="J227" s="109" t="s">
        <v>117</v>
      </c>
      <c r="K227" s="135"/>
      <c r="L227" s="135"/>
      <c r="N227" s="114"/>
      <c r="O227" s="124" t="s">
        <v>347</v>
      </c>
      <c r="P227" s="127">
        <v>44749.0</v>
      </c>
      <c r="Q227" s="122" t="s">
        <v>1028</v>
      </c>
      <c r="R227" s="137"/>
      <c r="S227" s="109"/>
      <c r="T227" s="109"/>
      <c r="U227" s="109"/>
      <c r="V227" s="138" t="s">
        <v>316</v>
      </c>
      <c r="W227" s="131"/>
      <c r="X227" s="131"/>
      <c r="Y227" s="131"/>
      <c r="Z227" s="131"/>
      <c r="AA227" s="131"/>
      <c r="AB227" s="139"/>
      <c r="AC227" s="131"/>
    </row>
    <row r="228">
      <c r="A228" s="107">
        <v>2018.0</v>
      </c>
      <c r="B228" s="131"/>
      <c r="C228" s="108">
        <v>44746.84680453704</v>
      </c>
      <c r="D228" s="109" t="s">
        <v>1029</v>
      </c>
      <c r="E228" s="110">
        <v>1.800016106E9</v>
      </c>
      <c r="F228" s="109" t="s">
        <v>1030</v>
      </c>
      <c r="G228" s="111" t="s">
        <v>1031</v>
      </c>
      <c r="H228" s="109" t="s">
        <v>1032</v>
      </c>
      <c r="I228" s="109" t="s">
        <v>399</v>
      </c>
      <c r="J228" s="112" t="s">
        <v>183</v>
      </c>
      <c r="K228" s="135"/>
      <c r="L228" s="135"/>
      <c r="N228" s="114"/>
      <c r="O228" s="120" t="s">
        <v>28</v>
      </c>
      <c r="P228" s="127">
        <v>44750.0</v>
      </c>
      <c r="Q228" s="122" t="s">
        <v>1033</v>
      </c>
      <c r="R228" s="137"/>
      <c r="S228" s="109"/>
      <c r="T228" s="109"/>
      <c r="U228" s="109"/>
      <c r="V228" s="138" t="s">
        <v>316</v>
      </c>
      <c r="W228" s="131"/>
      <c r="X228" s="131"/>
      <c r="Y228" s="131"/>
      <c r="Z228" s="131"/>
      <c r="AA228" s="131"/>
      <c r="AB228" s="139"/>
      <c r="AC228" s="131"/>
    </row>
    <row r="229">
      <c r="A229" s="107">
        <v>2018.0</v>
      </c>
      <c r="B229" s="131"/>
      <c r="C229" s="108">
        <v>44746.909393877315</v>
      </c>
      <c r="D229" s="109" t="s">
        <v>1034</v>
      </c>
      <c r="E229" s="110">
        <v>1.800016131E9</v>
      </c>
      <c r="F229" s="109" t="s">
        <v>1035</v>
      </c>
      <c r="G229" s="111" t="s">
        <v>1036</v>
      </c>
      <c r="H229" s="109" t="s">
        <v>1037</v>
      </c>
      <c r="I229" s="109" t="s">
        <v>399</v>
      </c>
      <c r="J229" s="109" t="s">
        <v>117</v>
      </c>
      <c r="K229" s="135"/>
      <c r="L229" s="135"/>
      <c r="N229" s="114"/>
      <c r="O229" s="128" t="s">
        <v>703</v>
      </c>
      <c r="P229" s="127">
        <v>44749.0</v>
      </c>
      <c r="Q229" s="122" t="s">
        <v>967</v>
      </c>
      <c r="R229" s="137"/>
      <c r="S229" s="109"/>
      <c r="T229" s="109"/>
      <c r="U229" s="109"/>
      <c r="V229" s="138" t="s">
        <v>316</v>
      </c>
      <c r="W229" s="131"/>
      <c r="X229" s="131"/>
      <c r="Y229" s="131"/>
      <c r="Z229" s="131"/>
      <c r="AA229" s="131"/>
      <c r="AB229" s="139"/>
      <c r="AC229" s="131"/>
    </row>
    <row r="230">
      <c r="A230" s="107">
        <v>2018.0</v>
      </c>
      <c r="B230" s="131"/>
      <c r="C230" s="108">
        <v>44748.98574550926</v>
      </c>
      <c r="D230" s="109" t="s">
        <v>1038</v>
      </c>
      <c r="E230" s="110">
        <v>1.800016016E9</v>
      </c>
      <c r="F230" s="109" t="s">
        <v>1039</v>
      </c>
      <c r="G230" s="111" t="s">
        <v>1040</v>
      </c>
      <c r="H230" s="109" t="s">
        <v>1041</v>
      </c>
      <c r="I230" s="109" t="s">
        <v>399</v>
      </c>
      <c r="J230" s="109" t="s">
        <v>183</v>
      </c>
      <c r="K230" s="117"/>
      <c r="L230" s="117"/>
      <c r="N230" s="114"/>
      <c r="O230" s="130" t="s">
        <v>28</v>
      </c>
      <c r="P230" s="127">
        <v>44756.0</v>
      </c>
      <c r="Q230" s="122" t="s">
        <v>718</v>
      </c>
      <c r="R230" s="137"/>
      <c r="S230" s="109"/>
      <c r="T230" s="109"/>
      <c r="U230" s="109"/>
      <c r="V230" s="138" t="s">
        <v>316</v>
      </c>
      <c r="W230" s="131"/>
      <c r="X230" s="131"/>
      <c r="Y230" s="131"/>
      <c r="Z230" s="131"/>
      <c r="AA230" s="131"/>
      <c r="AB230" s="139"/>
      <c r="AC230" s="131"/>
    </row>
    <row r="231">
      <c r="A231" s="107">
        <v>2016.0</v>
      </c>
      <c r="B231" s="131"/>
      <c r="C231" s="108">
        <v>44755.13484677083</v>
      </c>
      <c r="D231" s="109" t="s">
        <v>1042</v>
      </c>
      <c r="E231" s="110">
        <v>1.600016019E9</v>
      </c>
      <c r="F231" s="109" t="s">
        <v>1043</v>
      </c>
      <c r="G231" s="111" t="s">
        <v>1044</v>
      </c>
      <c r="H231" s="109" t="s">
        <v>1045</v>
      </c>
      <c r="I231" s="109" t="s">
        <v>399</v>
      </c>
      <c r="J231" s="112" t="s">
        <v>27</v>
      </c>
      <c r="K231" s="113"/>
      <c r="L231" s="113"/>
      <c r="N231" s="114"/>
      <c r="O231" s="112" t="s">
        <v>28</v>
      </c>
      <c r="P231" s="125">
        <v>44762.0</v>
      </c>
      <c r="Q231" s="112" t="s">
        <v>1028</v>
      </c>
      <c r="R231" s="137"/>
      <c r="S231" s="109"/>
      <c r="T231" s="109"/>
      <c r="U231" s="109"/>
      <c r="V231" s="138" t="s">
        <v>316</v>
      </c>
      <c r="W231" s="131"/>
      <c r="X231" s="131"/>
      <c r="Y231" s="131"/>
      <c r="Z231" s="131"/>
      <c r="AA231" s="131"/>
      <c r="AB231" s="131"/>
      <c r="AC231" s="131"/>
    </row>
    <row r="232">
      <c r="A232" s="107">
        <v>2018.0</v>
      </c>
      <c r="B232" s="131"/>
      <c r="C232" s="108">
        <v>44755.798105243055</v>
      </c>
      <c r="D232" s="109" t="s">
        <v>1046</v>
      </c>
      <c r="E232" s="110">
        <v>1.800016135E9</v>
      </c>
      <c r="F232" s="109" t="s">
        <v>1047</v>
      </c>
      <c r="G232" s="111" t="s">
        <v>1048</v>
      </c>
      <c r="H232" s="109" t="s">
        <v>1049</v>
      </c>
      <c r="I232" s="109" t="s">
        <v>399</v>
      </c>
      <c r="J232" s="109" t="s">
        <v>117</v>
      </c>
      <c r="K232" s="117"/>
      <c r="L232" s="117"/>
      <c r="N232" s="114"/>
      <c r="O232" s="130" t="s">
        <v>347</v>
      </c>
      <c r="P232" s="127">
        <v>44769.0</v>
      </c>
      <c r="Q232" s="122" t="s">
        <v>1050</v>
      </c>
      <c r="R232" s="137"/>
      <c r="S232" s="109"/>
      <c r="T232" s="109"/>
      <c r="U232" s="109"/>
      <c r="V232" s="138" t="s">
        <v>316</v>
      </c>
      <c r="W232" s="131"/>
      <c r="X232" s="131"/>
      <c r="Y232" s="131"/>
      <c r="Z232" s="131"/>
      <c r="AA232" s="131"/>
      <c r="AB232" s="139"/>
      <c r="AC232" s="131"/>
    </row>
    <row r="233">
      <c r="A233" s="107">
        <v>2018.0</v>
      </c>
      <c r="B233" s="131"/>
      <c r="C233" s="108">
        <v>44755.835142372685</v>
      </c>
      <c r="D233" s="109" t="s">
        <v>1051</v>
      </c>
      <c r="E233" s="110">
        <v>1.800016071E9</v>
      </c>
      <c r="F233" s="109" t="s">
        <v>1052</v>
      </c>
      <c r="G233" s="111" t="s">
        <v>1053</v>
      </c>
      <c r="H233" s="109" t="s">
        <v>1054</v>
      </c>
      <c r="I233" s="109" t="s">
        <v>399</v>
      </c>
      <c r="J233" s="112" t="s">
        <v>950</v>
      </c>
      <c r="K233" s="117"/>
      <c r="L233" s="117"/>
      <c r="N233" s="114"/>
      <c r="O233" s="130" t="s">
        <v>1055</v>
      </c>
      <c r="P233" s="127">
        <v>44762.0</v>
      </c>
      <c r="Q233" s="122" t="s">
        <v>1056</v>
      </c>
      <c r="R233" s="137"/>
      <c r="S233" s="109"/>
      <c r="T233" s="109"/>
      <c r="U233" s="109"/>
      <c r="V233" s="138" t="s">
        <v>316</v>
      </c>
      <c r="W233" s="131"/>
      <c r="X233" s="131"/>
      <c r="Y233" s="131"/>
      <c r="Z233" s="131"/>
      <c r="AA233" s="131"/>
      <c r="AB233" s="139"/>
      <c r="AC233" s="131"/>
    </row>
    <row r="234">
      <c r="A234" s="107">
        <v>2018.0</v>
      </c>
      <c r="B234" s="131"/>
      <c r="C234" s="108">
        <v>44758.23882265046</v>
      </c>
      <c r="D234" s="109" t="s">
        <v>1057</v>
      </c>
      <c r="E234" s="110">
        <v>1.800016099E9</v>
      </c>
      <c r="F234" s="109" t="s">
        <v>1058</v>
      </c>
      <c r="G234" s="111" t="s">
        <v>1059</v>
      </c>
      <c r="H234" s="109" t="s">
        <v>1060</v>
      </c>
      <c r="I234" s="109" t="s">
        <v>399</v>
      </c>
      <c r="J234" s="109" t="s">
        <v>117</v>
      </c>
      <c r="K234" s="117"/>
      <c r="L234" s="117"/>
      <c r="N234" s="114"/>
      <c r="O234" s="130" t="s">
        <v>703</v>
      </c>
      <c r="P234" s="127">
        <v>44769.0</v>
      </c>
      <c r="Q234" s="122" t="s">
        <v>1061</v>
      </c>
      <c r="R234" s="137"/>
      <c r="S234" s="109"/>
      <c r="T234" s="109"/>
      <c r="U234" s="109"/>
      <c r="V234" s="138" t="s">
        <v>316</v>
      </c>
      <c r="W234" s="131"/>
      <c r="X234" s="131"/>
      <c r="Y234" s="131"/>
      <c r="Z234" s="131"/>
      <c r="AA234" s="131"/>
      <c r="AB234" s="139"/>
      <c r="AC234" s="131"/>
    </row>
    <row r="235">
      <c r="A235" s="107">
        <v>2018.0</v>
      </c>
      <c r="B235" s="131"/>
      <c r="C235" s="108">
        <v>44770.94508189815</v>
      </c>
      <c r="D235" s="109" t="s">
        <v>1062</v>
      </c>
      <c r="E235" s="110">
        <v>1.80001611E9</v>
      </c>
      <c r="F235" s="109" t="s">
        <v>1063</v>
      </c>
      <c r="G235" s="111" t="s">
        <v>1064</v>
      </c>
      <c r="H235" s="109" t="s">
        <v>1065</v>
      </c>
      <c r="I235" s="109" t="s">
        <v>399</v>
      </c>
      <c r="J235" s="109" t="s">
        <v>183</v>
      </c>
      <c r="K235" s="135"/>
      <c r="L235" s="135"/>
      <c r="N235" s="114"/>
      <c r="O235" s="126" t="s">
        <v>1066</v>
      </c>
      <c r="P235" s="127">
        <v>44778.0</v>
      </c>
      <c r="Q235" s="122" t="s">
        <v>723</v>
      </c>
      <c r="R235" s="137"/>
      <c r="S235" s="109"/>
      <c r="T235" s="109"/>
      <c r="U235" s="109"/>
      <c r="V235" s="138" t="s">
        <v>316</v>
      </c>
      <c r="W235" s="131"/>
      <c r="X235" s="131"/>
      <c r="Y235" s="131"/>
      <c r="Z235" s="131"/>
      <c r="AA235" s="131"/>
      <c r="AB235" s="139"/>
      <c r="AC235" s="131"/>
    </row>
    <row r="236">
      <c r="A236" s="107">
        <v>2018.0</v>
      </c>
      <c r="B236" s="131"/>
      <c r="C236" s="108">
        <v>44776.94468789352</v>
      </c>
      <c r="D236" s="109" t="s">
        <v>1067</v>
      </c>
      <c r="E236" s="110">
        <v>1.800016081E9</v>
      </c>
      <c r="F236" s="109" t="s">
        <v>1068</v>
      </c>
      <c r="G236" s="111" t="s">
        <v>1069</v>
      </c>
      <c r="H236" s="109" t="s">
        <v>1070</v>
      </c>
      <c r="I236" s="109" t="s">
        <v>399</v>
      </c>
      <c r="J236" s="112" t="s">
        <v>39</v>
      </c>
      <c r="K236" s="117"/>
      <c r="L236" s="117"/>
      <c r="N236" s="114"/>
      <c r="O236" s="130" t="s">
        <v>703</v>
      </c>
      <c r="P236" s="140">
        <v>44799.0</v>
      </c>
      <c r="Q236" s="122" t="s">
        <v>713</v>
      </c>
      <c r="R236" s="137"/>
      <c r="S236" s="109"/>
      <c r="T236" s="109"/>
      <c r="U236" s="109"/>
      <c r="V236" s="138" t="s">
        <v>316</v>
      </c>
      <c r="W236" s="131"/>
      <c r="X236" s="131"/>
      <c r="Y236" s="131"/>
      <c r="Z236" s="131"/>
      <c r="AA236" s="131"/>
      <c r="AB236" s="139"/>
      <c r="AC236" s="131"/>
    </row>
    <row r="237">
      <c r="A237" s="107">
        <v>2018.0</v>
      </c>
      <c r="B237" s="131"/>
      <c r="C237" s="108">
        <v>44781.89583271991</v>
      </c>
      <c r="D237" s="109" t="s">
        <v>1071</v>
      </c>
      <c r="E237" s="110">
        <v>1.800016091E9</v>
      </c>
      <c r="F237" s="109" t="s">
        <v>1072</v>
      </c>
      <c r="G237" s="111" t="s">
        <v>1073</v>
      </c>
      <c r="H237" s="109" t="s">
        <v>1074</v>
      </c>
      <c r="I237" s="109" t="s">
        <v>399</v>
      </c>
      <c r="J237" s="109" t="s">
        <v>747</v>
      </c>
      <c r="K237" s="117"/>
      <c r="L237" s="117"/>
      <c r="N237" s="114"/>
      <c r="O237" s="130" t="s">
        <v>40</v>
      </c>
      <c r="P237" s="140">
        <v>44799.0</v>
      </c>
      <c r="Q237" s="122" t="s">
        <v>713</v>
      </c>
      <c r="R237" s="137"/>
      <c r="S237" s="109"/>
      <c r="T237" s="109"/>
      <c r="U237" s="109"/>
      <c r="V237" s="138" t="s">
        <v>316</v>
      </c>
      <c r="W237" s="131"/>
      <c r="X237" s="131"/>
      <c r="Y237" s="131"/>
      <c r="Z237" s="131"/>
      <c r="AA237" s="131"/>
      <c r="AB237" s="139"/>
      <c r="AC237" s="131"/>
    </row>
    <row r="238">
      <c r="A238" s="107">
        <v>2018.0</v>
      </c>
      <c r="B238" s="131"/>
      <c r="C238" s="108">
        <v>44787.91080861111</v>
      </c>
      <c r="D238" s="109" t="s">
        <v>1075</v>
      </c>
      <c r="E238" s="110">
        <v>1.800016119E9</v>
      </c>
      <c r="F238" s="109" t="s">
        <v>1076</v>
      </c>
      <c r="G238" s="111" t="s">
        <v>1077</v>
      </c>
      <c r="H238" s="109" t="s">
        <v>1078</v>
      </c>
      <c r="I238" s="109" t="s">
        <v>399</v>
      </c>
      <c r="J238" s="109" t="s">
        <v>747</v>
      </c>
      <c r="K238" s="117"/>
      <c r="L238" s="117"/>
      <c r="N238" s="114"/>
      <c r="O238" s="130" t="s">
        <v>347</v>
      </c>
      <c r="P238" s="140">
        <v>44799.0</v>
      </c>
      <c r="Q238" s="122" t="s">
        <v>708</v>
      </c>
      <c r="R238" s="137"/>
      <c r="S238" s="109"/>
      <c r="T238" s="109"/>
      <c r="U238" s="109"/>
      <c r="V238" s="138" t="s">
        <v>316</v>
      </c>
      <c r="W238" s="131"/>
      <c r="X238" s="131"/>
      <c r="Y238" s="131"/>
      <c r="Z238" s="131"/>
      <c r="AA238" s="131"/>
      <c r="AB238" s="139"/>
      <c r="AC238" s="131"/>
    </row>
    <row r="239">
      <c r="A239" s="107">
        <v>2018.0</v>
      </c>
      <c r="B239" s="131"/>
      <c r="C239" s="108">
        <v>44790.03816427084</v>
      </c>
      <c r="D239" s="109" t="s">
        <v>1079</v>
      </c>
      <c r="E239" s="110">
        <v>1.8000161E9</v>
      </c>
      <c r="F239" s="109" t="s">
        <v>1080</v>
      </c>
      <c r="G239" s="111" t="s">
        <v>1081</v>
      </c>
      <c r="H239" s="109" t="s">
        <v>1082</v>
      </c>
      <c r="I239" s="109" t="s">
        <v>399</v>
      </c>
      <c r="J239" s="109" t="s">
        <v>241</v>
      </c>
      <c r="K239" s="117"/>
      <c r="L239" s="117"/>
      <c r="N239" s="114"/>
      <c r="O239" s="130" t="s">
        <v>703</v>
      </c>
      <c r="P239" s="127">
        <v>44804.0</v>
      </c>
      <c r="Q239" s="122" t="s">
        <v>895</v>
      </c>
      <c r="R239" s="137"/>
      <c r="S239" s="109"/>
      <c r="T239" s="109"/>
      <c r="U239" s="109"/>
      <c r="V239" s="138" t="s">
        <v>316</v>
      </c>
      <c r="W239" s="131"/>
      <c r="X239" s="131"/>
      <c r="Y239" s="131"/>
      <c r="Z239" s="131"/>
      <c r="AA239" s="131"/>
      <c r="AB239" s="139"/>
      <c r="AC239" s="131"/>
    </row>
    <row r="240">
      <c r="A240" s="107">
        <v>2018.0</v>
      </c>
      <c r="B240" s="131"/>
      <c r="C240" s="108">
        <v>44806.818792060185</v>
      </c>
      <c r="D240" s="109" t="s">
        <v>1083</v>
      </c>
      <c r="E240" s="110">
        <v>1.800016107E9</v>
      </c>
      <c r="F240" s="109" t="s">
        <v>1084</v>
      </c>
      <c r="G240" s="111" t="s">
        <v>1085</v>
      </c>
      <c r="H240" s="109" t="s">
        <v>1086</v>
      </c>
      <c r="I240" s="109" t="s">
        <v>399</v>
      </c>
      <c r="J240" s="109" t="s">
        <v>230</v>
      </c>
      <c r="K240" s="141"/>
      <c r="L240" s="141"/>
      <c r="N240" s="114"/>
      <c r="O240" s="130" t="s">
        <v>703</v>
      </c>
      <c r="P240" s="127">
        <v>44823.0</v>
      </c>
      <c r="Q240" s="122" t="s">
        <v>694</v>
      </c>
      <c r="R240" s="137"/>
      <c r="S240" s="109"/>
      <c r="T240" s="109"/>
      <c r="U240" s="109"/>
      <c r="V240" s="138" t="s">
        <v>316</v>
      </c>
      <c r="W240" s="131"/>
      <c r="X240" s="131"/>
      <c r="Y240" s="131"/>
      <c r="Z240" s="131"/>
      <c r="AA240" s="131"/>
      <c r="AB240" s="139"/>
      <c r="AC240" s="131"/>
    </row>
    <row r="241">
      <c r="A241" s="107">
        <v>2018.0</v>
      </c>
      <c r="B241" s="131"/>
      <c r="C241" s="108">
        <v>44819.98547590278</v>
      </c>
      <c r="D241" s="109" t="s">
        <v>1087</v>
      </c>
      <c r="E241" s="110">
        <v>1.800016158E9</v>
      </c>
      <c r="F241" s="109" t="s">
        <v>1088</v>
      </c>
      <c r="G241" s="111" t="s">
        <v>1089</v>
      </c>
      <c r="H241" s="109" t="s">
        <v>1090</v>
      </c>
      <c r="I241" s="109" t="s">
        <v>399</v>
      </c>
      <c r="J241" s="109" t="s">
        <v>241</v>
      </c>
      <c r="K241" s="141"/>
      <c r="L241" s="141"/>
      <c r="N241" s="114"/>
      <c r="O241" s="130" t="s">
        <v>347</v>
      </c>
      <c r="P241" s="127">
        <v>44826.0</v>
      </c>
      <c r="Q241" s="122" t="s">
        <v>767</v>
      </c>
      <c r="R241" s="137"/>
      <c r="S241" s="109"/>
      <c r="T241" s="109"/>
      <c r="U241" s="109"/>
      <c r="V241" s="138" t="s">
        <v>316</v>
      </c>
      <c r="W241" s="131"/>
      <c r="X241" s="131"/>
      <c r="Y241" s="131"/>
      <c r="Z241" s="131"/>
      <c r="AA241" s="131"/>
      <c r="AB241" s="139"/>
      <c r="AC241" s="131"/>
    </row>
    <row r="242">
      <c r="A242" s="107">
        <v>2018.0</v>
      </c>
      <c r="B242" s="131"/>
      <c r="C242" s="108">
        <v>44831.38646974537</v>
      </c>
      <c r="D242" s="109" t="s">
        <v>1091</v>
      </c>
      <c r="E242" s="110">
        <v>1.800016129E9</v>
      </c>
      <c r="F242" s="109" t="s">
        <v>1092</v>
      </c>
      <c r="G242" s="111" t="s">
        <v>1093</v>
      </c>
      <c r="H242" s="109" t="s">
        <v>1094</v>
      </c>
      <c r="I242" s="109" t="s">
        <v>399</v>
      </c>
      <c r="J242" s="109" t="s">
        <v>230</v>
      </c>
      <c r="K242" s="135"/>
      <c r="L242" s="135"/>
      <c r="N242" s="114"/>
      <c r="O242" s="130" t="s">
        <v>347</v>
      </c>
      <c r="P242" s="127">
        <v>44852.0</v>
      </c>
      <c r="Q242" s="122" t="s">
        <v>772</v>
      </c>
      <c r="R242" s="137"/>
      <c r="S242" s="109"/>
      <c r="T242" s="109"/>
      <c r="U242" s="109"/>
      <c r="V242" s="138" t="s">
        <v>316</v>
      </c>
      <c r="W242" s="131"/>
      <c r="X242" s="131"/>
      <c r="Y242" s="131"/>
      <c r="Z242" s="131"/>
      <c r="AA242" s="131"/>
      <c r="AB242" s="139"/>
      <c r="AC242" s="131"/>
    </row>
    <row r="243">
      <c r="A243" s="107">
        <v>2017.0</v>
      </c>
      <c r="B243" s="131"/>
      <c r="C243" s="108">
        <v>44834.08487910879</v>
      </c>
      <c r="D243" s="109" t="s">
        <v>1095</v>
      </c>
      <c r="E243" s="110">
        <v>1.7000161E9</v>
      </c>
      <c r="F243" s="109" t="s">
        <v>1096</v>
      </c>
      <c r="G243" s="111" t="s">
        <v>1097</v>
      </c>
      <c r="H243" s="109" t="s">
        <v>1098</v>
      </c>
      <c r="I243" s="109" t="s">
        <v>399</v>
      </c>
      <c r="J243" s="109" t="s">
        <v>230</v>
      </c>
      <c r="K243" s="135"/>
      <c r="L243" s="135"/>
      <c r="N243" s="114"/>
      <c r="O243" s="112" t="s">
        <v>28</v>
      </c>
      <c r="P243" s="125">
        <v>44852.0</v>
      </c>
      <c r="Q243" s="112" t="s">
        <v>689</v>
      </c>
      <c r="R243" s="137"/>
      <c r="S243" s="109"/>
      <c r="T243" s="109"/>
      <c r="U243" s="109"/>
      <c r="V243" s="138" t="s">
        <v>316</v>
      </c>
      <c r="W243" s="131"/>
      <c r="X243" s="131"/>
      <c r="Y243" s="131"/>
      <c r="Z243" s="131"/>
      <c r="AA243" s="131"/>
      <c r="AB243" s="131"/>
      <c r="AC243" s="131"/>
    </row>
    <row r="244">
      <c r="A244" s="107">
        <v>2018.0</v>
      </c>
      <c r="B244" s="131"/>
      <c r="C244" s="108">
        <v>44840.23914607639</v>
      </c>
      <c r="D244" s="109" t="s">
        <v>1099</v>
      </c>
      <c r="E244" s="110">
        <v>1.800016162E9</v>
      </c>
      <c r="F244" s="109" t="s">
        <v>1100</v>
      </c>
      <c r="G244" s="111" t="s">
        <v>1101</v>
      </c>
      <c r="H244" s="109" t="s">
        <v>1102</v>
      </c>
      <c r="I244" s="109" t="s">
        <v>399</v>
      </c>
      <c r="J244" s="109" t="s">
        <v>183</v>
      </c>
      <c r="K244" s="135"/>
      <c r="L244" s="135"/>
      <c r="N244" s="114"/>
      <c r="O244" s="130" t="s">
        <v>1103</v>
      </c>
      <c r="P244" s="127">
        <v>44851.0</v>
      </c>
      <c r="Q244" s="142" t="s">
        <v>767</v>
      </c>
      <c r="R244" s="137"/>
      <c r="S244" s="109"/>
      <c r="T244" s="109"/>
      <c r="U244" s="109"/>
      <c r="V244" s="138" t="s">
        <v>316</v>
      </c>
      <c r="W244" s="131"/>
      <c r="X244" s="131"/>
      <c r="Y244" s="131"/>
      <c r="Z244" s="131"/>
      <c r="AA244" s="131"/>
      <c r="AB244" s="139"/>
      <c r="AC244" s="131"/>
    </row>
    <row r="245">
      <c r="A245" s="107">
        <v>2018.0</v>
      </c>
      <c r="B245" s="131"/>
      <c r="C245" s="108">
        <v>44841.23998878472</v>
      </c>
      <c r="D245" s="109" t="s">
        <v>1104</v>
      </c>
      <c r="E245" s="110">
        <v>1.800016054E9</v>
      </c>
      <c r="F245" s="109" t="s">
        <v>1105</v>
      </c>
      <c r="G245" s="111" t="s">
        <v>1106</v>
      </c>
      <c r="H245" s="109" t="s">
        <v>1107</v>
      </c>
      <c r="I245" s="109" t="s">
        <v>399</v>
      </c>
      <c r="J245" s="109" t="s">
        <v>241</v>
      </c>
      <c r="K245" s="135"/>
      <c r="L245" s="135"/>
      <c r="N245" s="114"/>
      <c r="O245" s="130" t="s">
        <v>352</v>
      </c>
      <c r="P245" s="127">
        <v>44851.0</v>
      </c>
      <c r="Q245" s="122" t="s">
        <v>689</v>
      </c>
      <c r="R245" s="137"/>
      <c r="S245" s="109"/>
      <c r="T245" s="109"/>
      <c r="U245" s="109"/>
      <c r="V245" s="138" t="s">
        <v>316</v>
      </c>
      <c r="W245" s="131"/>
      <c r="X245" s="131"/>
      <c r="Y245" s="131"/>
      <c r="Z245" s="131"/>
      <c r="AA245" s="131"/>
      <c r="AB245" s="139"/>
      <c r="AC245" s="131"/>
    </row>
    <row r="246">
      <c r="A246" s="107">
        <v>2018.0</v>
      </c>
      <c r="B246" s="131"/>
      <c r="C246" s="108">
        <v>44857.04143971065</v>
      </c>
      <c r="D246" s="109" t="s">
        <v>1108</v>
      </c>
      <c r="E246" s="110">
        <v>1.800016121E9</v>
      </c>
      <c r="F246" s="109" t="s">
        <v>1109</v>
      </c>
      <c r="G246" s="111" t="s">
        <v>1110</v>
      </c>
      <c r="H246" s="109" t="s">
        <v>1111</v>
      </c>
      <c r="I246" s="109" t="s">
        <v>399</v>
      </c>
      <c r="J246" s="109" t="s">
        <v>241</v>
      </c>
      <c r="K246" s="141"/>
      <c r="L246" s="141"/>
      <c r="N246" s="114"/>
      <c r="O246" s="130" t="s">
        <v>40</v>
      </c>
      <c r="P246" s="127">
        <v>44866.0</v>
      </c>
      <c r="Q246" s="122" t="s">
        <v>772</v>
      </c>
      <c r="R246" s="143" t="s">
        <v>1112</v>
      </c>
      <c r="S246" s="54"/>
      <c r="T246" s="54"/>
      <c r="U246" s="54"/>
      <c r="V246" s="50" t="s">
        <v>316</v>
      </c>
      <c r="W246" s="43"/>
      <c r="X246" s="43"/>
      <c r="Y246" s="43"/>
      <c r="Z246" s="43"/>
      <c r="AA246" s="43"/>
      <c r="AB246" s="123"/>
      <c r="AC246" s="43"/>
    </row>
    <row r="247">
      <c r="A247" s="107">
        <v>2018.0</v>
      </c>
      <c r="B247" s="131"/>
      <c r="C247" s="108">
        <v>44857.04148175926</v>
      </c>
      <c r="D247" s="109" t="s">
        <v>1113</v>
      </c>
      <c r="E247" s="110">
        <v>1.800016155E9</v>
      </c>
      <c r="F247" s="109" t="s">
        <v>1114</v>
      </c>
      <c r="G247" s="111" t="s">
        <v>1115</v>
      </c>
      <c r="H247" s="109" t="s">
        <v>1116</v>
      </c>
      <c r="I247" s="109" t="s">
        <v>399</v>
      </c>
      <c r="J247" s="109" t="s">
        <v>241</v>
      </c>
      <c r="K247" s="141"/>
      <c r="L247" s="141"/>
      <c r="N247" s="114"/>
      <c r="O247" s="130" t="s">
        <v>40</v>
      </c>
      <c r="P247" s="127">
        <v>44866.0</v>
      </c>
      <c r="Q247" s="122" t="s">
        <v>689</v>
      </c>
      <c r="R247" s="143" t="s">
        <v>1112</v>
      </c>
      <c r="S247" s="54"/>
      <c r="T247" s="54"/>
      <c r="U247" s="54"/>
      <c r="V247" s="50" t="s">
        <v>316</v>
      </c>
      <c r="W247" s="43"/>
      <c r="X247" s="43"/>
      <c r="Y247" s="43"/>
      <c r="Z247" s="43"/>
      <c r="AA247" s="43"/>
      <c r="AB247" s="123"/>
      <c r="AC247" s="43"/>
    </row>
    <row r="248">
      <c r="A248" s="107">
        <v>2018.0</v>
      </c>
      <c r="B248" s="131"/>
      <c r="C248" s="108">
        <v>44857.89231358796</v>
      </c>
      <c r="D248" s="109" t="s">
        <v>1117</v>
      </c>
      <c r="E248" s="110">
        <v>1.800016103E9</v>
      </c>
      <c r="F248" s="109" t="s">
        <v>1118</v>
      </c>
      <c r="G248" s="111" t="s">
        <v>1119</v>
      </c>
      <c r="H248" s="109" t="s">
        <v>1120</v>
      </c>
      <c r="I248" s="109" t="s">
        <v>399</v>
      </c>
      <c r="J248" s="112" t="s">
        <v>569</v>
      </c>
      <c r="K248" s="141"/>
      <c r="L248" s="141"/>
      <c r="N248" s="114"/>
      <c r="O248" s="130" t="s">
        <v>28</v>
      </c>
      <c r="P248" s="127">
        <v>44865.0</v>
      </c>
      <c r="Q248" s="122" t="s">
        <v>1121</v>
      </c>
      <c r="R248" s="143" t="s">
        <v>1112</v>
      </c>
      <c r="S248" s="54"/>
      <c r="T248" s="54"/>
      <c r="U248" s="54"/>
      <c r="V248" s="50" t="s">
        <v>316</v>
      </c>
      <c r="W248" s="43"/>
      <c r="X248" s="43"/>
      <c r="Y248" s="43"/>
      <c r="Z248" s="43"/>
      <c r="AA248" s="43"/>
      <c r="AB248" s="123"/>
      <c r="AC248" s="43"/>
    </row>
    <row r="249">
      <c r="A249" s="107">
        <v>2018.0</v>
      </c>
      <c r="B249" s="131"/>
      <c r="C249" s="108">
        <v>44858.044184618055</v>
      </c>
      <c r="D249" s="109" t="s">
        <v>1122</v>
      </c>
      <c r="E249" s="110">
        <v>1.800016004E9</v>
      </c>
      <c r="F249" s="109" t="s">
        <v>1123</v>
      </c>
      <c r="G249" s="111" t="s">
        <v>1124</v>
      </c>
      <c r="H249" s="109" t="s">
        <v>1125</v>
      </c>
      <c r="I249" s="109" t="s">
        <v>399</v>
      </c>
      <c r="J249" s="112" t="s">
        <v>39</v>
      </c>
      <c r="K249" s="141"/>
      <c r="L249" s="141"/>
      <c r="N249" s="114"/>
      <c r="O249" s="130" t="s">
        <v>703</v>
      </c>
      <c r="P249" s="127">
        <v>44866.0</v>
      </c>
      <c r="Q249" s="122" t="s">
        <v>689</v>
      </c>
      <c r="R249" s="143" t="s">
        <v>1126</v>
      </c>
      <c r="S249" s="54"/>
      <c r="T249" s="54"/>
      <c r="U249" s="54"/>
      <c r="V249" s="50" t="s">
        <v>316</v>
      </c>
      <c r="W249" s="43"/>
      <c r="X249" s="43"/>
      <c r="Y249" s="43"/>
      <c r="Z249" s="43"/>
      <c r="AA249" s="43"/>
      <c r="AB249" s="123"/>
      <c r="AC249" s="43"/>
    </row>
    <row r="250" ht="27.75" customHeight="1">
      <c r="A250" s="107">
        <v>2018.0</v>
      </c>
      <c r="B250" s="131"/>
      <c r="C250" s="108">
        <v>44864.09393141203</v>
      </c>
      <c r="D250" s="109" t="s">
        <v>1127</v>
      </c>
      <c r="E250" s="110">
        <v>1.800016102E9</v>
      </c>
      <c r="F250" s="109" t="s">
        <v>1128</v>
      </c>
      <c r="G250" s="111" t="s">
        <v>1129</v>
      </c>
      <c r="H250" s="109" t="s">
        <v>1130</v>
      </c>
      <c r="I250" s="109" t="s">
        <v>399</v>
      </c>
      <c r="J250" s="112" t="s">
        <v>569</v>
      </c>
      <c r="K250" s="135"/>
      <c r="L250" s="135"/>
      <c r="N250" s="114"/>
      <c r="O250" s="130" t="s">
        <v>1131</v>
      </c>
      <c r="P250" s="127">
        <v>44876.0</v>
      </c>
      <c r="Q250" s="122" t="s">
        <v>767</v>
      </c>
      <c r="R250" s="137"/>
      <c r="S250" s="109"/>
      <c r="T250" s="109"/>
      <c r="U250" s="109"/>
      <c r="V250" s="138" t="s">
        <v>316</v>
      </c>
      <c r="W250" s="131"/>
      <c r="X250" s="131"/>
      <c r="Y250" s="131"/>
      <c r="Z250" s="131"/>
      <c r="AA250" s="131"/>
      <c r="AB250" s="139"/>
      <c r="AC250" s="131"/>
    </row>
    <row r="251">
      <c r="A251" s="107">
        <v>2018.0</v>
      </c>
      <c r="B251" s="131"/>
      <c r="C251" s="108">
        <v>44864.11795008102</v>
      </c>
      <c r="D251" s="109" t="s">
        <v>1132</v>
      </c>
      <c r="E251" s="110">
        <v>1.800016124E9</v>
      </c>
      <c r="F251" s="109" t="s">
        <v>1133</v>
      </c>
      <c r="G251" s="111" t="s">
        <v>1134</v>
      </c>
      <c r="H251" s="109" t="s">
        <v>1135</v>
      </c>
      <c r="I251" s="109" t="s">
        <v>399</v>
      </c>
      <c r="J251" s="112" t="s">
        <v>569</v>
      </c>
      <c r="K251" s="135"/>
      <c r="L251" s="135"/>
      <c r="N251" s="114"/>
      <c r="O251" s="130" t="s">
        <v>703</v>
      </c>
      <c r="P251" s="127">
        <v>44876.0</v>
      </c>
      <c r="Q251" s="122" t="s">
        <v>772</v>
      </c>
      <c r="R251" s="137"/>
      <c r="S251" s="109"/>
      <c r="T251" s="109"/>
      <c r="U251" s="109"/>
      <c r="V251" s="138" t="s">
        <v>316</v>
      </c>
      <c r="W251" s="131"/>
      <c r="X251" s="131"/>
      <c r="Y251" s="131"/>
      <c r="Z251" s="131"/>
      <c r="AA251" s="131"/>
      <c r="AB251" s="139"/>
      <c r="AC251" s="131"/>
    </row>
    <row r="252">
      <c r="A252" s="107">
        <v>2018.0</v>
      </c>
      <c r="B252" s="131"/>
      <c r="C252" s="108">
        <v>44865.214233125</v>
      </c>
      <c r="D252" s="109" t="s">
        <v>1136</v>
      </c>
      <c r="E252" s="110">
        <v>1.800016104E9</v>
      </c>
      <c r="F252" s="109" t="s">
        <v>1137</v>
      </c>
      <c r="G252" s="111" t="s">
        <v>1138</v>
      </c>
      <c r="H252" s="112" t="s">
        <v>1139</v>
      </c>
      <c r="I252" s="109" t="s">
        <v>399</v>
      </c>
      <c r="J252" s="112" t="s">
        <v>569</v>
      </c>
      <c r="K252" s="135"/>
      <c r="L252" s="135"/>
      <c r="N252" s="114"/>
      <c r="O252" s="130" t="s">
        <v>703</v>
      </c>
      <c r="P252" s="127">
        <v>44876.0</v>
      </c>
      <c r="Q252" s="122" t="s">
        <v>689</v>
      </c>
      <c r="R252" s="137"/>
      <c r="S252" s="109"/>
      <c r="T252" s="109"/>
      <c r="U252" s="109"/>
      <c r="V252" s="138" t="s">
        <v>316</v>
      </c>
      <c r="W252" s="131"/>
      <c r="X252" s="131"/>
      <c r="Y252" s="131"/>
      <c r="Z252" s="131"/>
      <c r="AA252" s="131"/>
      <c r="AB252" s="139"/>
      <c r="AC252" s="131"/>
    </row>
    <row r="253">
      <c r="A253" s="107">
        <v>2018.0</v>
      </c>
      <c r="B253" s="131"/>
      <c r="C253" s="108">
        <v>44871.82533400463</v>
      </c>
      <c r="D253" s="109" t="s">
        <v>1140</v>
      </c>
      <c r="E253" s="110">
        <v>1.800016001E9</v>
      </c>
      <c r="F253" s="109" t="s">
        <v>1141</v>
      </c>
      <c r="G253" s="111" t="s">
        <v>1142</v>
      </c>
      <c r="H253" s="109" t="s">
        <v>1143</v>
      </c>
      <c r="I253" s="109" t="s">
        <v>399</v>
      </c>
      <c r="J253" s="109" t="s">
        <v>117</v>
      </c>
      <c r="K253" s="135"/>
      <c r="L253" s="135"/>
      <c r="N253" s="114"/>
      <c r="O253" s="130" t="s">
        <v>1144</v>
      </c>
      <c r="P253" s="127">
        <v>44876.0</v>
      </c>
      <c r="Q253" s="122" t="s">
        <v>772</v>
      </c>
      <c r="R253" s="137"/>
      <c r="S253" s="109"/>
      <c r="T253" s="109"/>
      <c r="U253" s="109"/>
      <c r="V253" s="138" t="s">
        <v>316</v>
      </c>
      <c r="W253" s="131"/>
      <c r="X253" s="131"/>
      <c r="Y253" s="131"/>
      <c r="Z253" s="131"/>
      <c r="AA253" s="131"/>
      <c r="AB253" s="139"/>
      <c r="AC253" s="131"/>
    </row>
    <row r="254">
      <c r="A254" s="107">
        <v>2018.0</v>
      </c>
      <c r="B254" s="131"/>
      <c r="C254" s="108">
        <v>44890.112591736106</v>
      </c>
      <c r="D254" s="109" t="s">
        <v>1145</v>
      </c>
      <c r="E254" s="110">
        <v>1.800016116E9</v>
      </c>
      <c r="F254" s="109" t="s">
        <v>1146</v>
      </c>
      <c r="G254" s="111" t="s">
        <v>1147</v>
      </c>
      <c r="H254" s="109" t="s">
        <v>1148</v>
      </c>
      <c r="I254" s="109" t="s">
        <v>399</v>
      </c>
      <c r="J254" s="112" t="s">
        <v>27</v>
      </c>
      <c r="K254" s="141"/>
      <c r="L254" s="141"/>
      <c r="N254" s="114"/>
      <c r="O254" s="130" t="s">
        <v>347</v>
      </c>
      <c r="P254" s="144">
        <v>44901.0</v>
      </c>
      <c r="Q254" s="122" t="s">
        <v>1121</v>
      </c>
      <c r="R254" s="137"/>
      <c r="S254" s="109"/>
      <c r="T254" s="109"/>
      <c r="U254" s="109"/>
      <c r="V254" s="138" t="s">
        <v>316</v>
      </c>
      <c r="W254" s="131"/>
      <c r="X254" s="131"/>
      <c r="Y254" s="131"/>
      <c r="Z254" s="131"/>
      <c r="AA254" s="131"/>
      <c r="AB254" s="139"/>
      <c r="AC254" s="131"/>
    </row>
    <row r="255">
      <c r="A255" s="107">
        <v>2017.0</v>
      </c>
      <c r="B255" s="131"/>
      <c r="C255" s="108">
        <v>44898.123165682875</v>
      </c>
      <c r="D255" s="109" t="s">
        <v>1149</v>
      </c>
      <c r="E255" s="110">
        <v>1.70001604E9</v>
      </c>
      <c r="F255" s="109" t="s">
        <v>1150</v>
      </c>
      <c r="G255" s="111" t="s">
        <v>1151</v>
      </c>
      <c r="H255" s="109" t="s">
        <v>1152</v>
      </c>
      <c r="I255" s="109" t="s">
        <v>399</v>
      </c>
      <c r="J255" s="109" t="s">
        <v>117</v>
      </c>
      <c r="K255" s="141"/>
      <c r="L255" s="141"/>
      <c r="N255" s="114"/>
      <c r="O255" s="112" t="s">
        <v>1144</v>
      </c>
      <c r="P255" s="112" t="s">
        <v>1153</v>
      </c>
      <c r="Q255" s="112" t="s">
        <v>689</v>
      </c>
      <c r="R255" s="137"/>
      <c r="S255" s="109"/>
      <c r="T255" s="109"/>
      <c r="U255" s="109"/>
      <c r="V255" s="138" t="s">
        <v>316</v>
      </c>
      <c r="W255" s="131"/>
      <c r="X255" s="131"/>
      <c r="Y255" s="131"/>
      <c r="Z255" s="131"/>
      <c r="AA255" s="131"/>
      <c r="AB255" s="131"/>
      <c r="AC255" s="131"/>
    </row>
    <row r="256">
      <c r="A256" s="107">
        <v>2018.0</v>
      </c>
      <c r="B256" s="131"/>
      <c r="C256" s="108">
        <v>44900.91670726852</v>
      </c>
      <c r="D256" s="109" t="s">
        <v>1154</v>
      </c>
      <c r="E256" s="110">
        <v>1.800016131E9</v>
      </c>
      <c r="F256" s="109" t="s">
        <v>1155</v>
      </c>
      <c r="G256" s="111" t="s">
        <v>1036</v>
      </c>
      <c r="H256" s="109" t="s">
        <v>1156</v>
      </c>
      <c r="I256" s="109" t="s">
        <v>399</v>
      </c>
      <c r="J256" s="109" t="s">
        <v>117</v>
      </c>
      <c r="K256" s="141"/>
      <c r="L256" s="141"/>
      <c r="N256" s="114"/>
      <c r="O256" s="130" t="s">
        <v>703</v>
      </c>
      <c r="P256" s="127">
        <v>44908.0</v>
      </c>
      <c r="Q256" s="122" t="s">
        <v>772</v>
      </c>
      <c r="R256" s="137"/>
      <c r="S256" s="109"/>
      <c r="T256" s="109"/>
      <c r="U256" s="109"/>
      <c r="V256" s="138" t="s">
        <v>316</v>
      </c>
      <c r="W256" s="131"/>
      <c r="X256" s="131"/>
      <c r="Y256" s="131"/>
      <c r="Z256" s="131"/>
      <c r="AA256" s="131"/>
      <c r="AB256" s="139"/>
      <c r="AC256" s="131"/>
    </row>
    <row r="257">
      <c r="A257" s="107">
        <v>2018.0</v>
      </c>
      <c r="B257" s="131"/>
      <c r="C257" s="108">
        <v>44903.293781493056</v>
      </c>
      <c r="D257" s="109" t="s">
        <v>1157</v>
      </c>
      <c r="E257" s="110">
        <v>1.800016145E9</v>
      </c>
      <c r="F257" s="109" t="s">
        <v>1158</v>
      </c>
      <c r="G257" s="111" t="s">
        <v>1159</v>
      </c>
      <c r="H257" s="109" t="s">
        <v>1160</v>
      </c>
      <c r="I257" s="109" t="s">
        <v>399</v>
      </c>
      <c r="J257" s="109" t="s">
        <v>241</v>
      </c>
      <c r="K257" s="135"/>
      <c r="L257" s="135"/>
      <c r="N257" s="114"/>
      <c r="O257" s="130" t="s">
        <v>352</v>
      </c>
      <c r="P257" s="127">
        <v>44915.0</v>
      </c>
      <c r="Q257" s="122" t="s">
        <v>767</v>
      </c>
      <c r="R257" s="130" t="s">
        <v>1112</v>
      </c>
      <c r="S257" s="109"/>
      <c r="T257" s="109"/>
      <c r="U257" s="109"/>
      <c r="V257" s="138" t="s">
        <v>316</v>
      </c>
      <c r="W257" s="131"/>
      <c r="X257" s="131"/>
      <c r="Y257" s="131"/>
      <c r="Z257" s="131"/>
      <c r="AA257" s="131"/>
      <c r="AB257" s="139"/>
      <c r="AC257" s="131"/>
    </row>
    <row r="258">
      <c r="A258" s="107">
        <v>2017.0</v>
      </c>
      <c r="B258" s="131"/>
      <c r="C258" s="108">
        <v>44904.24538340278</v>
      </c>
      <c r="D258" s="109" t="s">
        <v>1161</v>
      </c>
      <c r="E258" s="110">
        <v>1.700016126E9</v>
      </c>
      <c r="F258" s="109" t="s">
        <v>1162</v>
      </c>
      <c r="G258" s="111" t="s">
        <v>1163</v>
      </c>
      <c r="H258" s="109" t="s">
        <v>1164</v>
      </c>
      <c r="I258" s="109" t="s">
        <v>399</v>
      </c>
      <c r="J258" s="109" t="s">
        <v>117</v>
      </c>
      <c r="K258" s="135"/>
      <c r="L258" s="135"/>
      <c r="N258" s="114"/>
      <c r="O258" s="112" t="s">
        <v>28</v>
      </c>
      <c r="P258" s="125">
        <v>44914.0</v>
      </c>
      <c r="Q258" s="112" t="s">
        <v>890</v>
      </c>
      <c r="R258" s="130" t="s">
        <v>1165</v>
      </c>
      <c r="S258" s="109"/>
      <c r="T258" s="109"/>
      <c r="U258" s="109"/>
      <c r="V258" s="138" t="s">
        <v>316</v>
      </c>
      <c r="W258" s="131"/>
      <c r="X258" s="131"/>
      <c r="Y258" s="131"/>
      <c r="Z258" s="131"/>
      <c r="AA258" s="131"/>
      <c r="AB258" s="131"/>
      <c r="AC258" s="131"/>
    </row>
    <row r="259">
      <c r="A259" s="107">
        <v>2017.0</v>
      </c>
      <c r="B259" s="131"/>
      <c r="C259" s="108">
        <v>44904.25440210648</v>
      </c>
      <c r="D259" s="109" t="s">
        <v>1166</v>
      </c>
      <c r="E259" s="110">
        <v>1.700016076E9</v>
      </c>
      <c r="F259" s="109" t="s">
        <v>1167</v>
      </c>
      <c r="G259" s="111" t="s">
        <v>1168</v>
      </c>
      <c r="H259" s="109" t="s">
        <v>1169</v>
      </c>
      <c r="I259" s="109" t="s">
        <v>399</v>
      </c>
      <c r="J259" s="109" t="s">
        <v>117</v>
      </c>
      <c r="K259" s="135"/>
      <c r="L259" s="135"/>
      <c r="N259" s="114"/>
      <c r="O259" s="112" t="s">
        <v>703</v>
      </c>
      <c r="P259" s="125">
        <v>44915.0</v>
      </c>
      <c r="Q259" s="112" t="s">
        <v>767</v>
      </c>
      <c r="R259" s="130" t="s">
        <v>1165</v>
      </c>
      <c r="S259" s="109"/>
      <c r="T259" s="109"/>
      <c r="U259" s="109"/>
      <c r="V259" s="138" t="s">
        <v>316</v>
      </c>
      <c r="W259" s="131"/>
      <c r="X259" s="131"/>
      <c r="Y259" s="131"/>
      <c r="Z259" s="131"/>
      <c r="AA259" s="131"/>
      <c r="AB259" s="131"/>
      <c r="AC259" s="131"/>
    </row>
    <row r="260">
      <c r="A260" s="107">
        <v>2018.0</v>
      </c>
      <c r="B260" s="131"/>
      <c r="C260" s="108">
        <v>44905.64498030093</v>
      </c>
      <c r="D260" s="109" t="s">
        <v>1170</v>
      </c>
      <c r="E260" s="110">
        <v>1.800016052E9</v>
      </c>
      <c r="F260" s="109" t="s">
        <v>1171</v>
      </c>
      <c r="G260" s="111" t="s">
        <v>1172</v>
      </c>
      <c r="H260" s="109" t="s">
        <v>1173</v>
      </c>
      <c r="I260" s="109" t="s">
        <v>399</v>
      </c>
      <c r="J260" s="109" t="s">
        <v>241</v>
      </c>
      <c r="K260" s="135"/>
      <c r="L260" s="135"/>
      <c r="N260" s="114"/>
      <c r="O260" s="130" t="s">
        <v>352</v>
      </c>
      <c r="P260" s="127">
        <v>44915.0</v>
      </c>
      <c r="Q260" s="122" t="s">
        <v>1121</v>
      </c>
      <c r="R260" s="130" t="s">
        <v>1112</v>
      </c>
      <c r="S260" s="109"/>
      <c r="T260" s="109"/>
      <c r="U260" s="109"/>
      <c r="V260" s="138" t="s">
        <v>316</v>
      </c>
      <c r="W260" s="131"/>
      <c r="X260" s="131"/>
      <c r="Y260" s="131"/>
      <c r="Z260" s="131"/>
      <c r="AA260" s="131"/>
      <c r="AB260" s="139"/>
      <c r="AC260" s="131"/>
    </row>
    <row r="261">
      <c r="A261" s="107">
        <v>2018.0</v>
      </c>
      <c r="B261" s="131"/>
      <c r="C261" s="108">
        <v>44900.91670726852</v>
      </c>
      <c r="D261" s="109" t="s">
        <v>1154</v>
      </c>
      <c r="E261" s="110">
        <v>1.800016131E9</v>
      </c>
      <c r="F261" s="109" t="s">
        <v>1155</v>
      </c>
      <c r="G261" s="111" t="s">
        <v>1036</v>
      </c>
      <c r="H261" s="109" t="s">
        <v>1156</v>
      </c>
      <c r="I261" s="109" t="s">
        <v>399</v>
      </c>
      <c r="J261" s="109" t="s">
        <v>117</v>
      </c>
      <c r="K261" s="135"/>
      <c r="L261" s="135"/>
      <c r="N261" s="114"/>
      <c r="O261" s="130" t="s">
        <v>703</v>
      </c>
      <c r="P261" s="127">
        <v>44915.0</v>
      </c>
      <c r="Q261" s="122" t="s">
        <v>1121</v>
      </c>
      <c r="R261" s="130" t="s">
        <v>1165</v>
      </c>
      <c r="S261" s="109"/>
      <c r="T261" s="109"/>
      <c r="U261" s="109"/>
      <c r="V261" s="138" t="s">
        <v>316</v>
      </c>
      <c r="W261" s="131"/>
      <c r="X261" s="131"/>
      <c r="Y261" s="131"/>
      <c r="Z261" s="131"/>
      <c r="AA261" s="131"/>
      <c r="AB261" s="139"/>
      <c r="AC261" s="131"/>
    </row>
    <row r="262">
      <c r="A262" s="107">
        <v>2018.0</v>
      </c>
      <c r="B262" s="131"/>
      <c r="C262" s="108">
        <v>44908.91027133101</v>
      </c>
      <c r="D262" s="109" t="s">
        <v>1174</v>
      </c>
      <c r="E262" s="110">
        <v>1.800016133E9</v>
      </c>
      <c r="F262" s="109" t="s">
        <v>1175</v>
      </c>
      <c r="G262" s="111" t="s">
        <v>1176</v>
      </c>
      <c r="H262" s="109" t="s">
        <v>1177</v>
      </c>
      <c r="I262" s="109" t="s">
        <v>399</v>
      </c>
      <c r="J262" s="109" t="s">
        <v>117</v>
      </c>
      <c r="K262" s="141"/>
      <c r="L262" s="141"/>
      <c r="N262" s="114"/>
      <c r="O262" s="130" t="s">
        <v>703</v>
      </c>
      <c r="P262" s="127">
        <v>44937.0</v>
      </c>
      <c r="Q262" s="122" t="s">
        <v>767</v>
      </c>
      <c r="R262" s="137"/>
      <c r="S262" s="109"/>
      <c r="T262" s="109"/>
      <c r="U262" s="109"/>
      <c r="V262" s="138" t="s">
        <v>316</v>
      </c>
      <c r="W262" s="131"/>
      <c r="X262" s="131"/>
      <c r="Y262" s="131"/>
      <c r="Z262" s="131"/>
      <c r="AA262" s="131"/>
      <c r="AB262" s="139"/>
      <c r="AC262" s="131"/>
    </row>
    <row r="263">
      <c r="A263" s="107">
        <v>2018.0</v>
      </c>
      <c r="B263" s="131"/>
      <c r="C263" s="108">
        <v>44912.01804494213</v>
      </c>
      <c r="D263" s="109" t="s">
        <v>1178</v>
      </c>
      <c r="E263" s="110">
        <v>1.800016141E9</v>
      </c>
      <c r="F263" s="109" t="s">
        <v>1179</v>
      </c>
      <c r="G263" s="111" t="s">
        <v>1180</v>
      </c>
      <c r="H263" s="109" t="s">
        <v>1181</v>
      </c>
      <c r="I263" s="109" t="s">
        <v>399</v>
      </c>
      <c r="J263" s="109" t="s">
        <v>230</v>
      </c>
      <c r="K263" s="141"/>
      <c r="L263" s="141"/>
      <c r="N263" s="114"/>
      <c r="O263" s="130" t="s">
        <v>339</v>
      </c>
      <c r="P263" s="127">
        <v>44937.0</v>
      </c>
      <c r="Q263" s="122" t="s">
        <v>1182</v>
      </c>
      <c r="R263" s="137"/>
      <c r="S263" s="109"/>
      <c r="T263" s="109"/>
      <c r="U263" s="109"/>
      <c r="V263" s="138" t="s">
        <v>316</v>
      </c>
      <c r="W263" s="131"/>
      <c r="X263" s="131"/>
      <c r="Y263" s="131"/>
      <c r="Z263" s="131"/>
      <c r="AA263" s="131"/>
      <c r="AB263" s="139"/>
      <c r="AC263" s="131"/>
    </row>
    <row r="264">
      <c r="A264" s="107">
        <v>2017.0</v>
      </c>
      <c r="B264" s="131"/>
      <c r="C264" s="108">
        <v>44919.383674236116</v>
      </c>
      <c r="D264" s="109" t="s">
        <v>1183</v>
      </c>
      <c r="E264" s="110">
        <v>1.70001613E9</v>
      </c>
      <c r="F264" s="109" t="s">
        <v>1184</v>
      </c>
      <c r="G264" s="111" t="s">
        <v>1185</v>
      </c>
      <c r="H264" s="109" t="s">
        <v>1186</v>
      </c>
      <c r="I264" s="109" t="s">
        <v>399</v>
      </c>
      <c r="J264" s="109" t="s">
        <v>241</v>
      </c>
      <c r="K264" s="141"/>
      <c r="L264" s="141"/>
      <c r="N264" s="114"/>
      <c r="O264" s="112" t="s">
        <v>703</v>
      </c>
      <c r="P264" s="125">
        <v>44925.0</v>
      </c>
      <c r="Q264" s="145" t="s">
        <v>1187</v>
      </c>
      <c r="R264" s="137"/>
      <c r="S264" s="109"/>
      <c r="T264" s="109"/>
      <c r="U264" s="109"/>
      <c r="V264" s="138" t="s">
        <v>316</v>
      </c>
      <c r="W264" s="131"/>
      <c r="X264" s="131"/>
      <c r="Y264" s="131"/>
      <c r="Z264" s="131"/>
      <c r="AA264" s="131"/>
      <c r="AB264" s="131"/>
      <c r="AC264" s="131"/>
    </row>
    <row r="265">
      <c r="A265" s="107">
        <v>2017.0</v>
      </c>
      <c r="B265" s="131"/>
      <c r="C265" s="108">
        <v>44931.13814414352</v>
      </c>
      <c r="D265" s="109" t="s">
        <v>1188</v>
      </c>
      <c r="E265" s="110">
        <v>1.700016042E9</v>
      </c>
      <c r="F265" s="109" t="s">
        <v>1189</v>
      </c>
      <c r="G265" s="111" t="s">
        <v>1190</v>
      </c>
      <c r="H265" s="109" t="s">
        <v>1191</v>
      </c>
      <c r="I265" s="109" t="s">
        <v>399</v>
      </c>
      <c r="J265" s="109" t="s">
        <v>747</v>
      </c>
      <c r="K265" s="141"/>
      <c r="L265" s="141"/>
      <c r="N265" s="114"/>
      <c r="O265" s="112" t="s">
        <v>28</v>
      </c>
      <c r="P265" s="125">
        <v>44959.0</v>
      </c>
      <c r="Q265" s="112" t="s">
        <v>680</v>
      </c>
      <c r="R265" s="137"/>
      <c r="S265" s="109"/>
      <c r="T265" s="109"/>
      <c r="U265" s="109"/>
      <c r="V265" s="138" t="s">
        <v>316</v>
      </c>
      <c r="W265" s="131"/>
      <c r="X265" s="131"/>
      <c r="Y265" s="131"/>
      <c r="Z265" s="131"/>
      <c r="AA265" s="131"/>
      <c r="AB265" s="131"/>
      <c r="AC265" s="131"/>
    </row>
    <row r="266">
      <c r="A266" s="107">
        <v>2018.0</v>
      </c>
      <c r="B266" s="131"/>
      <c r="C266" s="108">
        <v>44938.94423521991</v>
      </c>
      <c r="D266" s="109" t="s">
        <v>1192</v>
      </c>
      <c r="E266" s="110">
        <v>1.800016136E9</v>
      </c>
      <c r="F266" s="109" t="s">
        <v>1193</v>
      </c>
      <c r="G266" s="111" t="s">
        <v>1194</v>
      </c>
      <c r="H266" s="109" t="s">
        <v>1195</v>
      </c>
      <c r="I266" s="109" t="s">
        <v>399</v>
      </c>
      <c r="J266" s="109" t="s">
        <v>241</v>
      </c>
      <c r="K266" s="141"/>
      <c r="L266" s="141"/>
      <c r="N266" s="114"/>
      <c r="O266" s="130" t="s">
        <v>703</v>
      </c>
      <c r="P266" s="127">
        <v>44959.0</v>
      </c>
      <c r="Q266" s="122" t="s">
        <v>689</v>
      </c>
      <c r="R266" s="137"/>
      <c r="S266" s="109"/>
      <c r="T266" s="109"/>
      <c r="U266" s="109"/>
      <c r="V266" s="138" t="s">
        <v>316</v>
      </c>
      <c r="W266" s="131"/>
      <c r="X266" s="131"/>
      <c r="Y266" s="131"/>
      <c r="Z266" s="131"/>
      <c r="AA266" s="131"/>
      <c r="AB266" s="139"/>
      <c r="AC266" s="131"/>
    </row>
    <row r="267">
      <c r="A267" s="107">
        <v>2018.0</v>
      </c>
      <c r="B267" s="131"/>
      <c r="C267" s="108">
        <v>44939.0643924537</v>
      </c>
      <c r="D267" s="109" t="s">
        <v>1196</v>
      </c>
      <c r="E267" s="110">
        <v>1.800016157E9</v>
      </c>
      <c r="F267" s="109" t="s">
        <v>1197</v>
      </c>
      <c r="G267" s="111" t="s">
        <v>1198</v>
      </c>
      <c r="H267" s="109" t="s">
        <v>1199</v>
      </c>
      <c r="I267" s="109" t="s">
        <v>399</v>
      </c>
      <c r="J267" s="109" t="s">
        <v>241</v>
      </c>
      <c r="K267" s="141"/>
      <c r="L267" s="141"/>
      <c r="N267" s="114"/>
      <c r="O267" s="130" t="s">
        <v>1200</v>
      </c>
      <c r="P267" s="127">
        <v>44959.0</v>
      </c>
      <c r="Q267" s="122" t="s">
        <v>1201</v>
      </c>
      <c r="R267" s="137"/>
      <c r="S267" s="109"/>
      <c r="T267" s="109"/>
      <c r="U267" s="109"/>
      <c r="V267" s="138" t="s">
        <v>316</v>
      </c>
      <c r="W267" s="131"/>
      <c r="X267" s="131"/>
      <c r="Y267" s="131"/>
      <c r="Z267" s="131"/>
      <c r="AA267" s="131"/>
      <c r="AB267" s="139"/>
      <c r="AC267" s="131"/>
    </row>
    <row r="268">
      <c r="A268" s="107">
        <v>2018.0</v>
      </c>
      <c r="B268" s="131"/>
      <c r="C268" s="108">
        <v>44940.189022962964</v>
      </c>
      <c r="D268" s="109" t="s">
        <v>1202</v>
      </c>
      <c r="E268" s="110">
        <v>1.800016153E9</v>
      </c>
      <c r="F268" s="109" t="s">
        <v>1203</v>
      </c>
      <c r="G268" s="111" t="s">
        <v>1204</v>
      </c>
      <c r="H268" s="109" t="s">
        <v>1205</v>
      </c>
      <c r="I268" s="109" t="s">
        <v>399</v>
      </c>
      <c r="J268" s="109" t="s">
        <v>241</v>
      </c>
      <c r="K268" s="141"/>
      <c r="L268" s="141"/>
      <c r="N268" s="114"/>
      <c r="O268" s="130" t="s">
        <v>352</v>
      </c>
      <c r="P268" s="127">
        <v>44959.0</v>
      </c>
      <c r="Q268" s="122" t="s">
        <v>790</v>
      </c>
      <c r="R268" s="137"/>
      <c r="S268" s="109"/>
      <c r="T268" s="109"/>
      <c r="U268" s="109"/>
      <c r="V268" s="138" t="s">
        <v>316</v>
      </c>
      <c r="W268" s="131"/>
      <c r="X268" s="131"/>
      <c r="Y268" s="131"/>
      <c r="Z268" s="131"/>
      <c r="AA268" s="131"/>
      <c r="AB268" s="139"/>
      <c r="AC268" s="131"/>
    </row>
    <row r="269">
      <c r="A269" s="107">
        <v>2018.0</v>
      </c>
      <c r="B269" s="131"/>
      <c r="C269" s="108">
        <v>44952.801180462964</v>
      </c>
      <c r="D269" s="109" t="s">
        <v>1206</v>
      </c>
      <c r="E269" s="110">
        <v>1.800016145E9</v>
      </c>
      <c r="F269" s="109" t="s">
        <v>1207</v>
      </c>
      <c r="G269" s="111" t="s">
        <v>1159</v>
      </c>
      <c r="H269" s="109" t="s">
        <v>1208</v>
      </c>
      <c r="I269" s="109" t="s">
        <v>399</v>
      </c>
      <c r="J269" s="109" t="s">
        <v>241</v>
      </c>
      <c r="K269" s="141"/>
      <c r="L269" s="141"/>
      <c r="N269" s="114"/>
      <c r="O269" s="130" t="s">
        <v>352</v>
      </c>
      <c r="P269" s="144">
        <v>44964.0</v>
      </c>
      <c r="Q269" s="122" t="s">
        <v>694</v>
      </c>
      <c r="R269" s="137"/>
      <c r="S269" s="109"/>
      <c r="T269" s="109"/>
      <c r="U269" s="109"/>
      <c r="V269" s="138" t="s">
        <v>316</v>
      </c>
      <c r="W269" s="131"/>
      <c r="X269" s="131"/>
      <c r="Y269" s="131"/>
      <c r="Z269" s="131"/>
      <c r="AA269" s="131"/>
      <c r="AB269" s="139"/>
      <c r="AC269" s="131"/>
    </row>
    <row r="270">
      <c r="A270" s="107">
        <v>2018.0</v>
      </c>
      <c r="B270" s="131"/>
      <c r="C270" s="108">
        <v>44956.88656625</v>
      </c>
      <c r="D270" s="109" t="s">
        <v>1209</v>
      </c>
      <c r="E270" s="110">
        <v>1.800016027E9</v>
      </c>
      <c r="F270" s="109" t="s">
        <v>1210</v>
      </c>
      <c r="G270" s="111" t="s">
        <v>1211</v>
      </c>
      <c r="H270" s="109" t="s">
        <v>1212</v>
      </c>
      <c r="I270" s="109" t="s">
        <v>399</v>
      </c>
      <c r="J270" s="109" t="s">
        <v>241</v>
      </c>
      <c r="K270" s="141"/>
      <c r="L270" s="141"/>
      <c r="N270" s="114"/>
      <c r="O270" s="130" t="s">
        <v>28</v>
      </c>
      <c r="P270" s="122" t="s">
        <v>1213</v>
      </c>
      <c r="Q270" s="129"/>
      <c r="R270" s="137"/>
      <c r="S270" s="109"/>
      <c r="T270" s="109"/>
      <c r="U270" s="109"/>
      <c r="V270" s="138" t="s">
        <v>316</v>
      </c>
      <c r="W270" s="131"/>
      <c r="X270" s="131"/>
      <c r="Y270" s="131"/>
      <c r="Z270" s="131"/>
      <c r="AA270" s="131"/>
      <c r="AB270" s="139"/>
      <c r="AC270" s="131"/>
    </row>
    <row r="271">
      <c r="A271" s="107">
        <v>2016.0</v>
      </c>
      <c r="B271" s="131"/>
      <c r="C271" s="108">
        <v>44957.68715857639</v>
      </c>
      <c r="D271" s="109" t="s">
        <v>1214</v>
      </c>
      <c r="E271" s="110">
        <v>1.600016121E9</v>
      </c>
      <c r="F271" s="109" t="s">
        <v>1215</v>
      </c>
      <c r="G271" s="111" t="s">
        <v>1216</v>
      </c>
      <c r="H271" s="109" t="s">
        <v>1217</v>
      </c>
      <c r="I271" s="109" t="s">
        <v>399</v>
      </c>
      <c r="J271" s="109" t="s">
        <v>117</v>
      </c>
      <c r="K271" s="114"/>
      <c r="L271" s="114"/>
      <c r="N271" s="114"/>
      <c r="O271" s="112" t="s">
        <v>703</v>
      </c>
      <c r="P271" s="112" t="s">
        <v>1213</v>
      </c>
      <c r="Q271" s="112" t="s">
        <v>772</v>
      </c>
      <c r="R271" s="137"/>
      <c r="S271" s="109"/>
      <c r="T271" s="109"/>
      <c r="U271" s="109"/>
      <c r="V271" s="138" t="s">
        <v>316</v>
      </c>
      <c r="W271" s="131"/>
      <c r="X271" s="131"/>
      <c r="Y271" s="131"/>
      <c r="Z271" s="131"/>
      <c r="AA271" s="131"/>
      <c r="AB271" s="131"/>
      <c r="AC271" s="131"/>
    </row>
    <row r="272">
      <c r="A272" s="107">
        <v>2017.0</v>
      </c>
      <c r="B272" s="131"/>
      <c r="C272" s="108">
        <v>44959.27502094908</v>
      </c>
      <c r="D272" s="109" t="s">
        <v>1218</v>
      </c>
      <c r="E272" s="110">
        <v>1.711016096E9</v>
      </c>
      <c r="F272" s="109" t="s">
        <v>1219</v>
      </c>
      <c r="G272" s="111" t="s">
        <v>1220</v>
      </c>
      <c r="H272" s="109" t="s">
        <v>1221</v>
      </c>
      <c r="I272" s="109" t="s">
        <v>399</v>
      </c>
      <c r="J272" s="109" t="s">
        <v>117</v>
      </c>
      <c r="K272" s="141"/>
      <c r="L272" s="141"/>
      <c r="N272" s="114"/>
      <c r="O272" s="112" t="s">
        <v>703</v>
      </c>
      <c r="P272" s="112" t="s">
        <v>1213</v>
      </c>
      <c r="Q272" s="112" t="s">
        <v>694</v>
      </c>
      <c r="R272" s="137"/>
      <c r="S272" s="109"/>
      <c r="T272" s="109"/>
      <c r="U272" s="109"/>
      <c r="V272" s="138" t="s">
        <v>316</v>
      </c>
      <c r="W272" s="131"/>
      <c r="X272" s="131"/>
      <c r="Y272" s="131"/>
      <c r="Z272" s="131"/>
      <c r="AA272" s="131"/>
      <c r="AB272" s="131"/>
      <c r="AC272" s="131"/>
    </row>
    <row r="273">
      <c r="A273" s="107">
        <v>2018.0</v>
      </c>
      <c r="B273" s="131"/>
      <c r="C273" s="108">
        <v>44970.665341678236</v>
      </c>
      <c r="D273" s="109" t="s">
        <v>1222</v>
      </c>
      <c r="E273" s="110">
        <v>1.800016143E9</v>
      </c>
      <c r="F273" s="109" t="s">
        <v>1223</v>
      </c>
      <c r="G273" s="111" t="s">
        <v>1224</v>
      </c>
      <c r="H273" s="109" t="s">
        <v>1225</v>
      </c>
      <c r="I273" s="109" t="s">
        <v>399</v>
      </c>
      <c r="J273" s="112" t="s">
        <v>27</v>
      </c>
      <c r="K273" s="141"/>
      <c r="L273" s="141"/>
      <c r="N273" s="114"/>
      <c r="O273" s="130" t="s">
        <v>123</v>
      </c>
      <c r="P273" s="127">
        <v>44985.0</v>
      </c>
      <c r="Q273" s="122" t="s">
        <v>680</v>
      </c>
      <c r="R273" s="137"/>
      <c r="S273" s="109"/>
      <c r="T273" s="109"/>
      <c r="U273" s="109"/>
      <c r="V273" s="138" t="s">
        <v>316</v>
      </c>
      <c r="W273" s="131"/>
      <c r="X273" s="131"/>
      <c r="Y273" s="131"/>
      <c r="Z273" s="131"/>
      <c r="AA273" s="131"/>
      <c r="AB273" s="139"/>
      <c r="AC273" s="131"/>
    </row>
    <row r="274">
      <c r="A274" s="107">
        <v>2018.0</v>
      </c>
      <c r="B274" s="131"/>
      <c r="C274" s="108">
        <v>44974.531113599536</v>
      </c>
      <c r="D274" s="109" t="s">
        <v>1226</v>
      </c>
      <c r="E274" s="110">
        <v>1.800016092E9</v>
      </c>
      <c r="F274" s="109" t="s">
        <v>1227</v>
      </c>
      <c r="G274" s="111" t="s">
        <v>1228</v>
      </c>
      <c r="H274" s="109" t="s">
        <v>1229</v>
      </c>
      <c r="I274" s="109" t="s">
        <v>399</v>
      </c>
      <c r="J274" s="109" t="s">
        <v>230</v>
      </c>
      <c r="K274" s="141"/>
      <c r="L274" s="141"/>
      <c r="N274" s="114"/>
      <c r="O274" s="130" t="s">
        <v>703</v>
      </c>
      <c r="P274" s="144">
        <v>44959.0</v>
      </c>
      <c r="Q274" s="122" t="s">
        <v>680</v>
      </c>
      <c r="R274" s="137"/>
      <c r="S274" s="109"/>
      <c r="T274" s="109"/>
      <c r="U274" s="109"/>
      <c r="V274" s="138" t="s">
        <v>316</v>
      </c>
      <c r="W274" s="131"/>
      <c r="X274" s="131"/>
      <c r="Y274" s="131"/>
      <c r="Z274" s="131"/>
      <c r="AA274" s="131"/>
      <c r="AB274" s="139"/>
      <c r="AC274" s="131"/>
    </row>
    <row r="275">
      <c r="A275" s="107">
        <v>2017.0</v>
      </c>
      <c r="B275" s="131"/>
      <c r="C275" s="108">
        <v>44980.79061546296</v>
      </c>
      <c r="D275" s="109" t="s">
        <v>1230</v>
      </c>
      <c r="E275" s="110">
        <v>1.700016057E9</v>
      </c>
      <c r="F275" s="109" t="s">
        <v>1231</v>
      </c>
      <c r="G275" s="111" t="s">
        <v>1232</v>
      </c>
      <c r="H275" s="109" t="s">
        <v>1233</v>
      </c>
      <c r="I275" s="109" t="s">
        <v>399</v>
      </c>
      <c r="J275" s="109" t="s">
        <v>183</v>
      </c>
      <c r="K275" s="141"/>
      <c r="L275" s="141"/>
      <c r="N275" s="114"/>
      <c r="O275" s="112" t="s">
        <v>123</v>
      </c>
      <c r="P275" s="146">
        <v>44959.0</v>
      </c>
      <c r="Q275" s="112" t="s">
        <v>1234</v>
      </c>
      <c r="R275" s="137"/>
      <c r="S275" s="109"/>
      <c r="T275" s="109"/>
      <c r="U275" s="109"/>
      <c r="V275" s="138" t="s">
        <v>316</v>
      </c>
      <c r="W275" s="131"/>
      <c r="X275" s="131"/>
      <c r="Y275" s="131"/>
      <c r="Z275" s="131"/>
      <c r="AA275" s="131"/>
      <c r="AB275" s="131"/>
      <c r="AC275" s="131"/>
    </row>
    <row r="276">
      <c r="A276" s="107">
        <v>2019.0</v>
      </c>
      <c r="B276" s="131"/>
      <c r="C276" s="108">
        <v>44997.78805741898</v>
      </c>
      <c r="D276" s="109" t="s">
        <v>1235</v>
      </c>
      <c r="E276" s="110">
        <v>1.900016049E9</v>
      </c>
      <c r="F276" s="109" t="s">
        <v>1236</v>
      </c>
      <c r="G276" s="111" t="s">
        <v>1237</v>
      </c>
      <c r="H276" s="109" t="s">
        <v>1238</v>
      </c>
      <c r="I276" s="109" t="s">
        <v>399</v>
      </c>
      <c r="J276" s="112" t="s">
        <v>39</v>
      </c>
      <c r="K276" s="141"/>
      <c r="L276" s="141"/>
      <c r="N276" s="147"/>
      <c r="O276" s="148" t="s">
        <v>339</v>
      </c>
      <c r="P276" s="127">
        <v>45013.0</v>
      </c>
      <c r="Q276" s="122" t="s">
        <v>1239</v>
      </c>
      <c r="R276" s="141" t="s">
        <v>1240</v>
      </c>
      <c r="S276" s="109"/>
      <c r="T276" s="109"/>
      <c r="U276" s="109"/>
      <c r="V276" s="149" t="s">
        <v>316</v>
      </c>
      <c r="W276" s="131"/>
      <c r="X276" s="131"/>
      <c r="Y276" s="131"/>
      <c r="Z276" s="131"/>
      <c r="AA276" s="131"/>
      <c r="AB276" s="139"/>
      <c r="AC276" s="131"/>
    </row>
    <row r="277">
      <c r="A277" s="107">
        <v>2019.0</v>
      </c>
      <c r="B277" s="131"/>
      <c r="C277" s="108">
        <v>45006.99544082176</v>
      </c>
      <c r="D277" s="109" t="s">
        <v>1241</v>
      </c>
      <c r="E277" s="110">
        <v>1.900016073E9</v>
      </c>
      <c r="F277" s="109" t="s">
        <v>1242</v>
      </c>
      <c r="G277" s="111" t="s">
        <v>1243</v>
      </c>
      <c r="H277" s="109" t="s">
        <v>1244</v>
      </c>
      <c r="I277" s="109" t="s">
        <v>399</v>
      </c>
      <c r="J277" s="109" t="s">
        <v>747</v>
      </c>
      <c r="K277" s="141"/>
      <c r="L277" s="141"/>
      <c r="N277" s="147"/>
      <c r="O277" s="130" t="s">
        <v>703</v>
      </c>
      <c r="P277" s="127">
        <v>45020.0</v>
      </c>
      <c r="Q277" s="122" t="s">
        <v>772</v>
      </c>
      <c r="R277" s="141" t="s">
        <v>1245</v>
      </c>
      <c r="S277" s="109"/>
      <c r="T277" s="109"/>
      <c r="U277" s="109"/>
      <c r="V277" s="149" t="s">
        <v>316</v>
      </c>
      <c r="W277" s="131"/>
      <c r="X277" s="131"/>
      <c r="Y277" s="131"/>
      <c r="Z277" s="131"/>
      <c r="AA277" s="131"/>
      <c r="AB277" s="139"/>
      <c r="AC277" s="131"/>
    </row>
    <row r="278">
      <c r="A278" s="107">
        <v>2018.0</v>
      </c>
      <c r="B278" s="131"/>
      <c r="C278" s="108">
        <v>45011.889478136574</v>
      </c>
      <c r="D278" s="109" t="s">
        <v>1246</v>
      </c>
      <c r="E278" s="110">
        <v>1.800016144E9</v>
      </c>
      <c r="F278" s="109" t="s">
        <v>1247</v>
      </c>
      <c r="G278" s="111" t="s">
        <v>1248</v>
      </c>
      <c r="H278" s="109" t="s">
        <v>1249</v>
      </c>
      <c r="I278" s="109" t="s">
        <v>399</v>
      </c>
      <c r="J278" s="109" t="s">
        <v>241</v>
      </c>
      <c r="K278" s="141"/>
      <c r="L278" s="141"/>
      <c r="N278" s="114"/>
      <c r="O278" s="130" t="s">
        <v>40</v>
      </c>
      <c r="P278" s="127">
        <v>45020.0</v>
      </c>
      <c r="Q278" s="122" t="s">
        <v>694</v>
      </c>
      <c r="R278" s="137"/>
      <c r="S278" s="109"/>
      <c r="T278" s="109"/>
      <c r="U278" s="109"/>
      <c r="V278" s="149" t="s">
        <v>316</v>
      </c>
      <c r="W278" s="131"/>
      <c r="X278" s="131"/>
      <c r="Y278" s="131"/>
      <c r="Z278" s="131"/>
      <c r="AA278" s="131"/>
      <c r="AB278" s="139"/>
      <c r="AC278" s="131"/>
    </row>
    <row r="279">
      <c r="A279" s="107">
        <v>2019.0</v>
      </c>
      <c r="B279" s="131"/>
      <c r="C279" s="108">
        <v>45014.201716979165</v>
      </c>
      <c r="D279" s="109" t="s">
        <v>1250</v>
      </c>
      <c r="E279" s="110">
        <v>1.900016041E9</v>
      </c>
      <c r="F279" s="109" t="s">
        <v>1251</v>
      </c>
      <c r="G279" s="111" t="s">
        <v>1252</v>
      </c>
      <c r="H279" s="109" t="s">
        <v>1253</v>
      </c>
      <c r="I279" s="109" t="s">
        <v>399</v>
      </c>
      <c r="J279" s="112" t="s">
        <v>39</v>
      </c>
      <c r="K279" s="141"/>
      <c r="L279" s="141"/>
      <c r="N279" s="147"/>
      <c r="O279" s="148" t="s">
        <v>339</v>
      </c>
      <c r="P279" s="127">
        <v>45022.0</v>
      </c>
      <c r="Q279" s="122" t="s">
        <v>1254</v>
      </c>
      <c r="R279" s="141" t="s">
        <v>1255</v>
      </c>
      <c r="S279" s="109"/>
      <c r="T279" s="109"/>
      <c r="U279" s="109"/>
      <c r="V279" s="149" t="s">
        <v>316</v>
      </c>
      <c r="W279" s="131"/>
      <c r="X279" s="131"/>
      <c r="Y279" s="131"/>
      <c r="Z279" s="131"/>
      <c r="AA279" s="131"/>
      <c r="AB279" s="139"/>
      <c r="AC279" s="131"/>
    </row>
    <row r="280">
      <c r="A280" s="107">
        <v>2019.0</v>
      </c>
      <c r="B280" s="131"/>
      <c r="C280" s="108">
        <v>45015.04942473379</v>
      </c>
      <c r="D280" s="109" t="s">
        <v>1256</v>
      </c>
      <c r="E280" s="110">
        <v>1.900016107E9</v>
      </c>
      <c r="F280" s="109" t="s">
        <v>1257</v>
      </c>
      <c r="G280" s="111" t="s">
        <v>1258</v>
      </c>
      <c r="H280" s="109" t="s">
        <v>1259</v>
      </c>
      <c r="I280" s="109" t="s">
        <v>399</v>
      </c>
      <c r="J280" s="109" t="s">
        <v>183</v>
      </c>
      <c r="K280" s="141"/>
      <c r="L280" s="141"/>
      <c r="N280" s="147"/>
      <c r="O280" s="148" t="s">
        <v>123</v>
      </c>
      <c r="P280" s="127">
        <v>45020.0</v>
      </c>
      <c r="Q280" s="122" t="s">
        <v>1254</v>
      </c>
      <c r="R280" s="141" t="s">
        <v>1260</v>
      </c>
      <c r="S280" s="109"/>
      <c r="T280" s="109"/>
      <c r="U280" s="109"/>
      <c r="V280" s="149" t="s">
        <v>316</v>
      </c>
      <c r="W280" s="131"/>
      <c r="X280" s="131"/>
      <c r="Y280" s="131"/>
      <c r="Z280" s="131"/>
      <c r="AA280" s="131"/>
      <c r="AB280" s="139"/>
      <c r="AC280" s="131"/>
    </row>
    <row r="281">
      <c r="A281" s="107">
        <v>2018.0</v>
      </c>
      <c r="B281" s="131"/>
      <c r="C281" s="108">
        <v>45016.04219229167</v>
      </c>
      <c r="D281" s="109" t="s">
        <v>1261</v>
      </c>
      <c r="E281" s="110">
        <v>1.800016093E9</v>
      </c>
      <c r="F281" s="109" t="s">
        <v>1262</v>
      </c>
      <c r="G281" s="111" t="s">
        <v>1263</v>
      </c>
      <c r="H281" s="109" t="s">
        <v>1264</v>
      </c>
      <c r="I281" s="109" t="s">
        <v>399</v>
      </c>
      <c r="J281" s="109" t="s">
        <v>241</v>
      </c>
      <c r="K281" s="141"/>
      <c r="L281" s="139"/>
      <c r="N281" s="131"/>
      <c r="O281" s="130" t="s">
        <v>1200</v>
      </c>
      <c r="P281" s="127">
        <v>45024.0</v>
      </c>
      <c r="Q281" s="122" t="s">
        <v>689</v>
      </c>
      <c r="R281" s="141" t="s">
        <v>1265</v>
      </c>
      <c r="S281" s="109"/>
      <c r="T281" s="109"/>
      <c r="U281" s="109"/>
      <c r="V281" s="149" t="s">
        <v>316</v>
      </c>
      <c r="W281" s="131"/>
      <c r="X281" s="131"/>
      <c r="Y281" s="131"/>
      <c r="Z281" s="131"/>
      <c r="AA281" s="131"/>
      <c r="AB281" s="139"/>
      <c r="AC281" s="131"/>
    </row>
    <row r="282">
      <c r="A282" s="107">
        <v>2019.0</v>
      </c>
      <c r="B282" s="131"/>
      <c r="C282" s="108">
        <v>45016.355491967595</v>
      </c>
      <c r="D282" s="109" t="s">
        <v>1266</v>
      </c>
      <c r="E282" s="110">
        <v>1.900016045E9</v>
      </c>
      <c r="F282" s="109" t="s">
        <v>1267</v>
      </c>
      <c r="G282" s="111" t="s">
        <v>1268</v>
      </c>
      <c r="H282" s="109" t="s">
        <v>1269</v>
      </c>
      <c r="I282" s="109" t="s">
        <v>399</v>
      </c>
      <c r="J282" s="109" t="s">
        <v>747</v>
      </c>
      <c r="K282" s="141"/>
      <c r="L282" s="139"/>
      <c r="N282" s="131"/>
      <c r="O282" s="148" t="s">
        <v>703</v>
      </c>
      <c r="P282" s="127">
        <v>45024.0</v>
      </c>
      <c r="Q282" s="122" t="s">
        <v>689</v>
      </c>
      <c r="R282" s="141" t="s">
        <v>1270</v>
      </c>
      <c r="S282" s="109"/>
      <c r="T282" s="109"/>
      <c r="U282" s="109"/>
      <c r="V282" s="149" t="s">
        <v>316</v>
      </c>
      <c r="W282" s="131"/>
      <c r="X282" s="131"/>
      <c r="Y282" s="131"/>
      <c r="Z282" s="131"/>
      <c r="AA282" s="131"/>
      <c r="AB282" s="139"/>
      <c r="AC282" s="131"/>
    </row>
    <row r="283">
      <c r="A283" s="107">
        <v>2019.0</v>
      </c>
      <c r="B283" s="131"/>
      <c r="C283" s="108">
        <v>45023.34548674768</v>
      </c>
      <c r="D283" s="109" t="s">
        <v>1271</v>
      </c>
      <c r="E283" s="110">
        <v>1.900016021E9</v>
      </c>
      <c r="F283" s="109" t="s">
        <v>1272</v>
      </c>
      <c r="G283" s="111" t="s">
        <v>1273</v>
      </c>
      <c r="H283" s="109" t="s">
        <v>1274</v>
      </c>
      <c r="I283" s="109" t="s">
        <v>399</v>
      </c>
      <c r="J283" s="109" t="s">
        <v>747</v>
      </c>
      <c r="K283" s="141"/>
      <c r="L283" s="141"/>
      <c r="N283" s="147"/>
      <c r="O283" s="148" t="s">
        <v>703</v>
      </c>
      <c r="P283" s="127">
        <v>45028.0</v>
      </c>
      <c r="Q283" s="122" t="s">
        <v>689</v>
      </c>
      <c r="R283" s="141" t="s">
        <v>1275</v>
      </c>
      <c r="S283" s="109"/>
      <c r="T283" s="109"/>
      <c r="U283" s="109"/>
      <c r="V283" s="149" t="s">
        <v>316</v>
      </c>
      <c r="W283" s="131"/>
      <c r="X283" s="131"/>
      <c r="Y283" s="131"/>
      <c r="Z283" s="131"/>
      <c r="AA283" s="131"/>
      <c r="AB283" s="139"/>
      <c r="AC283" s="131"/>
    </row>
    <row r="284">
      <c r="A284" s="107">
        <v>2019.0</v>
      </c>
      <c r="B284" s="131"/>
      <c r="C284" s="108">
        <v>45023.870153564814</v>
      </c>
      <c r="D284" s="109" t="s">
        <v>1276</v>
      </c>
      <c r="E284" s="110">
        <v>1.900016188E9</v>
      </c>
      <c r="F284" s="109" t="s">
        <v>1277</v>
      </c>
      <c r="G284" s="111" t="s">
        <v>1278</v>
      </c>
      <c r="H284" s="107" t="s">
        <v>1279</v>
      </c>
      <c r="I284" s="109" t="s">
        <v>399</v>
      </c>
      <c r="J284" s="109" t="s">
        <v>183</v>
      </c>
      <c r="K284" s="141"/>
      <c r="L284" s="141"/>
      <c r="N284" s="147"/>
      <c r="O284" s="148" t="s">
        <v>1200</v>
      </c>
      <c r="P284" s="127">
        <v>45028.0</v>
      </c>
      <c r="Q284" s="122" t="s">
        <v>689</v>
      </c>
      <c r="R284" s="141" t="s">
        <v>1280</v>
      </c>
      <c r="S284" s="109"/>
      <c r="T284" s="109"/>
      <c r="U284" s="109"/>
      <c r="V284" s="149" t="s">
        <v>316</v>
      </c>
      <c r="W284" s="131"/>
      <c r="X284" s="131"/>
      <c r="Y284" s="131"/>
      <c r="Z284" s="131"/>
      <c r="AA284" s="131"/>
      <c r="AB284" s="139"/>
      <c r="AC284" s="131"/>
    </row>
    <row r="285">
      <c r="A285" s="107">
        <v>2019.0</v>
      </c>
      <c r="B285" s="131"/>
      <c r="C285" s="108">
        <v>45025.4382008449</v>
      </c>
      <c r="D285" s="109" t="s">
        <v>1281</v>
      </c>
      <c r="E285" s="110">
        <v>1.900016109E9</v>
      </c>
      <c r="F285" s="109" t="s">
        <v>1282</v>
      </c>
      <c r="G285" s="111" t="s">
        <v>1283</v>
      </c>
      <c r="H285" s="109" t="s">
        <v>1284</v>
      </c>
      <c r="I285" s="109" t="s">
        <v>399</v>
      </c>
      <c r="J285" s="109" t="s">
        <v>747</v>
      </c>
      <c r="K285" s="141"/>
      <c r="L285" s="141"/>
      <c r="N285" s="114"/>
      <c r="O285" s="130" t="s">
        <v>28</v>
      </c>
      <c r="P285" s="127">
        <v>45029.0</v>
      </c>
      <c r="Q285" s="122" t="s">
        <v>767</v>
      </c>
      <c r="R285" s="150" t="s">
        <v>1285</v>
      </c>
      <c r="S285" s="109"/>
      <c r="T285" s="109"/>
      <c r="U285" s="109"/>
      <c r="V285" s="149" t="s">
        <v>316</v>
      </c>
      <c r="W285" s="131"/>
      <c r="X285" s="131"/>
      <c r="Y285" s="131"/>
      <c r="Z285" s="131"/>
      <c r="AA285" s="131"/>
      <c r="AB285" s="139"/>
      <c r="AC285" s="131"/>
    </row>
    <row r="286">
      <c r="A286" s="107">
        <v>2019.0</v>
      </c>
      <c r="B286" s="131"/>
      <c r="C286" s="108">
        <v>45026.27665545139</v>
      </c>
      <c r="D286" s="109" t="s">
        <v>1286</v>
      </c>
      <c r="E286" s="110">
        <v>1.900016024E9</v>
      </c>
      <c r="F286" s="109" t="s">
        <v>1287</v>
      </c>
      <c r="G286" s="111" t="s">
        <v>1288</v>
      </c>
      <c r="H286" s="109" t="s">
        <v>1289</v>
      </c>
      <c r="I286" s="109" t="s">
        <v>399</v>
      </c>
      <c r="J286" s="109" t="s">
        <v>183</v>
      </c>
      <c r="K286" s="141"/>
      <c r="L286" s="141"/>
      <c r="N286" s="114"/>
      <c r="O286" s="130" t="s">
        <v>123</v>
      </c>
      <c r="P286" s="127">
        <v>45029.0</v>
      </c>
      <c r="Q286" s="122" t="s">
        <v>694</v>
      </c>
      <c r="R286" s="150" t="s">
        <v>1290</v>
      </c>
      <c r="S286" s="109"/>
      <c r="T286" s="109"/>
      <c r="U286" s="109"/>
      <c r="V286" s="149" t="s">
        <v>316</v>
      </c>
      <c r="W286" s="131"/>
      <c r="X286" s="131"/>
      <c r="Y286" s="131"/>
      <c r="Z286" s="131"/>
      <c r="AA286" s="131"/>
      <c r="AB286" s="139"/>
      <c r="AC286" s="131"/>
    </row>
    <row r="287">
      <c r="A287" s="107">
        <v>2018.0</v>
      </c>
      <c r="B287" s="131"/>
      <c r="C287" s="108">
        <v>45026.885395150464</v>
      </c>
      <c r="D287" s="109" t="s">
        <v>1291</v>
      </c>
      <c r="E287" s="110">
        <v>1.800016012E9</v>
      </c>
      <c r="F287" s="109" t="s">
        <v>1292</v>
      </c>
      <c r="G287" s="111" t="s">
        <v>1293</v>
      </c>
      <c r="H287" s="109" t="s">
        <v>1294</v>
      </c>
      <c r="I287" s="109" t="s">
        <v>399</v>
      </c>
      <c r="J287" s="109" t="s">
        <v>747</v>
      </c>
      <c r="K287" s="141"/>
      <c r="L287" s="141"/>
      <c r="N287" s="114"/>
      <c r="O287" s="130" t="s">
        <v>40</v>
      </c>
      <c r="P287" s="127">
        <v>45029.0</v>
      </c>
      <c r="Q287" s="122" t="s">
        <v>772</v>
      </c>
      <c r="R287" s="151" t="s">
        <v>1295</v>
      </c>
      <c r="S287" s="109"/>
      <c r="T287" s="109"/>
      <c r="U287" s="109"/>
      <c r="V287" s="149" t="s">
        <v>316</v>
      </c>
      <c r="W287" s="131"/>
      <c r="X287" s="131"/>
      <c r="Y287" s="131"/>
      <c r="Z287" s="131"/>
      <c r="AA287" s="131"/>
      <c r="AB287" s="139"/>
      <c r="AC287" s="131"/>
    </row>
    <row r="288">
      <c r="A288" s="107">
        <v>2019.0</v>
      </c>
      <c r="B288" s="131"/>
      <c r="C288" s="108">
        <v>45027.35464450231</v>
      </c>
      <c r="D288" s="109" t="s">
        <v>1296</v>
      </c>
      <c r="E288" s="110">
        <v>1.900016075E9</v>
      </c>
      <c r="F288" s="109" t="s">
        <v>1297</v>
      </c>
      <c r="G288" s="111" t="s">
        <v>1298</v>
      </c>
      <c r="H288" s="109" t="s">
        <v>1299</v>
      </c>
      <c r="I288" s="109" t="s">
        <v>399</v>
      </c>
      <c r="J288" s="109" t="s">
        <v>183</v>
      </c>
      <c r="K288" s="141"/>
      <c r="L288" s="141"/>
      <c r="N288" s="147"/>
      <c r="O288" s="148" t="s">
        <v>1300</v>
      </c>
      <c r="P288" s="127">
        <v>45031.0</v>
      </c>
      <c r="Q288" s="122" t="s">
        <v>689</v>
      </c>
      <c r="R288" s="141" t="s">
        <v>1301</v>
      </c>
      <c r="S288" s="109"/>
      <c r="T288" s="109"/>
      <c r="U288" s="109"/>
      <c r="V288" s="149" t="s">
        <v>316</v>
      </c>
      <c r="W288" s="131"/>
      <c r="X288" s="131"/>
      <c r="Y288" s="131"/>
      <c r="Z288" s="131"/>
      <c r="AA288" s="131"/>
      <c r="AB288" s="139"/>
      <c r="AC288" s="131"/>
    </row>
    <row r="289">
      <c r="A289" s="107">
        <v>2018.0</v>
      </c>
      <c r="B289" s="131"/>
      <c r="C289" s="108">
        <v>45027.655817175924</v>
      </c>
      <c r="D289" s="109" t="s">
        <v>1302</v>
      </c>
      <c r="E289" s="110">
        <v>1.800016149E9</v>
      </c>
      <c r="F289" s="109" t="s">
        <v>1303</v>
      </c>
      <c r="G289" s="111" t="s">
        <v>1304</v>
      </c>
      <c r="H289" s="109" t="s">
        <v>1305</v>
      </c>
      <c r="I289" s="109" t="s">
        <v>399</v>
      </c>
      <c r="J289" s="112" t="s">
        <v>569</v>
      </c>
      <c r="K289" s="141"/>
      <c r="L289" s="141"/>
      <c r="N289" s="114"/>
      <c r="O289" s="130" t="s">
        <v>28</v>
      </c>
      <c r="P289" s="127">
        <v>45031.0</v>
      </c>
      <c r="Q289" s="122" t="s">
        <v>767</v>
      </c>
      <c r="R289" s="137"/>
      <c r="S289" s="109"/>
      <c r="T289" s="109"/>
      <c r="U289" s="109"/>
      <c r="V289" s="149" t="s">
        <v>316</v>
      </c>
      <c r="W289" s="131"/>
      <c r="X289" s="131"/>
      <c r="Y289" s="131"/>
      <c r="Z289" s="131"/>
      <c r="AA289" s="131"/>
      <c r="AB289" s="139"/>
      <c r="AC289" s="131"/>
    </row>
    <row r="290">
      <c r="A290" s="107">
        <v>2018.0</v>
      </c>
      <c r="B290" s="131"/>
      <c r="C290" s="108">
        <v>45027.982151296295</v>
      </c>
      <c r="D290" s="109" t="s">
        <v>1306</v>
      </c>
      <c r="E290" s="110">
        <v>1.800016148E9</v>
      </c>
      <c r="F290" s="109" t="s">
        <v>1307</v>
      </c>
      <c r="G290" s="111" t="s">
        <v>1308</v>
      </c>
      <c r="H290" s="109" t="s">
        <v>1309</v>
      </c>
      <c r="I290" s="109" t="s">
        <v>399</v>
      </c>
      <c r="J290" s="112" t="s">
        <v>569</v>
      </c>
      <c r="K290" s="141"/>
      <c r="L290" s="141"/>
      <c r="N290" s="114"/>
      <c r="O290" s="130" t="s">
        <v>1200</v>
      </c>
      <c r="P290" s="122" t="s">
        <v>1310</v>
      </c>
      <c r="Q290" s="122" t="s">
        <v>772</v>
      </c>
      <c r="R290" s="137"/>
      <c r="S290" s="109"/>
      <c r="T290" s="109"/>
      <c r="U290" s="109"/>
      <c r="V290" s="149" t="s">
        <v>316</v>
      </c>
      <c r="W290" s="131"/>
      <c r="X290" s="131"/>
      <c r="Y290" s="131"/>
      <c r="Z290" s="131"/>
      <c r="AA290" s="131"/>
      <c r="AB290" s="139"/>
      <c r="AC290" s="131"/>
    </row>
    <row r="291">
      <c r="A291" s="107">
        <v>2019.0</v>
      </c>
      <c r="B291" s="131"/>
      <c r="C291" s="108">
        <v>45028.02056474537</v>
      </c>
      <c r="D291" s="109" t="s">
        <v>1311</v>
      </c>
      <c r="E291" s="110">
        <v>1.900016195E9</v>
      </c>
      <c r="F291" s="109" t="s">
        <v>1312</v>
      </c>
      <c r="G291" s="152" t="s">
        <v>1313</v>
      </c>
      <c r="H291" s="109" t="s">
        <v>1314</v>
      </c>
      <c r="I291" s="109" t="s">
        <v>399</v>
      </c>
      <c r="J291" s="109" t="s">
        <v>747</v>
      </c>
      <c r="K291" s="141"/>
      <c r="L291" s="141"/>
      <c r="N291" s="114"/>
      <c r="O291" s="130" t="s">
        <v>703</v>
      </c>
      <c r="P291" s="144">
        <v>45055.0</v>
      </c>
      <c r="Q291" s="122" t="s">
        <v>772</v>
      </c>
      <c r="R291" s="153" t="s">
        <v>1315</v>
      </c>
      <c r="S291" s="109"/>
      <c r="T291" s="109"/>
      <c r="U291" s="109"/>
      <c r="V291" s="149" t="s">
        <v>316</v>
      </c>
      <c r="W291" s="131"/>
      <c r="X291" s="131"/>
      <c r="Y291" s="131"/>
      <c r="Z291" s="131"/>
      <c r="AA291" s="131"/>
      <c r="AB291" s="139"/>
      <c r="AC291" s="131"/>
    </row>
    <row r="292">
      <c r="A292" s="107">
        <v>2019.0</v>
      </c>
      <c r="B292" s="131"/>
      <c r="C292" s="108">
        <v>45030.331923680555</v>
      </c>
      <c r="D292" s="109" t="s">
        <v>1316</v>
      </c>
      <c r="E292" s="110">
        <v>1.900016097E9</v>
      </c>
      <c r="F292" s="109" t="s">
        <v>1317</v>
      </c>
      <c r="G292" s="111" t="s">
        <v>1318</v>
      </c>
      <c r="H292" s="109" t="s">
        <v>1319</v>
      </c>
      <c r="I292" s="109" t="s">
        <v>399</v>
      </c>
      <c r="J292" s="112" t="s">
        <v>27</v>
      </c>
      <c r="K292" s="141"/>
      <c r="L292" s="141"/>
      <c r="N292" s="147"/>
      <c r="O292" s="148" t="s">
        <v>123</v>
      </c>
      <c r="P292" s="144">
        <v>45055.0</v>
      </c>
      <c r="Q292" s="122" t="s">
        <v>680</v>
      </c>
      <c r="R292" s="141" t="s">
        <v>1320</v>
      </c>
      <c r="S292" s="109"/>
      <c r="T292" s="109"/>
      <c r="U292" s="109"/>
      <c r="V292" s="149" t="s">
        <v>316</v>
      </c>
      <c r="W292" s="131"/>
      <c r="X292" s="131"/>
      <c r="Y292" s="131"/>
      <c r="Z292" s="131"/>
      <c r="AA292" s="131"/>
      <c r="AB292" s="139"/>
      <c r="AC292" s="131"/>
    </row>
    <row r="293">
      <c r="A293" s="107">
        <v>2019.0</v>
      </c>
      <c r="B293" s="131"/>
      <c r="C293" s="108">
        <v>45030.97028858797</v>
      </c>
      <c r="D293" s="109" t="s">
        <v>1321</v>
      </c>
      <c r="E293" s="110">
        <v>1.915016137E9</v>
      </c>
      <c r="F293" s="109" t="s">
        <v>1322</v>
      </c>
      <c r="G293" s="111" t="s">
        <v>1323</v>
      </c>
      <c r="H293" s="109" t="s">
        <v>1324</v>
      </c>
      <c r="I293" s="109" t="s">
        <v>399</v>
      </c>
      <c r="J293" s="109" t="s">
        <v>183</v>
      </c>
      <c r="K293" s="141"/>
      <c r="L293" s="141"/>
      <c r="N293" s="147"/>
      <c r="O293" s="148" t="s">
        <v>123</v>
      </c>
      <c r="P293" s="122" t="s">
        <v>1325</v>
      </c>
      <c r="Q293" s="122" t="s">
        <v>767</v>
      </c>
      <c r="R293" s="141" t="s">
        <v>1326</v>
      </c>
      <c r="S293" s="109"/>
      <c r="T293" s="109"/>
      <c r="U293" s="109"/>
      <c r="V293" s="149" t="s">
        <v>316</v>
      </c>
      <c r="W293" s="131"/>
      <c r="X293" s="131"/>
      <c r="Y293" s="131"/>
      <c r="Z293" s="131"/>
      <c r="AA293" s="131"/>
      <c r="AB293" s="139"/>
      <c r="AC293" s="131"/>
    </row>
    <row r="294">
      <c r="A294" s="107">
        <v>2019.0</v>
      </c>
      <c r="B294" s="131"/>
      <c r="C294" s="108">
        <v>45049.966535671294</v>
      </c>
      <c r="D294" s="109" t="s">
        <v>1327</v>
      </c>
      <c r="E294" s="110">
        <v>1.900016072E9</v>
      </c>
      <c r="F294" s="109" t="s">
        <v>1328</v>
      </c>
      <c r="G294" s="111" t="s">
        <v>1329</v>
      </c>
      <c r="H294" s="109" t="s">
        <v>1330</v>
      </c>
      <c r="I294" s="109" t="s">
        <v>399</v>
      </c>
      <c r="J294" s="112" t="s">
        <v>703</v>
      </c>
      <c r="K294" s="141"/>
      <c r="L294" s="141"/>
      <c r="N294" s="114"/>
      <c r="O294" s="130" t="s">
        <v>28</v>
      </c>
      <c r="P294" s="127">
        <v>45061.0</v>
      </c>
      <c r="Q294" s="122" t="s">
        <v>767</v>
      </c>
      <c r="R294" s="153" t="s">
        <v>1331</v>
      </c>
      <c r="S294" s="109"/>
      <c r="T294" s="109"/>
      <c r="U294" s="109"/>
      <c r="V294" s="149" t="s">
        <v>316</v>
      </c>
      <c r="W294" s="131"/>
      <c r="X294" s="131"/>
      <c r="Y294" s="131"/>
      <c r="Z294" s="131"/>
      <c r="AA294" s="131"/>
      <c r="AB294" s="139"/>
      <c r="AC294" s="131"/>
    </row>
    <row r="295">
      <c r="A295" s="107">
        <v>2019.0</v>
      </c>
      <c r="B295" s="131"/>
      <c r="C295" s="108">
        <v>45054.9533728588</v>
      </c>
      <c r="D295" s="109" t="s">
        <v>1332</v>
      </c>
      <c r="E295" s="110">
        <v>1.900016155E9</v>
      </c>
      <c r="F295" s="109" t="s">
        <v>1333</v>
      </c>
      <c r="G295" s="111" t="s">
        <v>1334</v>
      </c>
      <c r="H295" s="109" t="s">
        <v>1335</v>
      </c>
      <c r="I295" s="109" t="s">
        <v>399</v>
      </c>
      <c r="J295" s="112" t="s">
        <v>27</v>
      </c>
      <c r="K295" s="141"/>
      <c r="L295" s="141"/>
      <c r="N295" s="147"/>
      <c r="O295" s="148" t="s">
        <v>28</v>
      </c>
      <c r="P295" s="127">
        <v>45061.0</v>
      </c>
      <c r="Q295" s="122" t="s">
        <v>1182</v>
      </c>
      <c r="R295" s="141" t="s">
        <v>1336</v>
      </c>
      <c r="S295" s="109"/>
      <c r="T295" s="109"/>
      <c r="U295" s="109"/>
      <c r="V295" s="149" t="s">
        <v>316</v>
      </c>
      <c r="W295" s="131"/>
      <c r="X295" s="131"/>
      <c r="Y295" s="131"/>
      <c r="Z295" s="131"/>
      <c r="AA295" s="131"/>
      <c r="AB295" s="139"/>
      <c r="AC295" s="131"/>
    </row>
    <row r="296">
      <c r="A296" s="107">
        <v>2016.0</v>
      </c>
      <c r="B296" s="131"/>
      <c r="C296" s="108">
        <v>45055.86077306713</v>
      </c>
      <c r="D296" s="109" t="s">
        <v>1337</v>
      </c>
      <c r="E296" s="110">
        <v>1.600016066E9</v>
      </c>
      <c r="F296" s="109" t="s">
        <v>1338</v>
      </c>
      <c r="G296" s="111" t="s">
        <v>1339</v>
      </c>
      <c r="H296" s="109" t="s">
        <v>1340</v>
      </c>
      <c r="I296" s="109" t="s">
        <v>399</v>
      </c>
      <c r="J296" s="109" t="s">
        <v>117</v>
      </c>
      <c r="K296" s="114"/>
      <c r="L296" s="114"/>
      <c r="N296" s="114"/>
      <c r="O296" s="107" t="s">
        <v>703</v>
      </c>
      <c r="P296" s="125">
        <v>45061.0</v>
      </c>
      <c r="Q296" s="112" t="s">
        <v>1341</v>
      </c>
      <c r="R296" s="130" t="s">
        <v>1342</v>
      </c>
      <c r="S296" s="109"/>
      <c r="T296" s="109"/>
      <c r="U296" s="109"/>
      <c r="V296" s="149" t="s">
        <v>316</v>
      </c>
      <c r="W296" s="131"/>
      <c r="X296" s="131"/>
      <c r="Y296" s="131"/>
      <c r="Z296" s="131"/>
      <c r="AA296" s="131"/>
      <c r="AB296" s="131"/>
      <c r="AC296" s="131"/>
    </row>
    <row r="297">
      <c r="A297" s="107">
        <v>2019.0</v>
      </c>
      <c r="B297" s="131"/>
      <c r="C297" s="108">
        <v>45054.74246407408</v>
      </c>
      <c r="D297" s="109" t="s">
        <v>1343</v>
      </c>
      <c r="E297" s="110">
        <v>1.90001609E9</v>
      </c>
      <c r="F297" s="109" t="s">
        <v>1344</v>
      </c>
      <c r="G297" s="111" t="s">
        <v>1345</v>
      </c>
      <c r="H297" s="109" t="s">
        <v>1346</v>
      </c>
      <c r="I297" s="109" t="s">
        <v>399</v>
      </c>
      <c r="J297" s="112" t="s">
        <v>27</v>
      </c>
      <c r="K297" s="141"/>
      <c r="L297" s="141"/>
      <c r="N297" s="147"/>
      <c r="O297" s="148" t="s">
        <v>123</v>
      </c>
      <c r="P297" s="127">
        <v>45061.0</v>
      </c>
      <c r="Q297" s="122" t="s">
        <v>689</v>
      </c>
      <c r="R297" s="141" t="s">
        <v>1347</v>
      </c>
      <c r="S297" s="109"/>
      <c r="T297" s="109"/>
      <c r="U297" s="109"/>
      <c r="V297" s="149" t="s">
        <v>316</v>
      </c>
      <c r="W297" s="131"/>
      <c r="X297" s="131"/>
      <c r="Y297" s="131"/>
      <c r="Z297" s="131"/>
      <c r="AA297" s="131"/>
      <c r="AB297" s="139"/>
      <c r="AC297" s="131"/>
    </row>
    <row r="298">
      <c r="A298" s="107">
        <v>2019.0</v>
      </c>
      <c r="B298" s="131"/>
      <c r="C298" s="108">
        <v>45054.743399756946</v>
      </c>
      <c r="D298" s="109" t="s">
        <v>1348</v>
      </c>
      <c r="E298" s="110">
        <v>1.900016086E9</v>
      </c>
      <c r="F298" s="109" t="s">
        <v>1349</v>
      </c>
      <c r="G298" s="111" t="s">
        <v>1350</v>
      </c>
      <c r="H298" s="109" t="s">
        <v>1351</v>
      </c>
      <c r="I298" s="109" t="s">
        <v>399</v>
      </c>
      <c r="J298" s="112" t="s">
        <v>27</v>
      </c>
      <c r="K298" s="141"/>
      <c r="L298" s="141"/>
      <c r="N298" s="147"/>
      <c r="O298" s="148" t="s">
        <v>123</v>
      </c>
      <c r="P298" s="127">
        <v>45061.0</v>
      </c>
      <c r="Q298" s="122" t="s">
        <v>895</v>
      </c>
      <c r="R298" s="141" t="s">
        <v>1352</v>
      </c>
      <c r="S298" s="109"/>
      <c r="T298" s="109"/>
      <c r="U298" s="109"/>
      <c r="V298" s="149" t="s">
        <v>316</v>
      </c>
      <c r="W298" s="131"/>
      <c r="X298" s="131"/>
      <c r="Y298" s="131"/>
      <c r="Z298" s="131"/>
      <c r="AA298" s="131"/>
      <c r="AB298" s="139"/>
      <c r="AC298" s="131"/>
    </row>
    <row r="299">
      <c r="A299" s="107">
        <v>2019.0</v>
      </c>
      <c r="B299" s="131"/>
      <c r="C299" s="108">
        <v>45061.033383726855</v>
      </c>
      <c r="D299" s="109" t="s">
        <v>1353</v>
      </c>
      <c r="E299" s="110">
        <v>1.900016062E9</v>
      </c>
      <c r="F299" s="109" t="s">
        <v>1354</v>
      </c>
      <c r="G299" s="152">
        <v>8.95339168728E11</v>
      </c>
      <c r="H299" s="109" t="s">
        <v>1355</v>
      </c>
      <c r="I299" s="109" t="s">
        <v>399</v>
      </c>
      <c r="J299" s="109" t="s">
        <v>230</v>
      </c>
      <c r="K299" s="141"/>
      <c r="L299" s="141"/>
      <c r="N299" s="114"/>
      <c r="O299" s="148" t="s">
        <v>1066</v>
      </c>
      <c r="P299" s="154">
        <v>45075.0</v>
      </c>
      <c r="Q299" s="122" t="s">
        <v>1356</v>
      </c>
      <c r="R299" s="155" t="s">
        <v>1357</v>
      </c>
      <c r="S299" s="109"/>
      <c r="T299" s="109"/>
      <c r="U299" s="109"/>
      <c r="V299" s="149" t="s">
        <v>316</v>
      </c>
      <c r="W299" s="131"/>
      <c r="X299" s="131"/>
      <c r="Y299" s="131"/>
      <c r="Z299" s="131"/>
      <c r="AA299" s="131"/>
      <c r="AB299" s="139"/>
      <c r="AC299" s="131"/>
    </row>
    <row r="300">
      <c r="A300" s="107">
        <v>2019.0</v>
      </c>
      <c r="B300" s="131"/>
      <c r="C300" s="108">
        <v>45061.03511251157</v>
      </c>
      <c r="D300" s="109" t="s">
        <v>1358</v>
      </c>
      <c r="E300" s="110">
        <v>1.900016069E9</v>
      </c>
      <c r="F300" s="109" t="s">
        <v>1359</v>
      </c>
      <c r="G300" s="152" t="s">
        <v>1360</v>
      </c>
      <c r="H300" s="109" t="s">
        <v>1361</v>
      </c>
      <c r="I300" s="109" t="s">
        <v>399</v>
      </c>
      <c r="J300" s="109" t="s">
        <v>230</v>
      </c>
      <c r="K300" s="141"/>
      <c r="L300" s="141"/>
      <c r="N300" s="114"/>
      <c r="O300" s="148" t="s">
        <v>1066</v>
      </c>
      <c r="P300" s="154">
        <v>45075.0</v>
      </c>
      <c r="Q300" s="122" t="s">
        <v>689</v>
      </c>
      <c r="R300" s="150" t="s">
        <v>1362</v>
      </c>
      <c r="S300" s="109"/>
      <c r="T300" s="109"/>
      <c r="U300" s="109"/>
      <c r="V300" s="149" t="s">
        <v>316</v>
      </c>
      <c r="W300" s="131"/>
      <c r="X300" s="131"/>
      <c r="Y300" s="131"/>
      <c r="Z300" s="131"/>
      <c r="AA300" s="131"/>
      <c r="AB300" s="139"/>
      <c r="AC300" s="131"/>
    </row>
    <row r="301">
      <c r="A301" s="107">
        <v>2017.0</v>
      </c>
      <c r="B301" s="131"/>
      <c r="C301" s="108">
        <v>45061.6390660301</v>
      </c>
      <c r="D301" s="109" t="s">
        <v>1363</v>
      </c>
      <c r="E301" s="110">
        <v>1.700016022E9</v>
      </c>
      <c r="F301" s="109" t="s">
        <v>1364</v>
      </c>
      <c r="G301" s="111" t="s">
        <v>1365</v>
      </c>
      <c r="H301" s="109" t="s">
        <v>1366</v>
      </c>
      <c r="I301" s="109" t="s">
        <v>399</v>
      </c>
      <c r="J301" s="109" t="s">
        <v>117</v>
      </c>
      <c r="K301" s="141"/>
      <c r="L301" s="141"/>
      <c r="N301" s="114"/>
      <c r="O301" s="107" t="s">
        <v>28</v>
      </c>
      <c r="P301" s="125">
        <v>45079.0</v>
      </c>
      <c r="Q301" s="112" t="s">
        <v>767</v>
      </c>
      <c r="R301" s="130" t="s">
        <v>1342</v>
      </c>
      <c r="S301" s="109"/>
      <c r="T301" s="109"/>
      <c r="U301" s="109"/>
      <c r="V301" s="149" t="s">
        <v>316</v>
      </c>
      <c r="W301" s="131"/>
      <c r="X301" s="131"/>
      <c r="Y301" s="131"/>
      <c r="Z301" s="131"/>
      <c r="AA301" s="131"/>
      <c r="AB301" s="131"/>
      <c r="AC301" s="131"/>
    </row>
    <row r="302">
      <c r="A302" s="107">
        <v>2019.0</v>
      </c>
      <c r="B302" s="131"/>
      <c r="C302" s="108">
        <v>45064.848700856484</v>
      </c>
      <c r="D302" s="109" t="s">
        <v>1367</v>
      </c>
      <c r="E302" s="110">
        <v>1.911016121E9</v>
      </c>
      <c r="F302" s="109" t="s">
        <v>1368</v>
      </c>
      <c r="G302" s="111" t="s">
        <v>1369</v>
      </c>
      <c r="H302" s="109" t="s">
        <v>1370</v>
      </c>
      <c r="I302" s="109" t="s">
        <v>399</v>
      </c>
      <c r="J302" s="112" t="s">
        <v>27</v>
      </c>
      <c r="K302" s="141"/>
      <c r="L302" s="141"/>
      <c r="N302" s="147"/>
      <c r="O302" s="148" t="s">
        <v>72</v>
      </c>
      <c r="P302" s="127">
        <v>45079.0</v>
      </c>
      <c r="Q302" s="122" t="s">
        <v>689</v>
      </c>
      <c r="R302" s="141" t="s">
        <v>1371</v>
      </c>
      <c r="S302" s="109"/>
      <c r="T302" s="109"/>
      <c r="U302" s="109"/>
      <c r="V302" s="149" t="s">
        <v>316</v>
      </c>
      <c r="W302" s="131"/>
      <c r="X302" s="131"/>
      <c r="Y302" s="131"/>
      <c r="Z302" s="131"/>
      <c r="AA302" s="131"/>
      <c r="AB302" s="139"/>
      <c r="AC302" s="131"/>
    </row>
    <row r="303">
      <c r="A303" s="107">
        <v>2016.0</v>
      </c>
      <c r="B303" s="131"/>
      <c r="C303" s="108">
        <v>45065.16539537037</v>
      </c>
      <c r="D303" s="109" t="s">
        <v>1372</v>
      </c>
      <c r="E303" s="110">
        <v>1.600016061E9</v>
      </c>
      <c r="F303" s="109" t="s">
        <v>1373</v>
      </c>
      <c r="G303" s="111" t="s">
        <v>1374</v>
      </c>
      <c r="H303" s="109" t="s">
        <v>1375</v>
      </c>
      <c r="I303" s="109" t="s">
        <v>399</v>
      </c>
      <c r="J303" s="109" t="s">
        <v>117</v>
      </c>
      <c r="K303" s="114"/>
      <c r="L303" s="114"/>
      <c r="N303" s="114"/>
      <c r="O303" s="112" t="s">
        <v>28</v>
      </c>
      <c r="P303" s="125">
        <v>45079.0</v>
      </c>
      <c r="Q303" s="112" t="s">
        <v>772</v>
      </c>
      <c r="R303" s="130" t="s">
        <v>1342</v>
      </c>
      <c r="S303" s="109"/>
      <c r="T303" s="109"/>
      <c r="U303" s="109"/>
      <c r="V303" s="149" t="s">
        <v>316</v>
      </c>
      <c r="W303" s="131"/>
      <c r="X303" s="131"/>
      <c r="Y303" s="131"/>
      <c r="Z303" s="131"/>
      <c r="AA303" s="131"/>
      <c r="AB303" s="131"/>
      <c r="AC303" s="131"/>
    </row>
    <row r="304">
      <c r="A304" s="107">
        <v>2019.0</v>
      </c>
      <c r="B304" s="131"/>
      <c r="C304" s="108">
        <v>45067.08252490741</v>
      </c>
      <c r="D304" s="109" t="s">
        <v>1376</v>
      </c>
      <c r="E304" s="110">
        <v>1.900016095E9</v>
      </c>
      <c r="F304" s="109" t="s">
        <v>1377</v>
      </c>
      <c r="G304" s="111" t="s">
        <v>1378</v>
      </c>
      <c r="H304" s="109" t="s">
        <v>1379</v>
      </c>
      <c r="I304" s="109" t="s">
        <v>399</v>
      </c>
      <c r="J304" s="112" t="s">
        <v>703</v>
      </c>
      <c r="K304" s="141"/>
      <c r="L304" s="141"/>
      <c r="N304" s="147"/>
      <c r="O304" s="148" t="s">
        <v>28</v>
      </c>
      <c r="P304" s="127">
        <v>45079.0</v>
      </c>
      <c r="Q304" s="122" t="s">
        <v>689</v>
      </c>
      <c r="R304" s="156" t="s">
        <v>1380</v>
      </c>
      <c r="S304" s="109"/>
      <c r="T304" s="109"/>
      <c r="U304" s="109"/>
      <c r="V304" s="149" t="s">
        <v>316</v>
      </c>
      <c r="W304" s="131"/>
      <c r="X304" s="131"/>
      <c r="Y304" s="131"/>
      <c r="Z304" s="131"/>
      <c r="AA304" s="131"/>
      <c r="AB304" s="139"/>
      <c r="AC304" s="131"/>
    </row>
    <row r="305">
      <c r="A305" s="107">
        <v>2019.0</v>
      </c>
      <c r="B305" s="131"/>
      <c r="C305" s="108">
        <v>45067.08327912037</v>
      </c>
      <c r="D305" s="109" t="s">
        <v>1381</v>
      </c>
      <c r="E305" s="110">
        <v>1.900016102E9</v>
      </c>
      <c r="F305" s="109" t="s">
        <v>1382</v>
      </c>
      <c r="G305" s="111" t="s">
        <v>1383</v>
      </c>
      <c r="H305" s="109" t="s">
        <v>1384</v>
      </c>
      <c r="I305" s="109" t="s">
        <v>399</v>
      </c>
      <c r="J305" s="112" t="s">
        <v>703</v>
      </c>
      <c r="K305" s="141"/>
      <c r="L305" s="141"/>
      <c r="N305" s="147"/>
      <c r="O305" s="148" t="s">
        <v>28</v>
      </c>
      <c r="P305" s="127">
        <v>45079.0</v>
      </c>
      <c r="Q305" s="122" t="s">
        <v>895</v>
      </c>
      <c r="R305" s="157" t="s">
        <v>1385</v>
      </c>
      <c r="S305" s="109"/>
      <c r="T305" s="109"/>
      <c r="U305" s="109"/>
      <c r="V305" s="149" t="s">
        <v>316</v>
      </c>
      <c r="W305" s="131"/>
      <c r="X305" s="131"/>
      <c r="Y305" s="131"/>
      <c r="Z305" s="131"/>
      <c r="AA305" s="131"/>
      <c r="AB305" s="139"/>
      <c r="AC305" s="131"/>
    </row>
    <row r="306">
      <c r="A306" s="107">
        <v>2019.0</v>
      </c>
      <c r="B306" s="131"/>
      <c r="C306" s="108">
        <v>45067.8061159375</v>
      </c>
      <c r="D306" s="109" t="s">
        <v>1386</v>
      </c>
      <c r="E306" s="110">
        <v>1.900016068E9</v>
      </c>
      <c r="F306" s="109" t="s">
        <v>1387</v>
      </c>
      <c r="G306" s="111" t="s">
        <v>1388</v>
      </c>
      <c r="H306" s="109" t="s">
        <v>1389</v>
      </c>
      <c r="I306" s="109" t="s">
        <v>399</v>
      </c>
      <c r="J306" s="109" t="s">
        <v>230</v>
      </c>
      <c r="K306" s="141"/>
      <c r="L306" s="141"/>
      <c r="N306" s="114"/>
      <c r="O306" s="130" t="s">
        <v>1066</v>
      </c>
      <c r="P306" s="154">
        <v>45075.0</v>
      </c>
      <c r="Q306" s="122" t="s">
        <v>895</v>
      </c>
      <c r="R306" s="153" t="s">
        <v>1390</v>
      </c>
      <c r="S306" s="109"/>
      <c r="T306" s="109"/>
      <c r="U306" s="109"/>
      <c r="V306" s="149" t="s">
        <v>316</v>
      </c>
      <c r="W306" s="131"/>
      <c r="X306" s="131"/>
      <c r="Y306" s="131"/>
      <c r="Z306" s="131"/>
      <c r="AA306" s="131"/>
      <c r="AB306" s="139"/>
      <c r="AC306" s="131"/>
    </row>
    <row r="307">
      <c r="A307" s="158">
        <v>2019.0</v>
      </c>
      <c r="B307" s="159"/>
      <c r="C307" s="160">
        <v>45069.29208158565</v>
      </c>
      <c r="D307" s="161" t="s">
        <v>1391</v>
      </c>
      <c r="E307" s="162">
        <v>1.90001614E9</v>
      </c>
      <c r="F307" s="161" t="s">
        <v>1392</v>
      </c>
      <c r="G307" s="163" t="s">
        <v>1393</v>
      </c>
      <c r="H307" s="161" t="s">
        <v>1394</v>
      </c>
      <c r="I307" s="161" t="s">
        <v>399</v>
      </c>
      <c r="J307" s="164" t="s">
        <v>27</v>
      </c>
      <c r="K307" s="165"/>
      <c r="L307" s="165"/>
      <c r="N307" s="166"/>
      <c r="O307" s="167" t="s">
        <v>28</v>
      </c>
      <c r="P307" s="168">
        <v>45077.0</v>
      </c>
      <c r="Q307" s="169" t="s">
        <v>1395</v>
      </c>
      <c r="R307" s="165" t="s">
        <v>1396</v>
      </c>
      <c r="S307" s="161"/>
      <c r="T307" s="161"/>
      <c r="U307" s="161"/>
      <c r="V307" s="170" t="s">
        <v>316</v>
      </c>
      <c r="W307" s="159"/>
      <c r="X307" s="159"/>
      <c r="Y307" s="159"/>
      <c r="Z307" s="159"/>
      <c r="AA307" s="159"/>
      <c r="AB307" s="171"/>
      <c r="AC307" s="159"/>
    </row>
    <row r="308">
      <c r="A308" s="107">
        <v>2019.0</v>
      </c>
      <c r="B308" s="131"/>
      <c r="C308" s="108">
        <v>45070.83678155093</v>
      </c>
      <c r="D308" s="109" t="s">
        <v>1397</v>
      </c>
      <c r="E308" s="110">
        <v>1.900016158E9</v>
      </c>
      <c r="F308" s="109" t="s">
        <v>1398</v>
      </c>
      <c r="G308" s="111" t="s">
        <v>1399</v>
      </c>
      <c r="H308" s="109" t="s">
        <v>1400</v>
      </c>
      <c r="I308" s="109" t="s">
        <v>399</v>
      </c>
      <c r="J308" s="109" t="s">
        <v>747</v>
      </c>
      <c r="K308" s="141"/>
      <c r="L308" s="141"/>
      <c r="N308" s="147"/>
      <c r="O308" s="148" t="s">
        <v>28</v>
      </c>
      <c r="P308" s="127">
        <v>45080.0</v>
      </c>
      <c r="Q308" s="122" t="s">
        <v>680</v>
      </c>
      <c r="R308" s="141" t="s">
        <v>1401</v>
      </c>
      <c r="S308" s="109"/>
      <c r="T308" s="109"/>
      <c r="U308" s="109"/>
      <c r="V308" s="149" t="s">
        <v>316</v>
      </c>
      <c r="W308" s="131"/>
      <c r="X308" s="131"/>
      <c r="Y308" s="131"/>
      <c r="Z308" s="131"/>
      <c r="AA308" s="131"/>
      <c r="AB308" s="139"/>
      <c r="AC308" s="131"/>
    </row>
    <row r="309">
      <c r="A309" s="107">
        <v>2019.0</v>
      </c>
      <c r="B309" s="131"/>
      <c r="C309" s="108">
        <v>45070.88659523148</v>
      </c>
      <c r="D309" s="109" t="s">
        <v>1402</v>
      </c>
      <c r="E309" s="110">
        <v>1.900016113E9</v>
      </c>
      <c r="F309" s="109" t="s">
        <v>1403</v>
      </c>
      <c r="G309" s="111" t="s">
        <v>1404</v>
      </c>
      <c r="H309" s="109" t="s">
        <v>1405</v>
      </c>
      <c r="I309" s="109" t="s">
        <v>399</v>
      </c>
      <c r="J309" s="109" t="s">
        <v>241</v>
      </c>
      <c r="K309" s="141"/>
      <c r="L309" s="141"/>
      <c r="N309" s="147"/>
      <c r="O309" s="148" t="s">
        <v>72</v>
      </c>
      <c r="P309" s="127">
        <v>45080.0</v>
      </c>
      <c r="Q309" s="122" t="s">
        <v>767</v>
      </c>
      <c r="R309" s="141" t="s">
        <v>1406</v>
      </c>
      <c r="S309" s="109"/>
      <c r="T309" s="109"/>
      <c r="U309" s="109"/>
      <c r="V309" s="149" t="s">
        <v>316</v>
      </c>
      <c r="W309" s="131"/>
      <c r="X309" s="131"/>
      <c r="Y309" s="131"/>
      <c r="Z309" s="131"/>
      <c r="AA309" s="131"/>
      <c r="AB309" s="139"/>
      <c r="AC309" s="131"/>
    </row>
    <row r="310">
      <c r="A310" s="107">
        <v>2019.0</v>
      </c>
      <c r="B310" s="131"/>
      <c r="C310" s="108">
        <v>45070.88659987268</v>
      </c>
      <c r="D310" s="109" t="s">
        <v>1407</v>
      </c>
      <c r="E310" s="110">
        <v>1.900016126E9</v>
      </c>
      <c r="F310" s="109" t="s">
        <v>1408</v>
      </c>
      <c r="G310" s="111" t="s">
        <v>1409</v>
      </c>
      <c r="H310" s="109" t="s">
        <v>1410</v>
      </c>
      <c r="I310" s="109" t="s">
        <v>399</v>
      </c>
      <c r="J310" s="109" t="s">
        <v>117</v>
      </c>
      <c r="K310" s="141"/>
      <c r="L310" s="141"/>
      <c r="N310" s="147"/>
      <c r="O310" s="148" t="s">
        <v>28</v>
      </c>
      <c r="P310" s="127">
        <v>45080.0</v>
      </c>
      <c r="Q310" s="122" t="s">
        <v>772</v>
      </c>
      <c r="R310" s="141" t="s">
        <v>1411</v>
      </c>
      <c r="S310" s="109"/>
      <c r="T310" s="109"/>
      <c r="U310" s="109"/>
      <c r="V310" s="149" t="s">
        <v>316</v>
      </c>
      <c r="W310" s="131"/>
      <c r="X310" s="131"/>
      <c r="Y310" s="131"/>
      <c r="Z310" s="131"/>
      <c r="AA310" s="131"/>
      <c r="AB310" s="139"/>
      <c r="AC310" s="131"/>
    </row>
    <row r="311">
      <c r="A311" s="107">
        <v>2019.0</v>
      </c>
      <c r="B311" s="131"/>
      <c r="C311" s="108">
        <v>45072.08187594908</v>
      </c>
      <c r="D311" s="109" t="s">
        <v>1412</v>
      </c>
      <c r="E311" s="110">
        <v>1.900016053E9</v>
      </c>
      <c r="F311" s="109" t="s">
        <v>1413</v>
      </c>
      <c r="G311" s="111" t="s">
        <v>1414</v>
      </c>
      <c r="H311" s="109" t="s">
        <v>1415</v>
      </c>
      <c r="I311" s="109" t="s">
        <v>399</v>
      </c>
      <c r="J311" s="109" t="s">
        <v>117</v>
      </c>
      <c r="K311" s="141"/>
      <c r="L311" s="141"/>
      <c r="N311" s="147"/>
      <c r="O311" s="148" t="s">
        <v>703</v>
      </c>
      <c r="P311" s="127">
        <v>45080.0</v>
      </c>
      <c r="Q311" s="122" t="s">
        <v>694</v>
      </c>
      <c r="R311" s="141" t="s">
        <v>1416</v>
      </c>
      <c r="S311" s="109"/>
      <c r="T311" s="109"/>
      <c r="U311" s="109"/>
      <c r="V311" s="149" t="s">
        <v>316</v>
      </c>
      <c r="W311" s="131"/>
      <c r="X311" s="131"/>
      <c r="Y311" s="131"/>
      <c r="Z311" s="131"/>
      <c r="AA311" s="131"/>
      <c r="AB311" s="139"/>
      <c r="AC311" s="131"/>
    </row>
    <row r="312" ht="16.5" customHeight="1">
      <c r="A312" s="107">
        <v>2019.0</v>
      </c>
      <c r="B312" s="131"/>
      <c r="C312" s="108">
        <v>45072.10086501157</v>
      </c>
      <c r="D312" s="109" t="s">
        <v>1417</v>
      </c>
      <c r="E312" s="110">
        <v>1.900016001E9</v>
      </c>
      <c r="F312" s="109" t="s">
        <v>1418</v>
      </c>
      <c r="G312" s="111" t="s">
        <v>1419</v>
      </c>
      <c r="H312" s="109" t="s">
        <v>1420</v>
      </c>
      <c r="I312" s="109" t="s">
        <v>399</v>
      </c>
      <c r="J312" s="112" t="s">
        <v>39</v>
      </c>
      <c r="K312" s="141"/>
      <c r="L312" s="141"/>
      <c r="N312" s="147"/>
      <c r="O312" s="148" t="s">
        <v>1066</v>
      </c>
      <c r="P312" s="127">
        <v>45077.0</v>
      </c>
      <c r="Q312" s="122" t="s">
        <v>698</v>
      </c>
      <c r="R312" s="141" t="s">
        <v>1421</v>
      </c>
      <c r="S312" s="109"/>
      <c r="T312" s="109"/>
      <c r="U312" s="109"/>
      <c r="V312" s="149" t="s">
        <v>316</v>
      </c>
      <c r="W312" s="131"/>
      <c r="X312" s="131"/>
      <c r="Y312" s="131"/>
      <c r="Z312" s="131"/>
      <c r="AA312" s="131"/>
      <c r="AB312" s="139"/>
      <c r="AC312" s="131"/>
    </row>
    <row r="313">
      <c r="A313" s="107">
        <v>2019.0</v>
      </c>
      <c r="B313" s="131"/>
      <c r="C313" s="108">
        <v>45072.74710357639</v>
      </c>
      <c r="D313" s="109" t="s">
        <v>1422</v>
      </c>
      <c r="E313" s="110">
        <v>1.900016189E9</v>
      </c>
      <c r="F313" s="109" t="s">
        <v>1423</v>
      </c>
      <c r="G313" s="111" t="s">
        <v>1424</v>
      </c>
      <c r="H313" s="109" t="s">
        <v>1425</v>
      </c>
      <c r="I313" s="109" t="s">
        <v>399</v>
      </c>
      <c r="J313" s="109" t="s">
        <v>117</v>
      </c>
      <c r="K313" s="141"/>
      <c r="L313" s="141"/>
      <c r="N313" s="147"/>
      <c r="O313" s="148" t="s">
        <v>703</v>
      </c>
      <c r="P313" s="127">
        <v>45080.0</v>
      </c>
      <c r="Q313" s="122" t="s">
        <v>689</v>
      </c>
      <c r="R313" s="141" t="s">
        <v>1426</v>
      </c>
      <c r="S313" s="109"/>
      <c r="T313" s="109"/>
      <c r="U313" s="109"/>
      <c r="V313" s="149" t="s">
        <v>316</v>
      </c>
      <c r="W313" s="131"/>
      <c r="X313" s="131"/>
      <c r="Y313" s="131"/>
      <c r="Z313" s="131"/>
      <c r="AA313" s="131"/>
      <c r="AB313" s="139"/>
      <c r="AC313" s="131"/>
    </row>
    <row r="314">
      <c r="A314" s="107">
        <v>2019.0</v>
      </c>
      <c r="B314" s="131"/>
      <c r="C314" s="108">
        <v>45075.94411408565</v>
      </c>
      <c r="D314" s="109" t="s">
        <v>1427</v>
      </c>
      <c r="E314" s="110">
        <v>1.900016161E9</v>
      </c>
      <c r="F314" s="109" t="s">
        <v>1428</v>
      </c>
      <c r="G314" s="111" t="s">
        <v>1429</v>
      </c>
      <c r="H314" s="109" t="s">
        <v>1430</v>
      </c>
      <c r="I314" s="109" t="s">
        <v>399</v>
      </c>
      <c r="J314" s="172" t="s">
        <v>747</v>
      </c>
      <c r="K314" s="141"/>
      <c r="L314" s="141"/>
      <c r="N314" s="147"/>
      <c r="O314" s="148" t="s">
        <v>28</v>
      </c>
      <c r="P314" s="127">
        <v>45083.0</v>
      </c>
      <c r="Q314" s="122" t="s">
        <v>1431</v>
      </c>
      <c r="R314" s="141" t="s">
        <v>1432</v>
      </c>
      <c r="S314" s="109"/>
      <c r="T314" s="109"/>
      <c r="U314" s="109"/>
      <c r="V314" s="149" t="s">
        <v>316</v>
      </c>
      <c r="W314" s="131"/>
      <c r="X314" s="131"/>
      <c r="Y314" s="131"/>
      <c r="Z314" s="131"/>
      <c r="AA314" s="131"/>
      <c r="AB314" s="139"/>
      <c r="AC314" s="131"/>
    </row>
    <row r="315">
      <c r="A315" s="107">
        <v>2019.0</v>
      </c>
      <c r="B315" s="131"/>
      <c r="C315" s="108">
        <v>45077.134596331016</v>
      </c>
      <c r="D315" s="109" t="s">
        <v>1433</v>
      </c>
      <c r="E315" s="110">
        <v>1.900016098E9</v>
      </c>
      <c r="F315" s="109" t="s">
        <v>1434</v>
      </c>
      <c r="G315" s="111" t="s">
        <v>1435</v>
      </c>
      <c r="H315" s="109" t="s">
        <v>1436</v>
      </c>
      <c r="I315" s="109" t="s">
        <v>399</v>
      </c>
      <c r="J315" s="112" t="s">
        <v>27</v>
      </c>
      <c r="K315" s="141"/>
      <c r="L315" s="141"/>
      <c r="N315" s="147"/>
      <c r="O315" s="148" t="s">
        <v>123</v>
      </c>
      <c r="P315" s="127">
        <v>45083.0</v>
      </c>
      <c r="Q315" s="122" t="s">
        <v>1431</v>
      </c>
      <c r="R315" s="141" t="s">
        <v>1437</v>
      </c>
      <c r="S315" s="109"/>
      <c r="T315" s="109"/>
      <c r="U315" s="109"/>
      <c r="V315" s="149" t="s">
        <v>316</v>
      </c>
      <c r="W315" s="131"/>
      <c r="X315" s="131"/>
      <c r="Y315" s="131"/>
      <c r="Z315" s="131"/>
      <c r="AA315" s="131"/>
      <c r="AB315" s="139"/>
      <c r="AC315" s="131"/>
    </row>
    <row r="316">
      <c r="A316" s="107">
        <v>2019.0</v>
      </c>
      <c r="B316" s="131"/>
      <c r="C316" s="108">
        <v>45082.37782760417</v>
      </c>
      <c r="D316" s="109" t="s">
        <v>1438</v>
      </c>
      <c r="E316" s="110">
        <v>1.900016044E9</v>
      </c>
      <c r="F316" s="109" t="s">
        <v>1439</v>
      </c>
      <c r="G316" s="111" t="s">
        <v>1440</v>
      </c>
      <c r="H316" s="109" t="s">
        <v>1441</v>
      </c>
      <c r="I316" s="109" t="s">
        <v>399</v>
      </c>
      <c r="J316" s="109" t="s">
        <v>117</v>
      </c>
      <c r="K316" s="141"/>
      <c r="L316" s="139"/>
      <c r="N316" s="131"/>
      <c r="O316" s="148" t="s">
        <v>1066</v>
      </c>
      <c r="P316" s="127">
        <v>45090.0</v>
      </c>
      <c r="Q316" s="122" t="s">
        <v>680</v>
      </c>
      <c r="R316" s="141" t="s">
        <v>1442</v>
      </c>
      <c r="S316" s="109"/>
      <c r="T316" s="109"/>
      <c r="U316" s="109"/>
      <c r="V316" s="149" t="s">
        <v>316</v>
      </c>
      <c r="W316" s="131"/>
      <c r="X316" s="131"/>
      <c r="Y316" s="131"/>
      <c r="Z316" s="131"/>
      <c r="AA316" s="131"/>
      <c r="AB316" s="139"/>
      <c r="AC316" s="131"/>
    </row>
    <row r="317">
      <c r="A317" s="107">
        <v>2019.0</v>
      </c>
      <c r="B317" s="131"/>
      <c r="C317" s="108">
        <v>45084.0031709375</v>
      </c>
      <c r="D317" s="109" t="s">
        <v>1443</v>
      </c>
      <c r="E317" s="110">
        <v>1.900016111E9</v>
      </c>
      <c r="F317" s="109" t="s">
        <v>1444</v>
      </c>
      <c r="G317" s="111" t="s">
        <v>1445</v>
      </c>
      <c r="H317" s="109" t="s">
        <v>1446</v>
      </c>
      <c r="I317" s="109" t="s">
        <v>399</v>
      </c>
      <c r="J317" s="109" t="s">
        <v>241</v>
      </c>
      <c r="K317" s="141"/>
      <c r="L317" s="139"/>
      <c r="N317" s="131"/>
      <c r="O317" s="148" t="s">
        <v>72</v>
      </c>
      <c r="P317" s="127">
        <v>45090.0</v>
      </c>
      <c r="Q317" s="122" t="s">
        <v>767</v>
      </c>
      <c r="R317" s="141" t="s">
        <v>1447</v>
      </c>
      <c r="S317" s="109"/>
      <c r="T317" s="109"/>
      <c r="U317" s="109"/>
      <c r="V317" s="149" t="s">
        <v>316</v>
      </c>
      <c r="W317" s="131"/>
      <c r="X317" s="131"/>
      <c r="Y317" s="131"/>
      <c r="Z317" s="131"/>
      <c r="AA317" s="131"/>
      <c r="AB317" s="139"/>
      <c r="AC317" s="131"/>
    </row>
    <row r="318">
      <c r="A318" s="107">
        <v>2019.0</v>
      </c>
      <c r="B318" s="131"/>
      <c r="C318" s="108">
        <v>45084.91151186342</v>
      </c>
      <c r="D318" s="109" t="s">
        <v>1448</v>
      </c>
      <c r="E318" s="110">
        <v>1.900016036E9</v>
      </c>
      <c r="F318" s="109" t="s">
        <v>1449</v>
      </c>
      <c r="G318" s="111" t="s">
        <v>1450</v>
      </c>
      <c r="H318" s="109" t="s">
        <v>1451</v>
      </c>
      <c r="I318" s="109" t="s">
        <v>399</v>
      </c>
      <c r="J318" s="109" t="s">
        <v>183</v>
      </c>
      <c r="K318" s="141"/>
      <c r="L318" s="141"/>
      <c r="N318" s="147"/>
      <c r="O318" s="148" t="s">
        <v>123</v>
      </c>
      <c r="P318" s="127">
        <v>45090.0</v>
      </c>
      <c r="Q318" s="122" t="s">
        <v>772</v>
      </c>
      <c r="R318" s="141" t="s">
        <v>1452</v>
      </c>
      <c r="S318" s="109"/>
      <c r="T318" s="109"/>
      <c r="U318" s="109"/>
      <c r="V318" s="149" t="s">
        <v>316</v>
      </c>
      <c r="W318" s="131"/>
      <c r="X318" s="131"/>
      <c r="Y318" s="131"/>
      <c r="Z318" s="131"/>
      <c r="AA318" s="131"/>
      <c r="AB318" s="139"/>
      <c r="AC318" s="131"/>
    </row>
    <row r="319">
      <c r="A319" s="107">
        <v>2019.0</v>
      </c>
      <c r="B319" s="131"/>
      <c r="C319" s="108">
        <v>45085.34878349537</v>
      </c>
      <c r="D319" s="109" t="s">
        <v>1453</v>
      </c>
      <c r="E319" s="110">
        <v>1.900016171E9</v>
      </c>
      <c r="F319" s="109" t="s">
        <v>1454</v>
      </c>
      <c r="G319" s="111" t="s">
        <v>1455</v>
      </c>
      <c r="H319" s="109" t="s">
        <v>1456</v>
      </c>
      <c r="I319" s="109" t="s">
        <v>399</v>
      </c>
      <c r="J319" s="112" t="s">
        <v>703</v>
      </c>
      <c r="K319" s="141"/>
      <c r="L319" s="141"/>
      <c r="N319" s="147"/>
      <c r="O319" s="148" t="s">
        <v>72</v>
      </c>
      <c r="P319" s="127">
        <v>45090.0</v>
      </c>
      <c r="Q319" s="122" t="s">
        <v>689</v>
      </c>
      <c r="R319" s="141" t="s">
        <v>1457</v>
      </c>
      <c r="S319" s="109"/>
      <c r="T319" s="109"/>
      <c r="U319" s="109"/>
      <c r="V319" s="149" t="s">
        <v>316</v>
      </c>
      <c r="W319" s="131"/>
      <c r="X319" s="131"/>
      <c r="Y319" s="131"/>
      <c r="Z319" s="131"/>
      <c r="AA319" s="131"/>
      <c r="AB319" s="139"/>
      <c r="AC319" s="131"/>
    </row>
    <row r="320">
      <c r="A320" s="107">
        <v>2019.0</v>
      </c>
      <c r="B320" s="131"/>
      <c r="C320" s="108">
        <v>45086.783196805554</v>
      </c>
      <c r="D320" s="109" t="s">
        <v>1458</v>
      </c>
      <c r="E320" s="110">
        <v>1.900016054E9</v>
      </c>
      <c r="F320" s="109" t="s">
        <v>1459</v>
      </c>
      <c r="G320" s="111" t="s">
        <v>1460</v>
      </c>
      <c r="H320" s="109" t="s">
        <v>1461</v>
      </c>
      <c r="I320" s="109" t="s">
        <v>399</v>
      </c>
      <c r="J320" s="109" t="s">
        <v>117</v>
      </c>
      <c r="K320" s="141"/>
      <c r="L320" s="141"/>
      <c r="N320" s="147"/>
      <c r="O320" s="148" t="s">
        <v>28</v>
      </c>
      <c r="P320" s="127">
        <v>45093.0</v>
      </c>
      <c r="Q320" s="122" t="s">
        <v>1187</v>
      </c>
      <c r="R320" s="141" t="s">
        <v>1462</v>
      </c>
      <c r="S320" s="109"/>
      <c r="T320" s="109"/>
      <c r="U320" s="109"/>
      <c r="V320" s="149" t="s">
        <v>316</v>
      </c>
      <c r="W320" s="131"/>
      <c r="X320" s="131"/>
      <c r="Y320" s="131"/>
      <c r="Z320" s="131"/>
      <c r="AA320" s="131"/>
      <c r="AB320" s="139"/>
      <c r="AC320" s="131"/>
    </row>
    <row r="321">
      <c r="A321" s="107">
        <v>2019.0</v>
      </c>
      <c r="B321" s="131"/>
      <c r="C321" s="108">
        <v>45089.01750578704</v>
      </c>
      <c r="D321" s="109" t="s">
        <v>1463</v>
      </c>
      <c r="E321" s="110">
        <v>1.900016138E9</v>
      </c>
      <c r="F321" s="109" t="s">
        <v>1464</v>
      </c>
      <c r="G321" s="111" t="s">
        <v>1465</v>
      </c>
      <c r="H321" s="109" t="s">
        <v>1466</v>
      </c>
      <c r="I321" s="109" t="s">
        <v>399</v>
      </c>
      <c r="J321" s="112" t="s">
        <v>27</v>
      </c>
      <c r="K321" s="141"/>
      <c r="L321" s="141"/>
      <c r="N321" s="147"/>
      <c r="O321" s="148" t="s">
        <v>123</v>
      </c>
      <c r="P321" s="127">
        <v>45094.0</v>
      </c>
      <c r="Q321" s="122" t="s">
        <v>698</v>
      </c>
      <c r="R321" s="141" t="s">
        <v>1467</v>
      </c>
      <c r="S321" s="109"/>
      <c r="T321" s="109"/>
      <c r="U321" s="109"/>
      <c r="V321" s="149" t="s">
        <v>316</v>
      </c>
      <c r="W321" s="131"/>
      <c r="X321" s="131"/>
      <c r="Y321" s="131"/>
      <c r="Z321" s="131"/>
      <c r="AA321" s="131"/>
      <c r="AB321" s="139"/>
      <c r="AC321" s="131"/>
    </row>
    <row r="322">
      <c r="A322" s="107">
        <v>2019.0</v>
      </c>
      <c r="B322" s="131"/>
      <c r="C322" s="108">
        <v>45084.00315038195</v>
      </c>
      <c r="D322" s="109" t="s">
        <v>1468</v>
      </c>
      <c r="E322" s="110">
        <v>1.915016176E9</v>
      </c>
      <c r="F322" s="109" t="s">
        <v>1469</v>
      </c>
      <c r="G322" s="111" t="s">
        <v>1470</v>
      </c>
      <c r="H322" s="109" t="s">
        <v>1471</v>
      </c>
      <c r="I322" s="109" t="s">
        <v>399</v>
      </c>
      <c r="J322" s="109" t="s">
        <v>241</v>
      </c>
      <c r="K322" s="141"/>
      <c r="L322" s="148"/>
      <c r="N322" s="107"/>
      <c r="O322" s="133" t="s">
        <v>1066</v>
      </c>
      <c r="P322" s="127">
        <v>45094.0</v>
      </c>
      <c r="Q322" s="134" t="s">
        <v>1341</v>
      </c>
      <c r="R322" s="150" t="s">
        <v>1472</v>
      </c>
      <c r="S322" s="131"/>
      <c r="T322" s="131"/>
      <c r="U322" s="131"/>
      <c r="V322" s="138" t="s">
        <v>316</v>
      </c>
      <c r="W322" s="131"/>
      <c r="X322" s="131"/>
      <c r="Y322" s="131"/>
      <c r="Z322" s="131"/>
      <c r="AA322" s="131"/>
      <c r="AB322" s="139"/>
      <c r="AC322" s="131"/>
    </row>
    <row r="323">
      <c r="A323" s="107">
        <v>2018.0</v>
      </c>
      <c r="B323" s="131"/>
      <c r="C323" s="108">
        <v>45090.069669537035</v>
      </c>
      <c r="D323" s="109" t="s">
        <v>1091</v>
      </c>
      <c r="E323" s="110">
        <v>1.800016129E9</v>
      </c>
      <c r="F323" s="109" t="s">
        <v>1092</v>
      </c>
      <c r="G323" s="111" t="s">
        <v>1093</v>
      </c>
      <c r="H323" s="109" t="s">
        <v>1473</v>
      </c>
      <c r="I323" s="109" t="s">
        <v>399</v>
      </c>
      <c r="J323" s="112" t="s">
        <v>569</v>
      </c>
      <c r="K323" s="141"/>
      <c r="L323" s="141"/>
      <c r="N323" s="114"/>
      <c r="O323" s="133" t="s">
        <v>703</v>
      </c>
      <c r="P323" s="140">
        <v>45097.0</v>
      </c>
      <c r="Q323" s="134" t="s">
        <v>689</v>
      </c>
      <c r="R323" s="139"/>
      <c r="S323" s="131"/>
      <c r="T323" s="131"/>
      <c r="U323" s="131"/>
      <c r="V323" s="138" t="s">
        <v>316</v>
      </c>
      <c r="W323" s="131"/>
      <c r="X323" s="131"/>
      <c r="Y323" s="131"/>
      <c r="Z323" s="131"/>
      <c r="AA323" s="131"/>
      <c r="AB323" s="139"/>
      <c r="AC323" s="131"/>
    </row>
    <row r="324">
      <c r="A324" s="107">
        <v>2018.0</v>
      </c>
      <c r="B324" s="131"/>
      <c r="C324" s="108">
        <v>45090.11965793982</v>
      </c>
      <c r="D324" s="109" t="s">
        <v>1474</v>
      </c>
      <c r="E324" s="110">
        <v>1.800016156E9</v>
      </c>
      <c r="F324" s="109" t="s">
        <v>1475</v>
      </c>
      <c r="G324" s="111" t="s">
        <v>1476</v>
      </c>
      <c r="H324" s="109" t="s">
        <v>1477</v>
      </c>
      <c r="I324" s="109" t="s">
        <v>399</v>
      </c>
      <c r="J324" s="112" t="s">
        <v>569</v>
      </c>
      <c r="K324" s="141"/>
      <c r="L324" s="141"/>
      <c r="N324" s="114"/>
      <c r="O324" s="133" t="s">
        <v>703</v>
      </c>
      <c r="P324" s="140">
        <v>45097.0</v>
      </c>
      <c r="Q324" s="134" t="s">
        <v>895</v>
      </c>
      <c r="R324" s="139"/>
      <c r="S324" s="131"/>
      <c r="T324" s="131"/>
      <c r="U324" s="131"/>
      <c r="V324" s="138" t="s">
        <v>316</v>
      </c>
      <c r="W324" s="131"/>
      <c r="X324" s="131"/>
      <c r="Y324" s="131"/>
      <c r="Z324" s="131"/>
      <c r="AA324" s="131"/>
      <c r="AB324" s="139"/>
      <c r="AC324" s="131"/>
    </row>
    <row r="325">
      <c r="A325" s="107">
        <v>2019.0</v>
      </c>
      <c r="B325" s="131"/>
      <c r="C325" s="108">
        <v>45090.261018634264</v>
      </c>
      <c r="D325" s="109" t="s">
        <v>1478</v>
      </c>
      <c r="E325" s="110">
        <v>1.900016152E9</v>
      </c>
      <c r="F325" s="109" t="s">
        <v>1479</v>
      </c>
      <c r="G325" s="111" t="s">
        <v>1480</v>
      </c>
      <c r="H325" s="109" t="s">
        <v>1481</v>
      </c>
      <c r="I325" s="109" t="s">
        <v>399</v>
      </c>
      <c r="J325" s="112" t="s">
        <v>27</v>
      </c>
      <c r="K325" s="141"/>
      <c r="L325" s="141"/>
      <c r="N325" s="147"/>
      <c r="O325" s="133" t="s">
        <v>72</v>
      </c>
      <c r="P325" s="140">
        <v>45096.0</v>
      </c>
      <c r="Q325" s="134" t="s">
        <v>680</v>
      </c>
      <c r="R325" s="150" t="s">
        <v>1482</v>
      </c>
      <c r="S325" s="131"/>
      <c r="T325" s="131"/>
      <c r="U325" s="131"/>
      <c r="V325" s="138" t="s">
        <v>316</v>
      </c>
      <c r="W325" s="131"/>
      <c r="X325" s="131"/>
      <c r="Y325" s="131"/>
      <c r="Z325" s="131"/>
      <c r="AA325" s="131"/>
      <c r="AB325" s="139"/>
      <c r="AC325" s="131"/>
    </row>
    <row r="326">
      <c r="A326" s="107">
        <v>2019.0</v>
      </c>
      <c r="B326" s="131"/>
      <c r="C326" s="173">
        <v>45093.92750903936</v>
      </c>
      <c r="D326" s="174" t="s">
        <v>1483</v>
      </c>
      <c r="E326" s="175">
        <v>1.900016183E9</v>
      </c>
      <c r="F326" s="174" t="s">
        <v>1484</v>
      </c>
      <c r="G326" s="176" t="s">
        <v>1485</v>
      </c>
      <c r="H326" s="174" t="s">
        <v>1486</v>
      </c>
      <c r="I326" s="174" t="s">
        <v>399</v>
      </c>
      <c r="J326" s="174" t="s">
        <v>117</v>
      </c>
      <c r="K326" s="177"/>
      <c r="L326" s="178"/>
      <c r="N326" s="178"/>
      <c r="O326" s="133" t="s">
        <v>703</v>
      </c>
      <c r="P326" s="140">
        <v>45100.0</v>
      </c>
      <c r="Q326" s="134" t="s">
        <v>895</v>
      </c>
      <c r="R326" s="148" t="s">
        <v>1487</v>
      </c>
      <c r="S326" s="131"/>
      <c r="T326" s="131"/>
      <c r="U326" s="131"/>
      <c r="V326" s="138" t="s">
        <v>316</v>
      </c>
      <c r="W326" s="131"/>
      <c r="X326" s="131"/>
      <c r="Y326" s="131"/>
      <c r="Z326" s="131"/>
      <c r="AA326" s="131"/>
      <c r="AB326" s="139"/>
      <c r="AC326" s="131"/>
    </row>
    <row r="327">
      <c r="A327" s="179">
        <v>2019.0</v>
      </c>
      <c r="B327" s="180"/>
      <c r="C327" s="181">
        <v>45094.19560210648</v>
      </c>
      <c r="D327" s="180" t="s">
        <v>1488</v>
      </c>
      <c r="E327" s="182">
        <v>1.900016101E9</v>
      </c>
      <c r="F327" s="180" t="s">
        <v>1489</v>
      </c>
      <c r="G327" s="180" t="s">
        <v>1490</v>
      </c>
      <c r="H327" s="180" t="s">
        <v>1491</v>
      </c>
      <c r="I327" s="180" t="s">
        <v>399</v>
      </c>
      <c r="J327" s="180" t="s">
        <v>183</v>
      </c>
      <c r="K327" s="177"/>
      <c r="L327" s="177"/>
      <c r="N327" s="180"/>
      <c r="O327" s="133" t="s">
        <v>72</v>
      </c>
      <c r="P327" s="183">
        <v>45103.0</v>
      </c>
      <c r="Q327" s="184" t="s">
        <v>1431</v>
      </c>
      <c r="R327" s="185" t="s">
        <v>1492</v>
      </c>
      <c r="S327" s="180"/>
      <c r="T327" s="180"/>
      <c r="U327" s="180"/>
      <c r="V327" s="186" t="s">
        <v>316</v>
      </c>
      <c r="W327" s="180"/>
      <c r="X327" s="180"/>
      <c r="Y327" s="180"/>
      <c r="Z327" s="180"/>
      <c r="AA327" s="180"/>
      <c r="AB327" s="177"/>
      <c r="AC327" s="180"/>
    </row>
    <row r="328">
      <c r="A328" s="107">
        <v>2019.0</v>
      </c>
      <c r="B328" s="131"/>
      <c r="C328" s="187">
        <v>45095.9700297338</v>
      </c>
      <c r="D328" s="188" t="s">
        <v>1493</v>
      </c>
      <c r="E328" s="189">
        <v>1.900016128E9</v>
      </c>
      <c r="F328" s="188" t="s">
        <v>1494</v>
      </c>
      <c r="G328" s="188" t="s">
        <v>1495</v>
      </c>
      <c r="H328" s="188" t="s">
        <v>1496</v>
      </c>
      <c r="I328" s="188" t="s">
        <v>399</v>
      </c>
      <c r="J328" s="188" t="s">
        <v>241</v>
      </c>
      <c r="K328" s="139"/>
      <c r="L328" s="139"/>
      <c r="N328" s="188"/>
      <c r="O328" s="148" t="s">
        <v>352</v>
      </c>
      <c r="P328" s="183">
        <v>45110.0</v>
      </c>
      <c r="Q328" s="134" t="s">
        <v>1028</v>
      </c>
      <c r="R328" s="190" t="s">
        <v>1497</v>
      </c>
      <c r="S328" s="131"/>
      <c r="T328" s="131"/>
      <c r="U328" s="131"/>
      <c r="V328" s="138" t="s">
        <v>316</v>
      </c>
      <c r="W328" s="131"/>
      <c r="X328" s="131"/>
      <c r="Y328" s="131"/>
      <c r="Z328" s="131"/>
      <c r="AA328" s="131"/>
      <c r="AB328" s="139"/>
      <c r="AC328" s="131"/>
    </row>
    <row r="329" ht="26.25" customHeight="1">
      <c r="A329" s="134">
        <v>2019.0</v>
      </c>
      <c r="B329" s="191"/>
      <c r="C329" s="192">
        <v>45098.13290418981</v>
      </c>
      <c r="D329" s="191" t="s">
        <v>1498</v>
      </c>
      <c r="E329" s="193">
        <v>1.900016141E9</v>
      </c>
      <c r="F329" s="191" t="s">
        <v>1499</v>
      </c>
      <c r="G329" s="191" t="s">
        <v>1500</v>
      </c>
      <c r="H329" s="191" t="s">
        <v>1501</v>
      </c>
      <c r="I329" s="191" t="s">
        <v>399</v>
      </c>
      <c r="J329" s="191" t="s">
        <v>117</v>
      </c>
      <c r="K329" s="194"/>
      <c r="L329" s="195"/>
      <c r="N329" s="134"/>
      <c r="O329" s="195" t="s">
        <v>703</v>
      </c>
      <c r="P329" s="196">
        <v>45111.0</v>
      </c>
      <c r="Q329" s="134" t="s">
        <v>767</v>
      </c>
      <c r="R329" s="197" t="s">
        <v>1502</v>
      </c>
      <c r="S329" s="191"/>
      <c r="T329" s="191"/>
      <c r="U329" s="191"/>
      <c r="V329" s="198" t="s">
        <v>316</v>
      </c>
      <c r="W329" s="191"/>
      <c r="X329" s="191"/>
      <c r="Y329" s="191"/>
      <c r="Z329" s="191"/>
      <c r="AA329" s="191"/>
      <c r="AB329" s="194"/>
      <c r="AC329" s="191"/>
    </row>
    <row r="330">
      <c r="A330" s="199">
        <v>2019.0</v>
      </c>
      <c r="B330" s="200"/>
      <c r="C330" s="201">
        <v>45099.36365451389</v>
      </c>
      <c r="D330" s="202" t="s">
        <v>1503</v>
      </c>
      <c r="E330" s="203">
        <v>1.900016151E9</v>
      </c>
      <c r="F330" s="202" t="s">
        <v>1504</v>
      </c>
      <c r="G330" s="204" t="s">
        <v>1505</v>
      </c>
      <c r="H330" s="202" t="s">
        <v>1506</v>
      </c>
      <c r="I330" s="202" t="s">
        <v>399</v>
      </c>
      <c r="J330" s="202" t="s">
        <v>183</v>
      </c>
      <c r="K330" s="205"/>
      <c r="L330" s="205"/>
      <c r="N330" s="202"/>
      <c r="O330" s="206" t="s">
        <v>1131</v>
      </c>
      <c r="P330" s="207">
        <v>45110.0</v>
      </c>
      <c r="Q330" s="208" t="s">
        <v>767</v>
      </c>
      <c r="R330" s="209" t="s">
        <v>1507</v>
      </c>
      <c r="S330" s="200"/>
      <c r="T330" s="200"/>
      <c r="U330" s="200"/>
      <c r="V330" s="210" t="s">
        <v>316</v>
      </c>
      <c r="W330" s="200"/>
      <c r="X330" s="200"/>
      <c r="Y330" s="200"/>
      <c r="Z330" s="200"/>
      <c r="AA330" s="200"/>
      <c r="AB330" s="205"/>
      <c r="AC330" s="200"/>
    </row>
    <row r="331">
      <c r="A331" s="134">
        <v>2019.0</v>
      </c>
      <c r="B331" s="131"/>
      <c r="C331" s="211">
        <v>45099.9924917824</v>
      </c>
      <c r="D331" s="177" t="s">
        <v>1508</v>
      </c>
      <c r="E331" s="212">
        <v>1.900016185E9</v>
      </c>
      <c r="F331" s="177" t="s">
        <v>1509</v>
      </c>
      <c r="G331" s="177" t="s">
        <v>1510</v>
      </c>
      <c r="H331" s="177" t="s">
        <v>1511</v>
      </c>
      <c r="I331" s="177" t="s">
        <v>399</v>
      </c>
      <c r="J331" s="177" t="s">
        <v>747</v>
      </c>
      <c r="K331" s="177"/>
      <c r="L331" s="177"/>
      <c r="N331" s="177"/>
      <c r="O331" s="133" t="s">
        <v>703</v>
      </c>
      <c r="P331" s="196">
        <v>45110.0</v>
      </c>
      <c r="Q331" s="134" t="s">
        <v>1512</v>
      </c>
      <c r="R331" s="190" t="s">
        <v>1513</v>
      </c>
      <c r="S331" s="131"/>
      <c r="T331" s="131"/>
      <c r="U331" s="131"/>
      <c r="V331" s="138" t="s">
        <v>316</v>
      </c>
      <c r="W331" s="131"/>
      <c r="X331" s="131"/>
      <c r="Y331" s="131"/>
      <c r="Z331" s="131"/>
      <c r="AA331" s="131"/>
      <c r="AB331" s="139"/>
      <c r="AC331" s="131"/>
    </row>
    <row r="332">
      <c r="A332" s="107">
        <v>2019.0</v>
      </c>
      <c r="B332" s="131"/>
      <c r="C332" s="211">
        <v>45100.337252453704</v>
      </c>
      <c r="D332" s="177" t="s">
        <v>1514</v>
      </c>
      <c r="E332" s="212">
        <v>1.900016093E9</v>
      </c>
      <c r="F332" s="177" t="s">
        <v>1515</v>
      </c>
      <c r="G332" s="213" t="s">
        <v>1516</v>
      </c>
      <c r="H332" s="177" t="s">
        <v>1517</v>
      </c>
      <c r="I332" s="177" t="s">
        <v>399</v>
      </c>
      <c r="J332" s="177" t="s">
        <v>747</v>
      </c>
      <c r="K332" s="177"/>
      <c r="L332" s="177"/>
      <c r="N332" s="177"/>
      <c r="O332" s="133" t="s">
        <v>1144</v>
      </c>
      <c r="P332" s="196">
        <v>45110.0</v>
      </c>
      <c r="Q332" s="134" t="s">
        <v>1014</v>
      </c>
      <c r="R332" s="150" t="s">
        <v>1518</v>
      </c>
      <c r="S332" s="131"/>
      <c r="T332" s="131"/>
      <c r="U332" s="131"/>
      <c r="V332" s="138" t="s">
        <v>316</v>
      </c>
      <c r="W332" s="131"/>
      <c r="X332" s="131"/>
      <c r="Y332" s="131"/>
      <c r="Z332" s="131"/>
      <c r="AA332" s="131"/>
      <c r="AB332" s="139"/>
      <c r="AC332" s="131"/>
    </row>
    <row r="333">
      <c r="A333" s="107">
        <v>2019.0</v>
      </c>
      <c r="B333" s="131"/>
      <c r="C333" s="214">
        <v>45100.90453957176</v>
      </c>
      <c r="D333" s="139" t="s">
        <v>1519</v>
      </c>
      <c r="E333" s="215">
        <v>1.900016105E9</v>
      </c>
      <c r="F333" s="139" t="s">
        <v>1520</v>
      </c>
      <c r="G333" s="139" t="s">
        <v>1521</v>
      </c>
      <c r="H333" s="139" t="s">
        <v>1522</v>
      </c>
      <c r="I333" s="139" t="s">
        <v>399</v>
      </c>
      <c r="J333" s="148" t="s">
        <v>39</v>
      </c>
      <c r="K333" s="139"/>
      <c r="L333" s="139"/>
      <c r="N333" s="139"/>
      <c r="O333" s="133" t="s">
        <v>339</v>
      </c>
      <c r="P333" s="196">
        <v>45110.0</v>
      </c>
      <c r="Q333" s="134" t="s">
        <v>1019</v>
      </c>
      <c r="R333" s="150" t="s">
        <v>1523</v>
      </c>
      <c r="S333" s="131"/>
      <c r="T333" s="131"/>
      <c r="U333" s="131"/>
      <c r="V333" s="138" t="s">
        <v>316</v>
      </c>
      <c r="W333" s="131"/>
      <c r="X333" s="131"/>
      <c r="Y333" s="131"/>
      <c r="Z333" s="131"/>
      <c r="AA333" s="131"/>
      <c r="AB333" s="139"/>
      <c r="AC333" s="131"/>
    </row>
    <row r="334">
      <c r="A334" s="107">
        <v>2019.0</v>
      </c>
      <c r="B334" s="131"/>
      <c r="C334" s="211">
        <v>45102.857596712965</v>
      </c>
      <c r="D334" s="177" t="s">
        <v>1524</v>
      </c>
      <c r="E334" s="212">
        <v>1.900016004E9</v>
      </c>
      <c r="F334" s="177" t="s">
        <v>1525</v>
      </c>
      <c r="G334" s="177" t="s">
        <v>1526</v>
      </c>
      <c r="H334" s="177" t="s">
        <v>1527</v>
      </c>
      <c r="I334" s="177" t="s">
        <v>399</v>
      </c>
      <c r="J334" s="177" t="s">
        <v>183</v>
      </c>
      <c r="K334" s="177"/>
      <c r="L334" s="177"/>
      <c r="N334" s="177"/>
      <c r="O334" s="133" t="s">
        <v>123</v>
      </c>
      <c r="P334" s="196">
        <v>45110.0</v>
      </c>
      <c r="Q334" s="134" t="s">
        <v>1528</v>
      </c>
      <c r="R334" s="150" t="s">
        <v>1529</v>
      </c>
      <c r="S334" s="131"/>
      <c r="T334" s="131"/>
      <c r="U334" s="131"/>
      <c r="V334" s="138" t="s">
        <v>316</v>
      </c>
      <c r="W334" s="131"/>
      <c r="X334" s="131"/>
      <c r="Y334" s="131"/>
      <c r="Z334" s="131"/>
      <c r="AA334" s="131"/>
      <c r="AB334" s="139"/>
      <c r="AC334" s="131"/>
    </row>
    <row r="335">
      <c r="A335" s="107">
        <v>2019.0</v>
      </c>
      <c r="B335" s="131"/>
      <c r="C335" s="173">
        <v>45103.34812891204</v>
      </c>
      <c r="D335" s="174" t="s">
        <v>1530</v>
      </c>
      <c r="E335" s="175">
        <v>1.900016169E9</v>
      </c>
      <c r="F335" s="174" t="s">
        <v>1531</v>
      </c>
      <c r="G335" s="174" t="s">
        <v>1532</v>
      </c>
      <c r="H335" s="174" t="s">
        <v>1533</v>
      </c>
      <c r="I335" s="174" t="s">
        <v>399</v>
      </c>
      <c r="J335" s="174" t="s">
        <v>747</v>
      </c>
      <c r="K335" s="177"/>
      <c r="L335" s="177"/>
      <c r="N335" s="177"/>
      <c r="O335" s="133" t="s">
        <v>72</v>
      </c>
      <c r="P335" s="196">
        <v>45117.0</v>
      </c>
      <c r="Q335" s="195" t="s">
        <v>1534</v>
      </c>
      <c r="R335" s="216" t="s">
        <v>1535</v>
      </c>
      <c r="S335" s="131"/>
      <c r="T335" s="131"/>
      <c r="U335" s="131"/>
      <c r="V335" s="138" t="s">
        <v>316</v>
      </c>
      <c r="W335" s="131"/>
      <c r="X335" s="131"/>
      <c r="Y335" s="131"/>
      <c r="Z335" s="131"/>
      <c r="AA335" s="131"/>
      <c r="AB335" s="139"/>
      <c r="AC335" s="131"/>
    </row>
    <row r="336">
      <c r="A336" s="107">
        <v>2019.0</v>
      </c>
      <c r="B336" s="131"/>
      <c r="C336" s="217">
        <v>45104.7673925463</v>
      </c>
      <c r="D336" s="194" t="s">
        <v>1536</v>
      </c>
      <c r="E336" s="218">
        <v>1.911016122E9</v>
      </c>
      <c r="F336" s="194" t="s">
        <v>1537</v>
      </c>
      <c r="G336" s="194" t="s">
        <v>1538</v>
      </c>
      <c r="H336" s="194" t="s">
        <v>1539</v>
      </c>
      <c r="I336" s="194" t="s">
        <v>399</v>
      </c>
      <c r="J336" s="194" t="s">
        <v>747</v>
      </c>
      <c r="K336" s="194"/>
      <c r="L336" s="194"/>
      <c r="N336" s="194"/>
      <c r="O336" s="195" t="s">
        <v>28</v>
      </c>
      <c r="P336" s="196">
        <v>45125.0</v>
      </c>
      <c r="Q336" s="134" t="s">
        <v>1540</v>
      </c>
      <c r="R336" s="197" t="s">
        <v>1541</v>
      </c>
      <c r="S336" s="131"/>
      <c r="T336" s="131"/>
      <c r="U336" s="131"/>
      <c r="V336" s="138" t="s">
        <v>316</v>
      </c>
      <c r="W336" s="131"/>
      <c r="X336" s="131"/>
      <c r="Y336" s="131"/>
      <c r="Z336" s="131"/>
      <c r="AA336" s="131"/>
      <c r="AB336" s="139"/>
      <c r="AC336" s="131"/>
    </row>
    <row r="337">
      <c r="A337" s="107">
        <v>2019.0</v>
      </c>
      <c r="B337" s="131"/>
      <c r="C337" s="217">
        <v>45108.00493688658</v>
      </c>
      <c r="D337" s="194" t="s">
        <v>1542</v>
      </c>
      <c r="E337" s="218">
        <v>1.900016117E9</v>
      </c>
      <c r="F337" s="194" t="s">
        <v>1543</v>
      </c>
      <c r="G337" s="194" t="s">
        <v>1544</v>
      </c>
      <c r="H337" s="194" t="s">
        <v>1545</v>
      </c>
      <c r="I337" s="194" t="s">
        <v>399</v>
      </c>
      <c r="J337" s="195" t="s">
        <v>703</v>
      </c>
      <c r="K337" s="194"/>
      <c r="L337" s="194"/>
      <c r="N337" s="194"/>
      <c r="O337" s="133" t="s">
        <v>28</v>
      </c>
      <c r="P337" s="196">
        <v>45125.0</v>
      </c>
      <c r="Q337" s="134" t="s">
        <v>1546</v>
      </c>
      <c r="R337" s="150" t="s">
        <v>1547</v>
      </c>
      <c r="S337" s="131"/>
      <c r="T337" s="131"/>
      <c r="U337" s="131"/>
      <c r="V337" s="138" t="s">
        <v>316</v>
      </c>
      <c r="W337" s="131"/>
      <c r="X337" s="131"/>
      <c r="Y337" s="131"/>
      <c r="Z337" s="131"/>
      <c r="AA337" s="131"/>
      <c r="AB337" s="139"/>
      <c r="AC337" s="131"/>
    </row>
    <row r="338">
      <c r="A338" s="219">
        <v>2019.0</v>
      </c>
      <c r="B338" s="220"/>
      <c r="C338" s="221">
        <v>45116.8095846412</v>
      </c>
      <c r="D338" s="222" t="s">
        <v>1548</v>
      </c>
      <c r="E338" s="223">
        <v>1.900016019E9</v>
      </c>
      <c r="F338" s="222" t="s">
        <v>1549</v>
      </c>
      <c r="G338" s="222" t="s">
        <v>1550</v>
      </c>
      <c r="H338" s="222" t="s">
        <v>1551</v>
      </c>
      <c r="I338" s="222" t="s">
        <v>399</v>
      </c>
      <c r="J338" s="222" t="s">
        <v>747</v>
      </c>
      <c r="K338" s="222"/>
      <c r="L338" s="222"/>
      <c r="N338" s="222"/>
      <c r="O338" s="224" t="s">
        <v>28</v>
      </c>
      <c r="P338" s="225">
        <v>45125.0</v>
      </c>
      <c r="Q338" s="226" t="s">
        <v>1552</v>
      </c>
      <c r="R338" s="227" t="s">
        <v>1553</v>
      </c>
      <c r="S338" s="220"/>
      <c r="T338" s="220"/>
      <c r="U338" s="220"/>
      <c r="V338" s="228" t="s">
        <v>316</v>
      </c>
      <c r="W338" s="220"/>
      <c r="X338" s="220"/>
      <c r="Y338" s="220"/>
      <c r="Z338" s="220"/>
      <c r="AA338" s="220"/>
      <c r="AB338" s="229"/>
      <c r="AC338" s="220"/>
    </row>
    <row r="339">
      <c r="A339" s="107">
        <v>2019.0</v>
      </c>
      <c r="B339" s="131"/>
      <c r="C339" s="230">
        <v>45116.868343773145</v>
      </c>
      <c r="D339" s="139" t="s">
        <v>1554</v>
      </c>
      <c r="E339" s="215">
        <v>1.900016083E9</v>
      </c>
      <c r="F339" s="139" t="s">
        <v>1555</v>
      </c>
      <c r="G339" s="139" t="s">
        <v>1556</v>
      </c>
      <c r="H339" s="139" t="s">
        <v>1557</v>
      </c>
      <c r="I339" s="139" t="s">
        <v>399</v>
      </c>
      <c r="J339" s="148" t="s">
        <v>39</v>
      </c>
      <c r="K339" s="139"/>
      <c r="L339" s="139"/>
      <c r="N339" s="139"/>
      <c r="O339" s="133" t="s">
        <v>703</v>
      </c>
      <c r="P339" s="196">
        <v>45125.0</v>
      </c>
      <c r="Q339" s="134" t="s">
        <v>1558</v>
      </c>
      <c r="R339" s="190" t="s">
        <v>1559</v>
      </c>
      <c r="S339" s="131"/>
      <c r="T339" s="131"/>
      <c r="U339" s="131"/>
      <c r="V339" s="138" t="s">
        <v>316</v>
      </c>
      <c r="W339" s="131"/>
      <c r="X339" s="131"/>
      <c r="Y339" s="131"/>
      <c r="Z339" s="131"/>
      <c r="AA339" s="131"/>
      <c r="AB339" s="139"/>
      <c r="AC339" s="131"/>
    </row>
    <row r="340">
      <c r="A340" s="107">
        <v>2019.0</v>
      </c>
      <c r="B340" s="131"/>
      <c r="C340" s="230">
        <v>45116.87033446759</v>
      </c>
      <c r="D340" s="139" t="s">
        <v>1560</v>
      </c>
      <c r="E340" s="215">
        <v>1.900016157E9</v>
      </c>
      <c r="F340" s="139" t="s">
        <v>1561</v>
      </c>
      <c r="G340" s="139" t="s">
        <v>1562</v>
      </c>
      <c r="H340" s="139" t="s">
        <v>1563</v>
      </c>
      <c r="I340" s="139" t="s">
        <v>399</v>
      </c>
      <c r="J340" s="139" t="s">
        <v>747</v>
      </c>
      <c r="K340" s="139"/>
      <c r="L340" s="139"/>
      <c r="N340" s="139"/>
      <c r="O340" s="133" t="s">
        <v>28</v>
      </c>
      <c r="P340" s="196">
        <v>45125.0</v>
      </c>
      <c r="Q340" s="134" t="s">
        <v>1564</v>
      </c>
      <c r="R340" s="150" t="s">
        <v>1565</v>
      </c>
      <c r="S340" s="131"/>
      <c r="T340" s="131"/>
      <c r="U340" s="131"/>
      <c r="V340" s="138" t="s">
        <v>316</v>
      </c>
      <c r="W340" s="131"/>
      <c r="X340" s="131"/>
      <c r="Y340" s="131"/>
      <c r="Z340" s="131"/>
      <c r="AA340" s="131"/>
      <c r="AB340" s="139"/>
      <c r="AC340" s="131"/>
    </row>
    <row r="341">
      <c r="A341" s="107">
        <v>2019.0</v>
      </c>
      <c r="B341" s="131"/>
      <c r="C341" s="217">
        <v>45116.96582128472</v>
      </c>
      <c r="D341" s="194" t="s">
        <v>1566</v>
      </c>
      <c r="E341" s="218">
        <v>1.900016074E9</v>
      </c>
      <c r="F341" s="194" t="s">
        <v>1567</v>
      </c>
      <c r="G341" s="194" t="s">
        <v>1568</v>
      </c>
      <c r="H341" s="194" t="s">
        <v>1569</v>
      </c>
      <c r="I341" s="194" t="s">
        <v>399</v>
      </c>
      <c r="J341" s="194" t="s">
        <v>747</v>
      </c>
      <c r="K341" s="194"/>
      <c r="L341" s="194"/>
      <c r="N341" s="194"/>
      <c r="O341" s="133" t="s">
        <v>703</v>
      </c>
      <c r="P341" s="140">
        <v>45124.0</v>
      </c>
      <c r="Q341" s="134" t="s">
        <v>1534</v>
      </c>
      <c r="R341" s="190" t="s">
        <v>1570</v>
      </c>
      <c r="S341" s="131"/>
      <c r="T341" s="131"/>
      <c r="U341" s="131"/>
      <c r="V341" s="138" t="s">
        <v>316</v>
      </c>
      <c r="W341" s="131"/>
      <c r="X341" s="131"/>
      <c r="Y341" s="131"/>
      <c r="Z341" s="131"/>
      <c r="AA341" s="131"/>
      <c r="AB341" s="139"/>
      <c r="AC341" s="131"/>
    </row>
    <row r="342">
      <c r="A342" s="107">
        <v>2019.0</v>
      </c>
      <c r="B342" s="131"/>
      <c r="C342" s="217">
        <v>45117.224309930556</v>
      </c>
      <c r="D342" s="194" t="s">
        <v>1571</v>
      </c>
      <c r="E342" s="218">
        <v>1.900016163E9</v>
      </c>
      <c r="F342" s="194" t="s">
        <v>1572</v>
      </c>
      <c r="G342" s="231" t="s">
        <v>1573</v>
      </c>
      <c r="H342" s="194" t="s">
        <v>1574</v>
      </c>
      <c r="I342" s="194" t="s">
        <v>399</v>
      </c>
      <c r="J342" s="194" t="s">
        <v>747</v>
      </c>
      <c r="K342" s="194"/>
      <c r="L342" s="194"/>
      <c r="N342" s="194"/>
      <c r="O342" s="133" t="s">
        <v>703</v>
      </c>
      <c r="P342" s="140">
        <v>45124.0</v>
      </c>
      <c r="Q342" s="134" t="s">
        <v>1540</v>
      </c>
      <c r="R342" s="190" t="s">
        <v>1575</v>
      </c>
      <c r="S342" s="131"/>
      <c r="T342" s="131"/>
      <c r="U342" s="131"/>
      <c r="V342" s="138" t="s">
        <v>316</v>
      </c>
      <c r="W342" s="131"/>
      <c r="X342" s="131"/>
      <c r="Y342" s="131"/>
      <c r="Z342" s="131"/>
      <c r="AA342" s="131"/>
      <c r="AB342" s="139"/>
      <c r="AC342" s="131"/>
    </row>
    <row r="343">
      <c r="A343" s="107">
        <v>2019.0</v>
      </c>
      <c r="B343" s="131"/>
      <c r="C343" s="232">
        <v>45119.9217946875</v>
      </c>
      <c r="D343" s="233" t="s">
        <v>1576</v>
      </c>
      <c r="E343" s="234">
        <v>1.900016077E9</v>
      </c>
      <c r="F343" s="233" t="s">
        <v>1577</v>
      </c>
      <c r="G343" s="233" t="s">
        <v>1578</v>
      </c>
      <c r="H343" s="233" t="s">
        <v>1579</v>
      </c>
      <c r="I343" s="233" t="s">
        <v>399</v>
      </c>
      <c r="J343" s="233" t="s">
        <v>117</v>
      </c>
      <c r="K343" s="194"/>
      <c r="L343" s="194"/>
      <c r="N343" s="233"/>
      <c r="O343" s="133" t="s">
        <v>1144</v>
      </c>
      <c r="P343" s="140">
        <v>45125.0</v>
      </c>
      <c r="Q343" s="134" t="s">
        <v>1540</v>
      </c>
      <c r="R343" s="150" t="s">
        <v>1580</v>
      </c>
      <c r="S343" s="131"/>
      <c r="T343" s="131"/>
      <c r="U343" s="131"/>
      <c r="V343" s="138" t="s">
        <v>316</v>
      </c>
      <c r="W343" s="131"/>
      <c r="X343" s="131"/>
      <c r="Y343" s="131"/>
      <c r="Z343" s="131"/>
      <c r="AA343" s="131"/>
      <c r="AB343" s="139"/>
      <c r="AC343" s="131"/>
    </row>
    <row r="344">
      <c r="A344" s="107">
        <v>2016.0</v>
      </c>
      <c r="B344" s="131"/>
      <c r="C344" s="232">
        <v>45119.925498356475</v>
      </c>
      <c r="D344" s="233" t="s">
        <v>1581</v>
      </c>
      <c r="E344" s="234">
        <v>1.60001604E9</v>
      </c>
      <c r="F344" s="233" t="s">
        <v>1582</v>
      </c>
      <c r="G344" s="235" t="s">
        <v>1583</v>
      </c>
      <c r="H344" s="233" t="s">
        <v>1584</v>
      </c>
      <c r="I344" s="233" t="s">
        <v>399</v>
      </c>
      <c r="J344" s="233" t="s">
        <v>230</v>
      </c>
      <c r="K344" s="233"/>
      <c r="L344" s="233"/>
      <c r="N344" s="233"/>
      <c r="O344" s="236" t="s">
        <v>1144</v>
      </c>
      <c r="P344" s="237">
        <v>45124.0</v>
      </c>
      <c r="Q344" s="107" t="s">
        <v>1546</v>
      </c>
      <c r="R344" s="139"/>
      <c r="S344" s="131"/>
      <c r="T344" s="131"/>
      <c r="U344" s="131"/>
      <c r="V344" s="138" t="s">
        <v>316</v>
      </c>
      <c r="W344" s="131"/>
      <c r="X344" s="131"/>
      <c r="Y344" s="131"/>
      <c r="Z344" s="131"/>
      <c r="AA344" s="131"/>
      <c r="AB344" s="131"/>
      <c r="AC344" s="131"/>
    </row>
    <row r="345">
      <c r="A345" s="107">
        <v>2019.0</v>
      </c>
      <c r="B345" s="131"/>
      <c r="C345" s="217">
        <v>45121.862296203704</v>
      </c>
      <c r="D345" s="194" t="s">
        <v>1585</v>
      </c>
      <c r="E345" s="218">
        <v>1.900016082E9</v>
      </c>
      <c r="F345" s="194" t="s">
        <v>1586</v>
      </c>
      <c r="G345" s="194" t="s">
        <v>1587</v>
      </c>
      <c r="H345" s="194" t="s">
        <v>1588</v>
      </c>
      <c r="I345" s="194" t="s">
        <v>399</v>
      </c>
      <c r="J345" s="194" t="s">
        <v>747</v>
      </c>
      <c r="K345" s="194"/>
      <c r="L345" s="194"/>
      <c r="N345" s="194"/>
      <c r="O345" s="133" t="s">
        <v>703</v>
      </c>
      <c r="P345" s="140">
        <v>45131.0</v>
      </c>
      <c r="Q345" s="134" t="s">
        <v>1589</v>
      </c>
      <c r="R345" s="150" t="s">
        <v>1590</v>
      </c>
      <c r="S345" s="131"/>
      <c r="T345" s="131"/>
      <c r="U345" s="131"/>
      <c r="V345" s="138" t="s">
        <v>316</v>
      </c>
      <c r="W345" s="131"/>
      <c r="X345" s="131"/>
      <c r="Y345" s="131"/>
      <c r="Z345" s="131"/>
      <c r="AA345" s="131"/>
      <c r="AB345" s="139"/>
      <c r="AC345" s="131"/>
    </row>
    <row r="346">
      <c r="A346" s="107">
        <v>2018.0</v>
      </c>
      <c r="B346" s="131"/>
      <c r="C346" s="217">
        <v>45123.422850717594</v>
      </c>
      <c r="D346" s="194" t="s">
        <v>1591</v>
      </c>
      <c r="E346" s="218">
        <v>1.800016034E9</v>
      </c>
      <c r="F346" s="194" t="s">
        <v>1592</v>
      </c>
      <c r="G346" s="231" t="s">
        <v>1593</v>
      </c>
      <c r="H346" s="133" t="s">
        <v>1594</v>
      </c>
      <c r="I346" s="194" t="s">
        <v>399</v>
      </c>
      <c r="J346" s="194" t="s">
        <v>747</v>
      </c>
      <c r="K346" s="194"/>
      <c r="L346" s="194"/>
      <c r="N346" s="194"/>
      <c r="O346" s="133" t="s">
        <v>28</v>
      </c>
      <c r="P346" s="140">
        <v>45134.0</v>
      </c>
      <c r="Q346" s="134" t="s">
        <v>1552</v>
      </c>
      <c r="R346" s="139"/>
      <c r="S346" s="131"/>
      <c r="T346" s="131"/>
      <c r="U346" s="131"/>
      <c r="V346" s="138" t="s">
        <v>316</v>
      </c>
      <c r="W346" s="131"/>
      <c r="X346" s="131"/>
      <c r="Y346" s="131"/>
      <c r="Z346" s="131"/>
      <c r="AA346" s="131"/>
      <c r="AB346" s="139"/>
      <c r="AC346" s="131"/>
    </row>
    <row r="347">
      <c r="A347" s="107">
        <v>2019.0</v>
      </c>
      <c r="B347" s="131"/>
      <c r="C347" s="217">
        <v>45125.066854178236</v>
      </c>
      <c r="D347" s="194" t="s">
        <v>1595</v>
      </c>
      <c r="E347" s="218">
        <v>1.900016078E9</v>
      </c>
      <c r="F347" s="194" t="s">
        <v>1596</v>
      </c>
      <c r="G347" s="194" t="s">
        <v>1597</v>
      </c>
      <c r="H347" s="195" t="s">
        <v>1598</v>
      </c>
      <c r="I347" s="194" t="s">
        <v>399</v>
      </c>
      <c r="J347" s="194" t="s">
        <v>183</v>
      </c>
      <c r="K347" s="194"/>
      <c r="L347" s="194"/>
      <c r="N347" s="194"/>
      <c r="O347" s="148" t="s">
        <v>123</v>
      </c>
      <c r="P347" s="140">
        <v>45131.0</v>
      </c>
      <c r="Q347" s="134" t="s">
        <v>1589</v>
      </c>
      <c r="R347" s="238" t="s">
        <v>1599</v>
      </c>
      <c r="S347" s="194"/>
      <c r="T347" s="194"/>
      <c r="U347" s="194"/>
      <c r="V347" s="239" t="s">
        <v>316</v>
      </c>
      <c r="W347" s="194"/>
      <c r="X347" s="194"/>
      <c r="Y347" s="194"/>
      <c r="Z347" s="194"/>
      <c r="AA347" s="194"/>
      <c r="AB347" s="194"/>
      <c r="AC347" s="194"/>
    </row>
    <row r="348">
      <c r="A348" s="107">
        <v>2019.0</v>
      </c>
      <c r="B348" s="131"/>
      <c r="C348" s="217">
        <v>45125.33935643519</v>
      </c>
      <c r="D348" s="194" t="s">
        <v>1600</v>
      </c>
      <c r="E348" s="218">
        <v>1.9000161E9</v>
      </c>
      <c r="F348" s="194" t="s">
        <v>1601</v>
      </c>
      <c r="G348" s="194" t="s">
        <v>1602</v>
      </c>
      <c r="H348" s="194" t="s">
        <v>1603</v>
      </c>
      <c r="I348" s="194" t="s">
        <v>399</v>
      </c>
      <c r="J348" s="194" t="s">
        <v>241</v>
      </c>
      <c r="K348" s="194"/>
      <c r="L348" s="194"/>
      <c r="N348" s="194"/>
      <c r="O348" s="148" t="s">
        <v>1066</v>
      </c>
      <c r="P348" s="140">
        <v>45131.0</v>
      </c>
      <c r="Q348" s="134" t="s">
        <v>1552</v>
      </c>
      <c r="R348" s="238" t="s">
        <v>1604</v>
      </c>
      <c r="S348" s="194"/>
      <c r="T348" s="194"/>
      <c r="U348" s="194"/>
      <c r="V348" s="239" t="s">
        <v>316</v>
      </c>
      <c r="W348" s="194"/>
      <c r="X348" s="194"/>
      <c r="Y348" s="194"/>
      <c r="Z348" s="194"/>
      <c r="AA348" s="194"/>
      <c r="AB348" s="194"/>
      <c r="AC348" s="194"/>
    </row>
    <row r="349">
      <c r="A349" s="240">
        <v>2019.0</v>
      </c>
      <c r="B349" s="131"/>
      <c r="C349" s="217">
        <v>45126.820666273146</v>
      </c>
      <c r="D349" s="194" t="s">
        <v>1605</v>
      </c>
      <c r="E349" s="218">
        <v>1.90001611E9</v>
      </c>
      <c r="F349" s="194" t="s">
        <v>1606</v>
      </c>
      <c r="G349" s="194" t="s">
        <v>1607</v>
      </c>
      <c r="H349" s="194" t="s">
        <v>1608</v>
      </c>
      <c r="I349" s="194" t="s">
        <v>399</v>
      </c>
      <c r="J349" s="241" t="s">
        <v>747</v>
      </c>
      <c r="K349" s="194"/>
      <c r="L349" s="194"/>
      <c r="N349" s="194"/>
      <c r="O349" s="148" t="s">
        <v>347</v>
      </c>
      <c r="P349" s="140">
        <v>45135.0</v>
      </c>
      <c r="Q349" s="184" t="s">
        <v>1431</v>
      </c>
      <c r="R349" s="238" t="s">
        <v>1609</v>
      </c>
      <c r="S349" s="131"/>
      <c r="T349" s="131"/>
      <c r="U349" s="131"/>
      <c r="V349" s="138" t="s">
        <v>316</v>
      </c>
      <c r="W349" s="131"/>
      <c r="X349" s="131"/>
      <c r="Y349" s="131"/>
      <c r="Z349" s="131"/>
      <c r="AA349" s="131"/>
      <c r="AB349" s="139"/>
      <c r="AC349" s="131"/>
    </row>
    <row r="350">
      <c r="A350" s="195">
        <v>2019.0</v>
      </c>
      <c r="B350" s="194"/>
      <c r="C350" s="217">
        <v>45131.04623042824</v>
      </c>
      <c r="D350" s="194" t="s">
        <v>1610</v>
      </c>
      <c r="E350" s="218">
        <v>1.900016179E9</v>
      </c>
      <c r="F350" s="194" t="s">
        <v>1611</v>
      </c>
      <c r="G350" s="194" t="s">
        <v>1612</v>
      </c>
      <c r="H350" s="194" t="s">
        <v>1613</v>
      </c>
      <c r="I350" s="194" t="s">
        <v>399</v>
      </c>
      <c r="J350" s="194" t="s">
        <v>117</v>
      </c>
      <c r="K350" s="194"/>
      <c r="L350" s="194"/>
      <c r="N350" s="194"/>
      <c r="O350" s="148" t="s">
        <v>703</v>
      </c>
      <c r="P350" s="140">
        <v>45139.0</v>
      </c>
      <c r="Q350" s="195" t="s">
        <v>689</v>
      </c>
      <c r="R350" s="238" t="s">
        <v>1614</v>
      </c>
      <c r="S350" s="195" t="s">
        <v>1615</v>
      </c>
      <c r="T350" s="194"/>
      <c r="U350" s="194"/>
      <c r="V350" s="239" t="s">
        <v>316</v>
      </c>
      <c r="W350" s="194"/>
      <c r="X350" s="194"/>
      <c r="Y350" s="194"/>
      <c r="Z350" s="194"/>
      <c r="AA350" s="194"/>
      <c r="AB350" s="194"/>
      <c r="AC350" s="194"/>
    </row>
    <row r="351">
      <c r="A351" s="195">
        <v>2019.0</v>
      </c>
      <c r="B351" s="194"/>
      <c r="C351" s="217">
        <v>45131.4069581713</v>
      </c>
      <c r="D351" s="194" t="s">
        <v>1616</v>
      </c>
      <c r="E351" s="218">
        <v>1.900016147E9</v>
      </c>
      <c r="F351" s="194" t="s">
        <v>1617</v>
      </c>
      <c r="G351" s="194" t="s">
        <v>1618</v>
      </c>
      <c r="H351" s="194" t="s">
        <v>1619</v>
      </c>
      <c r="I351" s="194" t="s">
        <v>399</v>
      </c>
      <c r="J351" s="195" t="s">
        <v>27</v>
      </c>
      <c r="K351" s="194"/>
      <c r="L351" s="194"/>
      <c r="N351" s="194"/>
      <c r="O351" s="148" t="s">
        <v>39</v>
      </c>
      <c r="P351" s="140">
        <v>45139.0</v>
      </c>
      <c r="Q351" s="195" t="s">
        <v>689</v>
      </c>
      <c r="R351" s="238" t="s">
        <v>1620</v>
      </c>
      <c r="S351" s="195" t="s">
        <v>1621</v>
      </c>
      <c r="T351" s="194"/>
      <c r="U351" s="194"/>
      <c r="V351" s="239" t="s">
        <v>316</v>
      </c>
      <c r="W351" s="194"/>
      <c r="X351" s="194"/>
      <c r="Y351" s="194"/>
      <c r="Z351" s="194"/>
      <c r="AA351" s="194"/>
      <c r="AB351" s="194"/>
      <c r="AC351" s="194"/>
    </row>
    <row r="352">
      <c r="A352" s="195">
        <v>2019.0</v>
      </c>
      <c r="B352" s="131"/>
      <c r="C352" s="217">
        <v>45132.26554738426</v>
      </c>
      <c r="D352" s="194" t="s">
        <v>1622</v>
      </c>
      <c r="E352" s="218">
        <v>1.90001606E9</v>
      </c>
      <c r="F352" s="194" t="s">
        <v>1623</v>
      </c>
      <c r="G352" s="194" t="s">
        <v>1624</v>
      </c>
      <c r="H352" s="194" t="s">
        <v>1625</v>
      </c>
      <c r="I352" s="194" t="s">
        <v>399</v>
      </c>
      <c r="J352" s="194" t="s">
        <v>747</v>
      </c>
      <c r="K352" s="194"/>
      <c r="L352" s="194"/>
      <c r="N352" s="194"/>
      <c r="O352" s="195" t="s">
        <v>703</v>
      </c>
      <c r="P352" s="140">
        <v>45139.0</v>
      </c>
      <c r="Q352" s="195" t="s">
        <v>694</v>
      </c>
      <c r="R352" s="238" t="s">
        <v>1626</v>
      </c>
      <c r="S352" s="194"/>
      <c r="T352" s="194"/>
      <c r="U352" s="194"/>
      <c r="V352" s="239" t="s">
        <v>316</v>
      </c>
      <c r="W352" s="194"/>
      <c r="X352" s="194"/>
      <c r="Y352" s="194"/>
      <c r="Z352" s="194"/>
      <c r="AA352" s="194"/>
      <c r="AB352" s="194"/>
      <c r="AC352" s="194"/>
    </row>
    <row r="353">
      <c r="A353" s="107">
        <v>2019.0</v>
      </c>
      <c r="B353" s="131"/>
      <c r="C353" s="230">
        <v>45133.275294513885</v>
      </c>
      <c r="D353" s="139" t="s">
        <v>1627</v>
      </c>
      <c r="E353" s="215">
        <v>1.90001615E9</v>
      </c>
      <c r="F353" s="139" t="s">
        <v>1628</v>
      </c>
      <c r="G353" s="156" t="s">
        <v>1629</v>
      </c>
      <c r="H353" s="139" t="s">
        <v>1630</v>
      </c>
      <c r="I353" s="139" t="s">
        <v>399</v>
      </c>
      <c r="J353" s="139" t="s">
        <v>747</v>
      </c>
      <c r="K353" s="139"/>
      <c r="L353" s="148"/>
      <c r="N353" s="148"/>
      <c r="O353" s="148" t="s">
        <v>123</v>
      </c>
      <c r="P353" s="140">
        <v>45139.0</v>
      </c>
      <c r="Q353" s="195" t="s">
        <v>689</v>
      </c>
      <c r="R353" s="150" t="s">
        <v>1631</v>
      </c>
      <c r="S353" s="139"/>
      <c r="T353" s="139"/>
      <c r="U353" s="139"/>
      <c r="V353" s="242" t="s">
        <v>316</v>
      </c>
      <c r="W353" s="139"/>
      <c r="X353" s="139"/>
      <c r="Y353" s="139"/>
      <c r="Z353" s="139"/>
      <c r="AA353" s="139"/>
      <c r="AB353" s="139"/>
      <c r="AC353" s="139"/>
    </row>
    <row r="354">
      <c r="A354" s="107">
        <v>2019.0</v>
      </c>
      <c r="B354" s="131"/>
      <c r="C354" s="232">
        <v>45139.25236569445</v>
      </c>
      <c r="D354" s="233" t="s">
        <v>1632</v>
      </c>
      <c r="E354" s="234">
        <v>1.900016116E9</v>
      </c>
      <c r="F354" s="233" t="s">
        <v>1633</v>
      </c>
      <c r="G354" s="235" t="s">
        <v>1634</v>
      </c>
      <c r="H354" s="233" t="s">
        <v>1635</v>
      </c>
      <c r="I354" s="233" t="s">
        <v>399</v>
      </c>
      <c r="J354" s="184" t="s">
        <v>39</v>
      </c>
      <c r="K354" s="194"/>
      <c r="L354" s="148"/>
      <c r="N354" s="107"/>
      <c r="O354" s="133" t="s">
        <v>1066</v>
      </c>
      <c r="P354" s="140">
        <v>45145.0</v>
      </c>
      <c r="Q354" s="134" t="s">
        <v>1636</v>
      </c>
      <c r="R354" s="150" t="s">
        <v>1637</v>
      </c>
      <c r="S354" s="131"/>
      <c r="T354" s="131"/>
      <c r="U354" s="131"/>
      <c r="V354" s="138" t="s">
        <v>316</v>
      </c>
      <c r="W354" s="131"/>
      <c r="X354" s="131"/>
      <c r="Y354" s="131"/>
      <c r="Z354" s="131"/>
      <c r="AA354" s="131"/>
      <c r="AB354" s="139"/>
      <c r="AC354" s="131"/>
    </row>
    <row r="355">
      <c r="A355" s="107">
        <v>2019.0</v>
      </c>
      <c r="B355" s="131"/>
      <c r="C355" s="217">
        <v>45141.80218200232</v>
      </c>
      <c r="D355" s="194" t="s">
        <v>1638</v>
      </c>
      <c r="E355" s="218">
        <v>1.900016079E9</v>
      </c>
      <c r="F355" s="194" t="s">
        <v>1639</v>
      </c>
      <c r="G355" s="194" t="s">
        <v>1640</v>
      </c>
      <c r="H355" s="194" t="s">
        <v>1641</v>
      </c>
      <c r="I355" s="194" t="s">
        <v>399</v>
      </c>
      <c r="J355" s="194" t="s">
        <v>747</v>
      </c>
      <c r="K355" s="194"/>
      <c r="L355" s="194"/>
      <c r="N355" s="194"/>
      <c r="O355" s="195" t="s">
        <v>703</v>
      </c>
      <c r="P355" s="140">
        <v>45146.0</v>
      </c>
      <c r="Q355" s="195" t="s">
        <v>689</v>
      </c>
      <c r="R355" s="238" t="s">
        <v>1642</v>
      </c>
      <c r="S355" s="194"/>
      <c r="T355" s="194"/>
      <c r="U355" s="194"/>
      <c r="V355" s="239" t="s">
        <v>316</v>
      </c>
      <c r="W355" s="194"/>
      <c r="X355" s="194"/>
      <c r="Y355" s="194"/>
      <c r="Z355" s="194"/>
      <c r="AA355" s="194"/>
      <c r="AB355" s="194"/>
      <c r="AC355" s="194"/>
    </row>
    <row r="356">
      <c r="A356" s="107">
        <v>2019.0</v>
      </c>
      <c r="B356" s="131"/>
      <c r="C356" s="217">
        <v>45141.84781738425</v>
      </c>
      <c r="D356" s="194" t="s">
        <v>1643</v>
      </c>
      <c r="E356" s="218">
        <v>1.90001612E9</v>
      </c>
      <c r="F356" s="194" t="s">
        <v>1644</v>
      </c>
      <c r="G356" s="194" t="s">
        <v>1645</v>
      </c>
      <c r="H356" s="194" t="s">
        <v>1646</v>
      </c>
      <c r="I356" s="194" t="s">
        <v>399</v>
      </c>
      <c r="J356" s="194" t="s">
        <v>241</v>
      </c>
      <c r="K356" s="194"/>
      <c r="L356" s="194"/>
      <c r="N356" s="194"/>
      <c r="O356" s="148" t="s">
        <v>183</v>
      </c>
      <c r="P356" s="140">
        <v>45146.0</v>
      </c>
      <c r="Q356" s="195" t="s">
        <v>895</v>
      </c>
      <c r="R356" s="238" t="s">
        <v>1647</v>
      </c>
      <c r="S356" s="194"/>
      <c r="T356" s="194"/>
      <c r="U356" s="194"/>
      <c r="V356" s="239" t="s">
        <v>316</v>
      </c>
      <c r="W356" s="194"/>
      <c r="X356" s="194"/>
      <c r="Y356" s="194"/>
      <c r="Z356" s="194"/>
      <c r="AA356" s="194"/>
      <c r="AB356" s="194"/>
      <c r="AC356" s="194"/>
    </row>
    <row r="357">
      <c r="A357" s="107">
        <v>2019.0</v>
      </c>
      <c r="B357" s="131"/>
      <c r="C357" s="217">
        <v>45141.080328518525</v>
      </c>
      <c r="D357" s="194" t="s">
        <v>1648</v>
      </c>
      <c r="E357" s="218">
        <v>1.900016027E9</v>
      </c>
      <c r="F357" s="194" t="s">
        <v>1649</v>
      </c>
      <c r="G357" s="194" t="s">
        <v>1650</v>
      </c>
      <c r="H357" s="194" t="s">
        <v>1651</v>
      </c>
      <c r="I357" s="194" t="s">
        <v>399</v>
      </c>
      <c r="J357" s="194" t="s">
        <v>117</v>
      </c>
      <c r="K357" s="194"/>
      <c r="L357" s="194"/>
      <c r="N357" s="194"/>
      <c r="O357" s="148" t="s">
        <v>1066</v>
      </c>
      <c r="P357" s="140">
        <v>45146.0</v>
      </c>
      <c r="Q357" s="195" t="s">
        <v>1201</v>
      </c>
      <c r="R357" s="238" t="s">
        <v>1652</v>
      </c>
      <c r="S357" s="194"/>
      <c r="T357" s="194"/>
      <c r="U357" s="194"/>
      <c r="V357" s="239" t="s">
        <v>316</v>
      </c>
      <c r="W357" s="194"/>
      <c r="X357" s="194"/>
      <c r="Y357" s="194"/>
      <c r="Z357" s="194"/>
      <c r="AA357" s="194"/>
      <c r="AB357" s="194"/>
      <c r="AC357" s="194"/>
    </row>
    <row r="358">
      <c r="A358" s="107">
        <v>2019.0</v>
      </c>
      <c r="B358" s="131"/>
      <c r="C358" s="217">
        <v>45141.08051844908</v>
      </c>
      <c r="D358" s="194" t="s">
        <v>1653</v>
      </c>
      <c r="E358" s="218">
        <v>1.90001602E9</v>
      </c>
      <c r="F358" s="194" t="s">
        <v>1654</v>
      </c>
      <c r="G358" s="194" t="s">
        <v>1655</v>
      </c>
      <c r="H358" s="194" t="s">
        <v>1656</v>
      </c>
      <c r="I358" s="194" t="s">
        <v>399</v>
      </c>
      <c r="J358" s="194" t="s">
        <v>117</v>
      </c>
      <c r="K358" s="194"/>
      <c r="L358" s="194"/>
      <c r="N358" s="194"/>
      <c r="O358" s="148" t="s">
        <v>183</v>
      </c>
      <c r="P358" s="243">
        <v>45145.0</v>
      </c>
      <c r="Q358" s="195" t="s">
        <v>689</v>
      </c>
      <c r="R358" s="238" t="s">
        <v>1657</v>
      </c>
      <c r="S358" s="194"/>
      <c r="T358" s="194"/>
      <c r="U358" s="194"/>
      <c r="V358" s="239" t="s">
        <v>316</v>
      </c>
      <c r="W358" s="194"/>
      <c r="X358" s="194"/>
      <c r="Y358" s="194"/>
      <c r="Z358" s="194"/>
      <c r="AA358" s="194"/>
      <c r="AB358" s="194"/>
      <c r="AC358" s="194"/>
    </row>
    <row r="359">
      <c r="A359" s="148">
        <v>2018.0</v>
      </c>
      <c r="B359" s="139"/>
      <c r="C359" s="230">
        <v>45145.13106317129</v>
      </c>
      <c r="D359" s="139" t="s">
        <v>1658</v>
      </c>
      <c r="E359" s="215">
        <v>1.800016041E9</v>
      </c>
      <c r="F359" s="139" t="s">
        <v>1659</v>
      </c>
      <c r="G359" s="139" t="s">
        <v>1660</v>
      </c>
      <c r="H359" s="139" t="s">
        <v>1661</v>
      </c>
      <c r="I359" s="139" t="s">
        <v>399</v>
      </c>
      <c r="J359" s="139" t="s">
        <v>241</v>
      </c>
      <c r="K359" s="139"/>
      <c r="L359" s="139"/>
      <c r="N359" s="139"/>
      <c r="O359" s="148" t="s">
        <v>339</v>
      </c>
      <c r="P359" s="243">
        <v>45152.0</v>
      </c>
      <c r="Q359" s="195" t="s">
        <v>689</v>
      </c>
      <c r="R359" s="139"/>
      <c r="S359" s="139"/>
      <c r="T359" s="139"/>
      <c r="U359" s="139"/>
      <c r="V359" s="242" t="s">
        <v>316</v>
      </c>
      <c r="W359" s="139"/>
      <c r="X359" s="139"/>
      <c r="Y359" s="139"/>
      <c r="Z359" s="139"/>
      <c r="AA359" s="139"/>
      <c r="AB359" s="139"/>
      <c r="AC359" s="139"/>
    </row>
    <row r="360">
      <c r="A360" s="107">
        <v>2019.0</v>
      </c>
      <c r="B360" s="131"/>
      <c r="C360" s="230">
        <v>45147.19542885417</v>
      </c>
      <c r="D360" s="139" t="s">
        <v>1662</v>
      </c>
      <c r="E360" s="215">
        <v>1.90001618E9</v>
      </c>
      <c r="F360" s="139" t="s">
        <v>1663</v>
      </c>
      <c r="G360" s="139" t="s">
        <v>1664</v>
      </c>
      <c r="H360" s="139" t="s">
        <v>1665</v>
      </c>
      <c r="I360" s="139" t="s">
        <v>399</v>
      </c>
      <c r="J360" s="139" t="s">
        <v>117</v>
      </c>
      <c r="K360" s="139"/>
      <c r="L360" s="139"/>
      <c r="N360" s="139"/>
      <c r="O360" s="148" t="s">
        <v>183</v>
      </c>
      <c r="P360" s="243">
        <v>45159.0</v>
      </c>
      <c r="Q360" s="195" t="s">
        <v>694</v>
      </c>
      <c r="R360" s="190" t="s">
        <v>1666</v>
      </c>
      <c r="S360" s="139"/>
      <c r="T360" s="139"/>
      <c r="U360" s="139"/>
      <c r="V360" s="242" t="s">
        <v>316</v>
      </c>
      <c r="W360" s="139"/>
      <c r="X360" s="139"/>
      <c r="Y360" s="139"/>
      <c r="Z360" s="139"/>
      <c r="AA360" s="139"/>
      <c r="AB360" s="139"/>
      <c r="AC360" s="139"/>
    </row>
    <row r="361">
      <c r="A361" s="107">
        <v>2019.0</v>
      </c>
      <c r="B361" s="131"/>
      <c r="C361" s="187">
        <v>45149.23050783565</v>
      </c>
      <c r="D361" s="188" t="s">
        <v>1667</v>
      </c>
      <c r="E361" s="189">
        <v>1.900016145E9</v>
      </c>
      <c r="F361" s="188" t="s">
        <v>1668</v>
      </c>
      <c r="G361" s="188" t="s">
        <v>1669</v>
      </c>
      <c r="H361" s="188" t="s">
        <v>1670</v>
      </c>
      <c r="I361" s="188" t="s">
        <v>399</v>
      </c>
      <c r="J361" s="188" t="s">
        <v>230</v>
      </c>
      <c r="K361" s="139"/>
      <c r="L361" s="139"/>
      <c r="N361" s="139"/>
      <c r="O361" s="148" t="s">
        <v>39</v>
      </c>
      <c r="P361" s="243">
        <v>45156.0</v>
      </c>
      <c r="Q361" s="244" t="s">
        <v>1671</v>
      </c>
      <c r="R361" s="190" t="s">
        <v>1672</v>
      </c>
      <c r="S361" s="188"/>
      <c r="T361" s="188"/>
      <c r="U361" s="188"/>
      <c r="V361" s="245" t="s">
        <v>316</v>
      </c>
      <c r="W361" s="188"/>
      <c r="X361" s="188"/>
      <c r="Y361" s="188"/>
      <c r="Z361" s="188"/>
      <c r="AA361" s="188"/>
      <c r="AB361" s="139"/>
      <c r="AC361" s="188"/>
    </row>
    <row r="362">
      <c r="A362" s="107">
        <v>2018.0</v>
      </c>
      <c r="B362" s="131"/>
      <c r="C362" s="230">
        <v>45155.689719594906</v>
      </c>
      <c r="D362" s="139" t="s">
        <v>1673</v>
      </c>
      <c r="E362" s="215">
        <v>1.800016068E9</v>
      </c>
      <c r="F362" s="139" t="s">
        <v>1674</v>
      </c>
      <c r="G362" s="139" t="s">
        <v>1675</v>
      </c>
      <c r="H362" s="139" t="s">
        <v>1676</v>
      </c>
      <c r="I362" s="139" t="s">
        <v>399</v>
      </c>
      <c r="J362" s="139" t="s">
        <v>241</v>
      </c>
      <c r="K362" s="139"/>
      <c r="L362" s="139"/>
      <c r="N362" s="139"/>
      <c r="O362" s="148" t="s">
        <v>40</v>
      </c>
      <c r="P362" s="243">
        <v>45162.0</v>
      </c>
      <c r="Q362" s="195" t="s">
        <v>680</v>
      </c>
      <c r="R362" s="139"/>
      <c r="S362" s="139"/>
      <c r="T362" s="139"/>
      <c r="U362" s="139"/>
      <c r="V362" s="242" t="s">
        <v>316</v>
      </c>
      <c r="W362" s="139"/>
      <c r="X362" s="139"/>
      <c r="Y362" s="139"/>
      <c r="Z362" s="139"/>
      <c r="AA362" s="139"/>
      <c r="AB362" s="139"/>
      <c r="AC362" s="139"/>
    </row>
    <row r="363">
      <c r="A363" s="107">
        <v>2017.0</v>
      </c>
      <c r="B363" s="131"/>
      <c r="C363" s="230">
        <v>45156.250786122684</v>
      </c>
      <c r="D363" s="139" t="s">
        <v>1677</v>
      </c>
      <c r="E363" s="215">
        <v>1.700016072E9</v>
      </c>
      <c r="F363" s="139" t="s">
        <v>1678</v>
      </c>
      <c r="G363" s="139" t="s">
        <v>1679</v>
      </c>
      <c r="H363" s="139" t="s">
        <v>1680</v>
      </c>
      <c r="I363" s="139" t="s">
        <v>399</v>
      </c>
      <c r="J363" s="139" t="s">
        <v>241</v>
      </c>
      <c r="K363" s="139"/>
      <c r="L363" s="139"/>
      <c r="N363" s="139"/>
      <c r="O363" s="148" t="s">
        <v>72</v>
      </c>
      <c r="P363" s="246">
        <v>45162.0</v>
      </c>
      <c r="Q363" s="148" t="s">
        <v>1431</v>
      </c>
      <c r="R363" s="139"/>
      <c r="S363" s="139"/>
      <c r="T363" s="139"/>
      <c r="U363" s="139"/>
      <c r="V363" s="242" t="s">
        <v>316</v>
      </c>
      <c r="W363" s="139"/>
      <c r="X363" s="139"/>
      <c r="Y363" s="139"/>
      <c r="Z363" s="139"/>
      <c r="AA363" s="139"/>
      <c r="AB363" s="139"/>
      <c r="AC363" s="139"/>
    </row>
    <row r="364">
      <c r="A364" s="148">
        <v>2019.0</v>
      </c>
      <c r="B364" s="139"/>
      <c r="C364" s="230">
        <v>45166.31854028936</v>
      </c>
      <c r="D364" s="139" t="s">
        <v>1681</v>
      </c>
      <c r="E364" s="215">
        <v>1.900016153E9</v>
      </c>
      <c r="F364" s="139" t="s">
        <v>1682</v>
      </c>
      <c r="G364" s="139" t="s">
        <v>1683</v>
      </c>
      <c r="H364" s="139" t="s">
        <v>1684</v>
      </c>
      <c r="I364" s="139" t="s">
        <v>399</v>
      </c>
      <c r="J364" s="148" t="s">
        <v>27</v>
      </c>
      <c r="K364" s="139"/>
      <c r="L364" s="139"/>
      <c r="N364" s="139"/>
      <c r="O364" s="148" t="s">
        <v>72</v>
      </c>
      <c r="P364" s="195" t="s">
        <v>1685</v>
      </c>
      <c r="Q364" s="195" t="s">
        <v>680</v>
      </c>
      <c r="R364" s="190" t="s">
        <v>1686</v>
      </c>
      <c r="S364" s="139"/>
      <c r="T364" s="139"/>
      <c r="U364" s="139"/>
      <c r="V364" s="242" t="s">
        <v>316</v>
      </c>
      <c r="W364" s="139"/>
      <c r="X364" s="139"/>
      <c r="Y364" s="139"/>
      <c r="Z364" s="139"/>
      <c r="AA364" s="139"/>
      <c r="AB364" s="139"/>
      <c r="AC364" s="139"/>
    </row>
    <row r="365">
      <c r="A365" s="148">
        <v>2019.0</v>
      </c>
      <c r="B365" s="139"/>
      <c r="C365" s="230">
        <v>45166.318709259256</v>
      </c>
      <c r="D365" s="139" t="s">
        <v>1687</v>
      </c>
      <c r="E365" s="215">
        <v>1.900016052E9</v>
      </c>
      <c r="F365" s="139" t="s">
        <v>1688</v>
      </c>
      <c r="G365" s="139" t="s">
        <v>1689</v>
      </c>
      <c r="H365" s="139" t="s">
        <v>1690</v>
      </c>
      <c r="I365" s="139" t="s">
        <v>399</v>
      </c>
      <c r="J365" s="148" t="s">
        <v>27</v>
      </c>
      <c r="K365" s="139"/>
      <c r="L365" s="139"/>
      <c r="N365" s="139"/>
      <c r="O365" s="148" t="s">
        <v>72</v>
      </c>
      <c r="P365" s="195" t="s">
        <v>1685</v>
      </c>
      <c r="Q365" s="195" t="s">
        <v>767</v>
      </c>
      <c r="R365" s="190" t="s">
        <v>1691</v>
      </c>
      <c r="S365" s="139"/>
      <c r="T365" s="139"/>
      <c r="U365" s="139"/>
      <c r="V365" s="242" t="s">
        <v>316</v>
      </c>
      <c r="W365" s="139"/>
      <c r="X365" s="139"/>
      <c r="Y365" s="139"/>
      <c r="Z365" s="139"/>
      <c r="AA365" s="139"/>
      <c r="AB365" s="139"/>
      <c r="AC365" s="139"/>
    </row>
    <row r="366">
      <c r="A366" s="148">
        <v>2019.0</v>
      </c>
      <c r="B366" s="131"/>
      <c r="C366" s="217">
        <v>45168.96792511574</v>
      </c>
      <c r="D366" s="194" t="s">
        <v>1692</v>
      </c>
      <c r="E366" s="218">
        <v>1.900016039E9</v>
      </c>
      <c r="F366" s="194" t="s">
        <v>1693</v>
      </c>
      <c r="G366" s="194" t="s">
        <v>1694</v>
      </c>
      <c r="H366" s="194" t="s">
        <v>1695</v>
      </c>
      <c r="I366" s="194" t="s">
        <v>399</v>
      </c>
      <c r="J366" s="195" t="s">
        <v>39</v>
      </c>
      <c r="K366" s="194"/>
      <c r="L366" s="194"/>
      <c r="N366" s="194"/>
      <c r="O366" s="195" t="s">
        <v>1696</v>
      </c>
      <c r="P366" s="243">
        <v>45177.0</v>
      </c>
      <c r="Q366" s="195" t="s">
        <v>772</v>
      </c>
      <c r="R366" s="238" t="s">
        <v>1697</v>
      </c>
      <c r="S366" s="194"/>
      <c r="T366" s="194"/>
      <c r="U366" s="194"/>
      <c r="V366" s="239" t="s">
        <v>316</v>
      </c>
      <c r="W366" s="194"/>
      <c r="X366" s="194"/>
      <c r="Y366" s="194"/>
      <c r="Z366" s="194"/>
      <c r="AA366" s="194"/>
      <c r="AB366" s="194"/>
      <c r="AC366" s="194"/>
    </row>
    <row r="367">
      <c r="A367" s="148">
        <v>2019.0</v>
      </c>
      <c r="B367" s="131"/>
      <c r="C367" s="217">
        <v>45170.46727980324</v>
      </c>
      <c r="D367" s="194" t="s">
        <v>1698</v>
      </c>
      <c r="E367" s="139" t="s">
        <v>1699</v>
      </c>
      <c r="F367" s="139" t="s">
        <v>1700</v>
      </c>
      <c r="G367" s="139" t="s">
        <v>399</v>
      </c>
      <c r="H367" s="148" t="s">
        <v>39</v>
      </c>
      <c r="I367" s="190" t="s">
        <v>1701</v>
      </c>
      <c r="J367" s="190" t="s">
        <v>1702</v>
      </c>
      <c r="K367" s="194"/>
      <c r="L367" s="194"/>
      <c r="N367" s="194"/>
      <c r="O367" s="148" t="s">
        <v>28</v>
      </c>
      <c r="P367" s="247">
        <v>45180.0</v>
      </c>
      <c r="Q367" s="195" t="s">
        <v>772</v>
      </c>
      <c r="R367" s="238" t="s">
        <v>1703</v>
      </c>
      <c r="S367" s="194"/>
      <c r="T367" s="194"/>
      <c r="U367" s="194"/>
      <c r="V367" s="239" t="s">
        <v>316</v>
      </c>
      <c r="W367" s="194"/>
      <c r="X367" s="194"/>
      <c r="Y367" s="194"/>
      <c r="Z367" s="194"/>
      <c r="AA367" s="194"/>
      <c r="AB367" s="194"/>
      <c r="AC367" s="194"/>
    </row>
    <row r="368">
      <c r="A368" s="148">
        <v>2019.0</v>
      </c>
      <c r="B368" s="131"/>
      <c r="C368" s="217">
        <v>45170.467733472215</v>
      </c>
      <c r="D368" s="194" t="s">
        <v>1704</v>
      </c>
      <c r="E368" s="139" t="s">
        <v>1705</v>
      </c>
      <c r="F368" s="139" t="s">
        <v>1706</v>
      </c>
      <c r="G368" s="139" t="s">
        <v>399</v>
      </c>
      <c r="H368" s="139" t="s">
        <v>117</v>
      </c>
      <c r="I368" s="190" t="s">
        <v>1707</v>
      </c>
      <c r="J368" s="190" t="s">
        <v>1708</v>
      </c>
      <c r="K368" s="194"/>
      <c r="L368" s="194"/>
      <c r="N368" s="194"/>
      <c r="O368" s="148" t="s">
        <v>28</v>
      </c>
      <c r="P368" s="247">
        <v>45180.0</v>
      </c>
      <c r="Q368" s="195" t="s">
        <v>694</v>
      </c>
      <c r="R368" s="197" t="s">
        <v>1709</v>
      </c>
      <c r="S368" s="194"/>
      <c r="T368" s="194"/>
      <c r="U368" s="194"/>
      <c r="V368" s="239" t="s">
        <v>316</v>
      </c>
      <c r="W368" s="194"/>
      <c r="X368" s="194"/>
      <c r="Y368" s="194"/>
      <c r="Z368" s="194"/>
      <c r="AA368" s="194"/>
      <c r="AB368" s="194"/>
      <c r="AC368" s="194"/>
    </row>
    <row r="369">
      <c r="A369" s="148">
        <v>2019.0</v>
      </c>
      <c r="B369" s="131"/>
      <c r="C369" s="230">
        <v>45173.072192141204</v>
      </c>
      <c r="D369" s="139" t="s">
        <v>1710</v>
      </c>
      <c r="E369" s="139" t="s">
        <v>1711</v>
      </c>
      <c r="F369" s="139" t="s">
        <v>1712</v>
      </c>
      <c r="G369" s="139" t="s">
        <v>399</v>
      </c>
      <c r="H369" s="139" t="s">
        <v>230</v>
      </c>
      <c r="I369" s="190" t="s">
        <v>1713</v>
      </c>
      <c r="J369" s="190" t="s">
        <v>1714</v>
      </c>
      <c r="N369" s="139"/>
      <c r="O369" s="148" t="s">
        <v>703</v>
      </c>
      <c r="P369" s="243">
        <v>45181.0</v>
      </c>
      <c r="Q369" s="194"/>
      <c r="R369" s="150" t="s">
        <v>1715</v>
      </c>
      <c r="S369" s="139"/>
      <c r="T369" s="139"/>
      <c r="U369" s="139"/>
      <c r="V369" s="242" t="s">
        <v>316</v>
      </c>
      <c r="W369" s="139"/>
      <c r="X369" s="139"/>
      <c r="Y369" s="139"/>
      <c r="Z369" s="139"/>
      <c r="AA369" s="139"/>
      <c r="AB369" s="139"/>
      <c r="AC369" s="139"/>
    </row>
    <row r="370">
      <c r="A370" s="148">
        <v>2019.0</v>
      </c>
      <c r="B370" s="131"/>
      <c r="C370" s="230">
        <v>45173.43586421297</v>
      </c>
      <c r="D370" s="139" t="s">
        <v>1716</v>
      </c>
      <c r="E370" s="215">
        <v>1.900016165E9</v>
      </c>
      <c r="F370" s="139" t="s">
        <v>1717</v>
      </c>
      <c r="N370" s="139"/>
      <c r="O370" s="148" t="s">
        <v>28</v>
      </c>
      <c r="P370" s="243">
        <v>45180.0</v>
      </c>
      <c r="Q370" s="195" t="s">
        <v>689</v>
      </c>
      <c r="R370" s="190" t="s">
        <v>1718</v>
      </c>
      <c r="S370" s="148" t="s">
        <v>1719</v>
      </c>
      <c r="T370" s="139"/>
      <c r="U370" s="139"/>
      <c r="V370" s="242" t="s">
        <v>316</v>
      </c>
      <c r="W370" s="139"/>
      <c r="X370" s="139"/>
      <c r="Y370" s="139"/>
      <c r="Z370" s="139"/>
      <c r="AA370" s="139"/>
      <c r="AB370" s="139"/>
      <c r="AC370" s="139"/>
    </row>
    <row r="371">
      <c r="A371" s="148">
        <v>2019.0</v>
      </c>
      <c r="B371" s="131"/>
      <c r="C371" s="230">
        <v>45173.88520666667</v>
      </c>
      <c r="D371" s="139" t="s">
        <v>1720</v>
      </c>
      <c r="E371" s="215">
        <v>1.900016071E9</v>
      </c>
      <c r="F371" s="139" t="s">
        <v>1721</v>
      </c>
      <c r="H371" s="248" t="s">
        <v>1722</v>
      </c>
      <c r="I371" s="248" t="s">
        <v>399</v>
      </c>
      <c r="J371" s="248" t="s">
        <v>230</v>
      </c>
      <c r="N371" s="139"/>
      <c r="O371" s="148" t="s">
        <v>703</v>
      </c>
      <c r="P371" s="243">
        <v>45180.0</v>
      </c>
      <c r="Q371" s="195" t="s">
        <v>1723</v>
      </c>
      <c r="R371" s="190" t="s">
        <v>1724</v>
      </c>
      <c r="S371" s="148" t="s">
        <v>1725</v>
      </c>
      <c r="T371" s="139"/>
      <c r="U371" s="139"/>
      <c r="V371" s="242" t="s">
        <v>316</v>
      </c>
      <c r="W371" s="139"/>
      <c r="X371" s="139"/>
      <c r="Y371" s="139"/>
      <c r="Z371" s="139"/>
      <c r="AA371" s="139"/>
      <c r="AB371" s="139"/>
      <c r="AC371" s="139"/>
    </row>
    <row r="372">
      <c r="A372" s="148">
        <v>2019.0</v>
      </c>
      <c r="B372" s="131"/>
      <c r="C372" s="230">
        <v>45173.88587</v>
      </c>
      <c r="D372" s="139" t="s">
        <v>1726</v>
      </c>
      <c r="E372" s="215">
        <v>1.900016142E9</v>
      </c>
      <c r="F372" s="139" t="s">
        <v>1727</v>
      </c>
      <c r="G372" s="139" t="s">
        <v>1728</v>
      </c>
      <c r="H372" s="139" t="s">
        <v>1729</v>
      </c>
      <c r="I372" s="139" t="s">
        <v>399</v>
      </c>
      <c r="J372" s="139" t="s">
        <v>183</v>
      </c>
      <c r="K372" s="139"/>
      <c r="L372" s="139"/>
      <c r="N372" s="139"/>
      <c r="O372" s="148" t="s">
        <v>123</v>
      </c>
      <c r="P372" s="243">
        <v>45180.0</v>
      </c>
      <c r="Q372" s="195" t="s">
        <v>851</v>
      </c>
      <c r="R372" s="190" t="s">
        <v>1730</v>
      </c>
      <c r="S372" s="148" t="s">
        <v>1725</v>
      </c>
      <c r="T372" s="139"/>
      <c r="U372" s="139"/>
      <c r="V372" s="242" t="s">
        <v>316</v>
      </c>
      <c r="W372" s="139"/>
      <c r="X372" s="139"/>
      <c r="Y372" s="139"/>
      <c r="Z372" s="139"/>
      <c r="AA372" s="139"/>
      <c r="AB372" s="139"/>
      <c r="AC372" s="139"/>
    </row>
    <row r="373">
      <c r="A373" s="107">
        <v>2018.0</v>
      </c>
      <c r="B373" s="131"/>
      <c r="C373" s="230">
        <v>45173.91479252315</v>
      </c>
      <c r="D373" s="139" t="s">
        <v>1731</v>
      </c>
      <c r="E373" s="215">
        <v>1.800016079E9</v>
      </c>
      <c r="F373" s="139" t="s">
        <v>1732</v>
      </c>
      <c r="G373" s="139" t="s">
        <v>1733</v>
      </c>
      <c r="H373" s="148" t="s">
        <v>1734</v>
      </c>
      <c r="I373" s="139" t="s">
        <v>399</v>
      </c>
      <c r="J373" s="139" t="s">
        <v>117</v>
      </c>
      <c r="K373" s="139"/>
      <c r="L373" s="139"/>
      <c r="N373" s="139"/>
      <c r="O373" s="148" t="s">
        <v>703</v>
      </c>
      <c r="P373" s="243">
        <v>45180.0</v>
      </c>
      <c r="Q373" s="195" t="s">
        <v>1636</v>
      </c>
      <c r="R373" s="139"/>
      <c r="S373" s="148" t="s">
        <v>1725</v>
      </c>
      <c r="T373" s="139"/>
      <c r="U373" s="139"/>
      <c r="V373" s="242" t="s">
        <v>316</v>
      </c>
      <c r="W373" s="139"/>
      <c r="X373" s="139"/>
      <c r="Y373" s="139"/>
      <c r="Z373" s="139"/>
      <c r="AA373" s="139"/>
      <c r="AB373" s="139"/>
      <c r="AC373" s="139"/>
    </row>
    <row r="374">
      <c r="A374" s="107">
        <v>2019.0</v>
      </c>
      <c r="B374" s="131"/>
      <c r="C374" s="230">
        <v>45175.7686800463</v>
      </c>
      <c r="D374" s="139" t="s">
        <v>1735</v>
      </c>
      <c r="E374" s="215">
        <v>1.900016046E9</v>
      </c>
      <c r="F374" s="139" t="s">
        <v>1736</v>
      </c>
      <c r="G374" s="139" t="s">
        <v>1737</v>
      </c>
      <c r="H374" s="139" t="s">
        <v>1738</v>
      </c>
      <c r="I374" s="139" t="s">
        <v>399</v>
      </c>
      <c r="J374" s="139" t="s">
        <v>747</v>
      </c>
      <c r="K374" s="139"/>
      <c r="L374" s="139"/>
      <c r="N374" s="139"/>
      <c r="O374" s="148" t="s">
        <v>703</v>
      </c>
      <c r="P374" s="243">
        <v>45183.0</v>
      </c>
      <c r="Q374" s="195" t="s">
        <v>1739</v>
      </c>
      <c r="R374" s="190" t="s">
        <v>1740</v>
      </c>
      <c r="S374" s="139"/>
      <c r="T374" s="139"/>
      <c r="U374" s="139"/>
      <c r="V374" s="242" t="s">
        <v>316</v>
      </c>
      <c r="W374" s="139"/>
      <c r="X374" s="139"/>
      <c r="Y374" s="139"/>
      <c r="Z374" s="139"/>
      <c r="AA374" s="139"/>
      <c r="AB374" s="139"/>
      <c r="AC374" s="139"/>
    </row>
    <row r="375">
      <c r="A375" s="107">
        <v>2017.0</v>
      </c>
      <c r="B375" s="131"/>
      <c r="C375" s="230">
        <v>45178.11368949075</v>
      </c>
      <c r="D375" s="139" t="s">
        <v>1741</v>
      </c>
      <c r="E375" s="215">
        <v>1.700016047E9</v>
      </c>
      <c r="F375" s="139" t="s">
        <v>1742</v>
      </c>
      <c r="G375" s="139" t="s">
        <v>1743</v>
      </c>
      <c r="H375" s="139" t="s">
        <v>1744</v>
      </c>
      <c r="I375" s="139" t="s">
        <v>399</v>
      </c>
      <c r="J375" s="139" t="s">
        <v>747</v>
      </c>
      <c r="K375" s="139"/>
      <c r="L375" s="139"/>
      <c r="N375" s="139"/>
      <c r="O375" s="148" t="s">
        <v>123</v>
      </c>
      <c r="P375" s="243">
        <v>45187.0</v>
      </c>
      <c r="Q375" s="148" t="s">
        <v>680</v>
      </c>
      <c r="R375" s="139"/>
      <c r="S375" s="139"/>
      <c r="T375" s="139"/>
      <c r="U375" s="139"/>
      <c r="V375" s="242" t="s">
        <v>316</v>
      </c>
      <c r="W375" s="139"/>
      <c r="X375" s="139"/>
      <c r="Y375" s="139"/>
      <c r="Z375" s="139"/>
      <c r="AA375" s="139"/>
      <c r="AB375" s="139"/>
      <c r="AC375" s="139"/>
    </row>
    <row r="376">
      <c r="A376" s="107">
        <v>2017.0</v>
      </c>
      <c r="B376" s="131"/>
      <c r="C376" s="230">
        <v>45179.00849282407</v>
      </c>
      <c r="D376" s="139" t="s">
        <v>1745</v>
      </c>
      <c r="E376" s="215">
        <v>1.700016055E9</v>
      </c>
      <c r="F376" s="139" t="s">
        <v>1746</v>
      </c>
      <c r="G376" s="139" t="s">
        <v>1747</v>
      </c>
      <c r="H376" s="148" t="s">
        <v>1748</v>
      </c>
      <c r="I376" s="139" t="s">
        <v>399</v>
      </c>
      <c r="J376" s="139" t="s">
        <v>747</v>
      </c>
      <c r="K376" s="139"/>
      <c r="L376" s="139"/>
      <c r="N376" s="139"/>
      <c r="O376" s="148" t="s">
        <v>123</v>
      </c>
      <c r="P376" s="243">
        <v>45187.0</v>
      </c>
      <c r="Q376" s="148" t="s">
        <v>1739</v>
      </c>
      <c r="R376" s="139"/>
      <c r="S376" s="139"/>
      <c r="T376" s="139"/>
      <c r="U376" s="139"/>
      <c r="V376" s="242" t="s">
        <v>316</v>
      </c>
      <c r="W376" s="139"/>
      <c r="X376" s="139"/>
      <c r="Y376" s="139"/>
      <c r="Z376" s="139"/>
      <c r="AA376" s="139"/>
      <c r="AB376" s="139"/>
      <c r="AC376" s="139"/>
    </row>
    <row r="377">
      <c r="A377" s="107">
        <v>2019.0</v>
      </c>
      <c r="B377" s="131"/>
      <c r="C377" s="230">
        <v>45182.8049359838</v>
      </c>
      <c r="D377" s="139" t="s">
        <v>1749</v>
      </c>
      <c r="E377" s="215">
        <v>1.900016168E9</v>
      </c>
      <c r="F377" s="139" t="s">
        <v>1750</v>
      </c>
      <c r="G377" s="139" t="s">
        <v>1751</v>
      </c>
      <c r="H377" s="139" t="s">
        <v>1752</v>
      </c>
      <c r="I377" s="139" t="s">
        <v>399</v>
      </c>
      <c r="J377" s="139" t="s">
        <v>241</v>
      </c>
      <c r="K377" s="139"/>
      <c r="L377" s="139"/>
      <c r="N377" s="139"/>
      <c r="O377" s="148" t="s">
        <v>1066</v>
      </c>
      <c r="P377" s="243">
        <v>45189.0</v>
      </c>
      <c r="Q377" s="195" t="s">
        <v>1753</v>
      </c>
      <c r="R377" s="190" t="s">
        <v>1754</v>
      </c>
      <c r="S377" s="139"/>
      <c r="T377" s="139"/>
      <c r="U377" s="139"/>
      <c r="V377" s="242" t="s">
        <v>316</v>
      </c>
      <c r="W377" s="139"/>
      <c r="X377" s="139"/>
      <c r="Y377" s="139"/>
      <c r="Z377" s="139"/>
      <c r="AA377" s="139"/>
      <c r="AB377" s="139"/>
      <c r="AC377" s="139"/>
    </row>
    <row r="378">
      <c r="A378" s="107">
        <v>2019.0</v>
      </c>
      <c r="B378" s="131"/>
      <c r="C378" s="230">
        <v>45182.811658032406</v>
      </c>
      <c r="D378" s="139" t="s">
        <v>1755</v>
      </c>
      <c r="E378" s="215">
        <v>1.900016166E9</v>
      </c>
      <c r="F378" s="139" t="s">
        <v>1756</v>
      </c>
      <c r="G378" s="139" t="s">
        <v>1757</v>
      </c>
      <c r="H378" s="139" t="s">
        <v>1758</v>
      </c>
      <c r="I378" s="139" t="s">
        <v>399</v>
      </c>
      <c r="J378" s="139" t="s">
        <v>241</v>
      </c>
      <c r="K378" s="139"/>
      <c r="L378" s="139"/>
      <c r="N378" s="139"/>
      <c r="O378" s="148" t="s">
        <v>1066</v>
      </c>
      <c r="P378" s="243">
        <v>45189.0</v>
      </c>
      <c r="Q378" s="195" t="s">
        <v>1028</v>
      </c>
      <c r="R378" s="190" t="s">
        <v>1759</v>
      </c>
      <c r="S378" s="139"/>
      <c r="T378" s="139"/>
      <c r="U378" s="139"/>
      <c r="V378" s="242" t="s">
        <v>316</v>
      </c>
      <c r="W378" s="139"/>
      <c r="X378" s="139"/>
      <c r="Y378" s="139"/>
      <c r="Z378" s="139"/>
      <c r="AA378" s="139"/>
      <c r="AB378" s="139"/>
      <c r="AC378" s="139"/>
    </row>
    <row r="379">
      <c r="A379" s="107">
        <v>2017.0</v>
      </c>
      <c r="B379" s="131"/>
      <c r="C379" s="230">
        <v>45183.634733796294</v>
      </c>
      <c r="D379" s="139" t="s">
        <v>1760</v>
      </c>
      <c r="E379" s="215">
        <v>1.700016037E9</v>
      </c>
      <c r="F379" s="139" t="s">
        <v>1761</v>
      </c>
      <c r="G379" s="139" t="s">
        <v>1762</v>
      </c>
      <c r="H379" s="139" t="s">
        <v>1763</v>
      </c>
      <c r="I379" s="139" t="s">
        <v>399</v>
      </c>
      <c r="J379" s="148" t="s">
        <v>27</v>
      </c>
      <c r="K379" s="139"/>
      <c r="L379" s="139"/>
      <c r="N379" s="139"/>
      <c r="O379" s="195" t="s">
        <v>1696</v>
      </c>
      <c r="P379" s="246">
        <v>45189.0</v>
      </c>
      <c r="Q379" s="148" t="s">
        <v>694</v>
      </c>
      <c r="R379" s="139"/>
      <c r="S379" s="139"/>
      <c r="T379" s="139"/>
      <c r="U379" s="139"/>
      <c r="V379" s="242" t="s">
        <v>316</v>
      </c>
      <c r="W379" s="139"/>
      <c r="X379" s="139"/>
      <c r="Y379" s="139"/>
      <c r="Z379" s="139"/>
      <c r="AA379" s="139"/>
      <c r="AB379" s="139"/>
      <c r="AC379" s="139"/>
    </row>
    <row r="380">
      <c r="A380" s="107">
        <v>2019.0</v>
      </c>
      <c r="B380" s="131"/>
      <c r="C380" s="230">
        <v>45183.968909999996</v>
      </c>
      <c r="D380" s="139" t="s">
        <v>1764</v>
      </c>
      <c r="E380" s="215">
        <v>1.900016178E9</v>
      </c>
      <c r="F380" s="139" t="s">
        <v>1765</v>
      </c>
      <c r="G380" s="139" t="s">
        <v>1766</v>
      </c>
      <c r="H380" s="139" t="s">
        <v>1767</v>
      </c>
      <c r="I380" s="139" t="s">
        <v>399</v>
      </c>
      <c r="J380" s="139" t="s">
        <v>241</v>
      </c>
      <c r="K380" s="139"/>
      <c r="L380" s="139"/>
      <c r="N380" s="139"/>
      <c r="O380" s="148" t="s">
        <v>1066</v>
      </c>
      <c r="P380" s="243">
        <v>45189.0</v>
      </c>
      <c r="Q380" s="195" t="s">
        <v>1768</v>
      </c>
      <c r="R380" s="190" t="s">
        <v>1769</v>
      </c>
      <c r="S380" s="139"/>
      <c r="T380" s="139"/>
      <c r="U380" s="139"/>
      <c r="V380" s="242" t="s">
        <v>316</v>
      </c>
      <c r="W380" s="139"/>
      <c r="X380" s="139"/>
      <c r="Y380" s="139"/>
      <c r="Z380" s="139"/>
      <c r="AA380" s="139"/>
      <c r="AB380" s="139"/>
      <c r="AC380" s="139"/>
    </row>
    <row r="381">
      <c r="A381" s="107">
        <v>2018.0</v>
      </c>
      <c r="B381" s="131"/>
      <c r="C381" s="230">
        <v>45190.992186967596</v>
      </c>
      <c r="D381" s="139" t="s">
        <v>1770</v>
      </c>
      <c r="E381" s="215">
        <v>1.800016128E9</v>
      </c>
      <c r="F381" s="139" t="s">
        <v>1771</v>
      </c>
      <c r="G381" s="139" t="s">
        <v>1772</v>
      </c>
      <c r="H381" s="139" t="s">
        <v>1773</v>
      </c>
      <c r="I381" s="139" t="s">
        <v>399</v>
      </c>
      <c r="J381" s="148" t="s">
        <v>39</v>
      </c>
      <c r="K381" s="139"/>
      <c r="L381" s="139"/>
      <c r="N381" s="139"/>
      <c r="O381" s="148" t="s">
        <v>703</v>
      </c>
      <c r="P381" s="243">
        <v>45199.0</v>
      </c>
      <c r="Q381" s="195" t="s">
        <v>1774</v>
      </c>
      <c r="R381" s="139"/>
      <c r="S381" s="139"/>
      <c r="T381" s="139"/>
      <c r="U381" s="139"/>
      <c r="V381" s="242" t="s">
        <v>316</v>
      </c>
      <c r="W381" s="139"/>
      <c r="X381" s="139"/>
      <c r="Y381" s="139"/>
      <c r="Z381" s="139"/>
      <c r="AA381" s="139"/>
      <c r="AB381" s="139"/>
      <c r="AC381" s="139"/>
    </row>
    <row r="382">
      <c r="A382" s="107">
        <v>2019.0</v>
      </c>
      <c r="B382" s="131"/>
      <c r="C382" s="230">
        <v>45193.923027233795</v>
      </c>
      <c r="D382" s="139" t="s">
        <v>1775</v>
      </c>
      <c r="E382" s="215">
        <v>1.900016084E9</v>
      </c>
      <c r="F382" s="139" t="s">
        <v>1776</v>
      </c>
      <c r="G382" s="139" t="s">
        <v>1777</v>
      </c>
      <c r="H382" s="139" t="s">
        <v>1778</v>
      </c>
      <c r="I382" s="139" t="s">
        <v>399</v>
      </c>
      <c r="J382" s="148" t="s">
        <v>27</v>
      </c>
      <c r="K382" s="139"/>
      <c r="L382" s="139"/>
      <c r="N382" s="139"/>
      <c r="O382" s="139" t="s">
        <v>241</v>
      </c>
      <c r="P382" s="243">
        <v>45203.0</v>
      </c>
      <c r="Q382" s="195" t="s">
        <v>689</v>
      </c>
      <c r="R382" s="190" t="s">
        <v>1779</v>
      </c>
      <c r="S382" s="139"/>
      <c r="T382" s="139"/>
      <c r="U382" s="139"/>
      <c r="V382" s="242" t="s">
        <v>316</v>
      </c>
      <c r="W382" s="139"/>
      <c r="X382" s="139"/>
      <c r="Y382" s="139"/>
      <c r="Z382" s="139"/>
      <c r="AA382" s="139"/>
      <c r="AB382" s="139"/>
      <c r="AC382" s="139"/>
    </row>
    <row r="383">
      <c r="A383" s="107">
        <v>2019.0</v>
      </c>
      <c r="B383" s="131"/>
      <c r="C383" s="217">
        <v>45196.012142175925</v>
      </c>
      <c r="D383" s="194" t="s">
        <v>1780</v>
      </c>
      <c r="E383" s="218">
        <v>1.900016112E9</v>
      </c>
      <c r="F383" s="194" t="s">
        <v>1780</v>
      </c>
      <c r="G383" s="194" t="s">
        <v>1781</v>
      </c>
      <c r="H383" s="194" t="s">
        <v>1782</v>
      </c>
      <c r="I383" s="194" t="s">
        <v>399</v>
      </c>
      <c r="J383" s="195" t="s">
        <v>27</v>
      </c>
      <c r="K383" s="194"/>
      <c r="L383" s="194"/>
      <c r="N383" s="194"/>
      <c r="O383" s="139" t="s">
        <v>241</v>
      </c>
      <c r="P383" s="243">
        <v>45203.0</v>
      </c>
      <c r="Q383" s="195" t="s">
        <v>895</v>
      </c>
      <c r="R383" s="238" t="s">
        <v>1783</v>
      </c>
      <c r="S383" s="194"/>
      <c r="T383" s="194"/>
      <c r="U383" s="194"/>
      <c r="V383" s="239" t="s">
        <v>316</v>
      </c>
      <c r="W383" s="194"/>
      <c r="X383" s="194"/>
      <c r="Y383" s="194"/>
      <c r="Z383" s="194"/>
      <c r="AA383" s="194"/>
      <c r="AB383" s="194"/>
      <c r="AC383" s="194"/>
    </row>
    <row r="384">
      <c r="A384" s="107">
        <v>2019.0</v>
      </c>
      <c r="B384" s="131"/>
      <c r="C384" s="249">
        <v>45197.86834526621</v>
      </c>
      <c r="D384" s="137" t="s">
        <v>1784</v>
      </c>
      <c r="E384" s="250">
        <v>1.900016131E9</v>
      </c>
      <c r="F384" s="137" t="s">
        <v>1785</v>
      </c>
      <c r="G384" s="137" t="s">
        <v>1786</v>
      </c>
      <c r="H384" s="137" t="s">
        <v>1787</v>
      </c>
      <c r="I384" s="137" t="s">
        <v>399</v>
      </c>
      <c r="J384" s="137" t="s">
        <v>183</v>
      </c>
      <c r="K384" s="141"/>
      <c r="L384" s="141"/>
      <c r="N384" s="141"/>
      <c r="O384" s="139" t="s">
        <v>241</v>
      </c>
      <c r="P384" s="243">
        <v>45204.0</v>
      </c>
      <c r="Q384" s="195" t="s">
        <v>689</v>
      </c>
      <c r="R384" s="141" t="s">
        <v>1788</v>
      </c>
      <c r="S384" s="137"/>
      <c r="T384" s="137"/>
      <c r="U384" s="137"/>
      <c r="V384" s="251" t="s">
        <v>316</v>
      </c>
      <c r="W384" s="137"/>
      <c r="X384" s="137"/>
      <c r="Y384" s="137"/>
      <c r="Z384" s="137"/>
      <c r="AA384" s="137"/>
      <c r="AB384" s="137"/>
      <c r="AC384" s="137"/>
    </row>
    <row r="385">
      <c r="A385" s="195">
        <v>2019.0</v>
      </c>
      <c r="B385" s="194"/>
      <c r="C385" s="217">
        <v>45201.25956209491</v>
      </c>
      <c r="D385" s="194" t="s">
        <v>1789</v>
      </c>
      <c r="E385" s="218">
        <v>1.900016162E9</v>
      </c>
      <c r="F385" s="194" t="s">
        <v>1790</v>
      </c>
      <c r="G385" s="194" t="s">
        <v>1791</v>
      </c>
      <c r="H385" s="194" t="s">
        <v>1792</v>
      </c>
      <c r="I385" s="194" t="s">
        <v>399</v>
      </c>
      <c r="J385" s="194" t="s">
        <v>183</v>
      </c>
      <c r="K385" s="194"/>
      <c r="L385" s="194"/>
      <c r="N385" s="194"/>
      <c r="O385" s="195" t="s">
        <v>1066</v>
      </c>
      <c r="P385" s="243">
        <v>45209.0</v>
      </c>
      <c r="Q385" s="195" t="s">
        <v>1793</v>
      </c>
      <c r="R385" s="238" t="s">
        <v>1794</v>
      </c>
      <c r="S385" s="194"/>
      <c r="T385" s="194"/>
      <c r="U385" s="194"/>
      <c r="V385" s="239" t="s">
        <v>316</v>
      </c>
      <c r="W385" s="194"/>
      <c r="X385" s="194"/>
      <c r="Y385" s="194"/>
      <c r="Z385" s="194"/>
      <c r="AA385" s="194"/>
      <c r="AB385" s="194"/>
      <c r="AC385" s="194"/>
    </row>
    <row r="386">
      <c r="A386" s="107">
        <v>2019.0</v>
      </c>
      <c r="B386" s="131"/>
      <c r="C386" s="230">
        <v>45203.95263373842</v>
      </c>
      <c r="D386" s="139" t="s">
        <v>1795</v>
      </c>
      <c r="E386" s="215">
        <v>1.900016092E9</v>
      </c>
      <c r="F386" s="139" t="s">
        <v>1796</v>
      </c>
      <c r="G386" s="139" t="s">
        <v>1797</v>
      </c>
      <c r="H386" s="139" t="s">
        <v>1798</v>
      </c>
      <c r="I386" s="139" t="s">
        <v>399</v>
      </c>
      <c r="J386" s="139" t="s">
        <v>117</v>
      </c>
      <c r="K386" s="139"/>
      <c r="L386" s="139"/>
      <c r="N386" s="139"/>
      <c r="O386" s="148" t="s">
        <v>1144</v>
      </c>
      <c r="P386" s="243">
        <v>45208.0</v>
      </c>
      <c r="Q386" s="195" t="s">
        <v>1793</v>
      </c>
      <c r="R386" s="190" t="s">
        <v>1799</v>
      </c>
      <c r="S386" s="139"/>
      <c r="T386" s="139"/>
      <c r="U386" s="139"/>
      <c r="V386" s="242" t="s">
        <v>316</v>
      </c>
      <c r="W386" s="139"/>
      <c r="X386" s="139"/>
      <c r="Y386" s="139"/>
      <c r="Z386" s="139"/>
      <c r="AA386" s="139"/>
      <c r="AB386" s="139"/>
      <c r="AC386" s="139"/>
    </row>
    <row r="387">
      <c r="A387" s="107">
        <v>2018.0</v>
      </c>
      <c r="B387" s="131"/>
      <c r="C387" s="230">
        <v>45212.976323194445</v>
      </c>
      <c r="D387" s="139" t="s">
        <v>1800</v>
      </c>
      <c r="E387" s="148">
        <v>1.800016011E9</v>
      </c>
      <c r="F387" s="139" t="s">
        <v>1801</v>
      </c>
      <c r="G387" s="139" t="s">
        <v>1802</v>
      </c>
      <c r="H387" s="139" t="s">
        <v>1803</v>
      </c>
      <c r="I387" s="139" t="s">
        <v>399</v>
      </c>
      <c r="J387" s="139" t="s">
        <v>241</v>
      </c>
      <c r="K387" s="139"/>
      <c r="L387" s="139"/>
      <c r="N387" s="139"/>
      <c r="O387" s="148" t="s">
        <v>1131</v>
      </c>
      <c r="P387" s="243">
        <v>45218.0</v>
      </c>
      <c r="Q387" s="195" t="s">
        <v>1793</v>
      </c>
      <c r="R387" s="139"/>
      <c r="S387" s="139"/>
      <c r="T387" s="139"/>
      <c r="U387" s="139"/>
      <c r="V387" s="242" t="s">
        <v>316</v>
      </c>
      <c r="W387" s="139"/>
      <c r="X387" s="139"/>
      <c r="Y387" s="139"/>
      <c r="Z387" s="139"/>
      <c r="AA387" s="139"/>
      <c r="AB387" s="139"/>
      <c r="AC387" s="139"/>
    </row>
    <row r="388">
      <c r="A388" s="107">
        <v>2019.0</v>
      </c>
      <c r="B388" s="131"/>
      <c r="C388" s="187">
        <v>45235.44741510417</v>
      </c>
      <c r="D388" s="188" t="s">
        <v>1804</v>
      </c>
      <c r="E388" s="189">
        <v>1.900016196E9</v>
      </c>
      <c r="F388" s="188" t="s">
        <v>1805</v>
      </c>
      <c r="G388" s="188" t="s">
        <v>1806</v>
      </c>
      <c r="H388" s="188" t="s">
        <v>1807</v>
      </c>
      <c r="I388" s="188" t="s">
        <v>399</v>
      </c>
      <c r="J388" s="188" t="s">
        <v>747</v>
      </c>
      <c r="K388" s="139"/>
      <c r="L388" s="139"/>
      <c r="N388" s="188"/>
      <c r="O388" s="148" t="s">
        <v>703</v>
      </c>
      <c r="P388" s="243">
        <v>45243.0</v>
      </c>
      <c r="Q388" s="184" t="s">
        <v>1552</v>
      </c>
      <c r="R388" s="190" t="s">
        <v>1808</v>
      </c>
      <c r="S388" s="188"/>
      <c r="T388" s="188"/>
      <c r="U388" s="188"/>
      <c r="V388" s="245" t="s">
        <v>316</v>
      </c>
      <c r="W388" s="188"/>
      <c r="X388" s="188"/>
      <c r="Y388" s="188"/>
      <c r="Z388" s="188"/>
      <c r="AA388" s="188"/>
      <c r="AB388" s="139"/>
      <c r="AC388" s="188"/>
    </row>
    <row r="389">
      <c r="A389" s="107">
        <v>2019.0</v>
      </c>
      <c r="B389" s="131"/>
      <c r="C389" s="187">
        <v>45238.13848194444</v>
      </c>
      <c r="D389" s="188" t="s">
        <v>1809</v>
      </c>
      <c r="E389" s="189">
        <v>1.900016037E9</v>
      </c>
      <c r="F389" s="188" t="s">
        <v>1810</v>
      </c>
      <c r="G389" s="188" t="s">
        <v>1811</v>
      </c>
      <c r="H389" s="252" t="s">
        <v>1812</v>
      </c>
      <c r="I389" s="188" t="s">
        <v>399</v>
      </c>
      <c r="J389" s="252" t="s">
        <v>703</v>
      </c>
      <c r="K389" s="139"/>
      <c r="L389" s="139"/>
      <c r="N389" s="188"/>
      <c r="O389" s="148" t="s">
        <v>72</v>
      </c>
      <c r="P389" s="243">
        <v>45247.0</v>
      </c>
      <c r="Q389" s="184" t="s">
        <v>767</v>
      </c>
      <c r="R389" s="190" t="s">
        <v>1813</v>
      </c>
      <c r="S389" s="188"/>
      <c r="T389" s="188"/>
      <c r="U389" s="188"/>
      <c r="V389" s="245" t="s">
        <v>316</v>
      </c>
      <c r="W389" s="188"/>
      <c r="X389" s="188"/>
      <c r="Y389" s="188"/>
      <c r="Z389" s="188"/>
      <c r="AA389" s="188"/>
      <c r="AB389" s="139"/>
      <c r="AC389" s="188"/>
    </row>
    <row r="390">
      <c r="A390" s="107">
        <v>2019.0</v>
      </c>
      <c r="B390" s="131"/>
      <c r="C390" s="187">
        <v>45241.13246502315</v>
      </c>
      <c r="D390" s="188" t="s">
        <v>1814</v>
      </c>
      <c r="E390" s="189">
        <v>1.900016009E9</v>
      </c>
      <c r="F390" s="188" t="s">
        <v>1815</v>
      </c>
      <c r="G390" s="188" t="s">
        <v>1816</v>
      </c>
      <c r="H390" s="252" t="s">
        <v>1817</v>
      </c>
      <c r="I390" s="188" t="s">
        <v>399</v>
      </c>
      <c r="J390" s="188" t="s">
        <v>183</v>
      </c>
      <c r="K390" s="139"/>
      <c r="L390" s="139"/>
      <c r="N390" s="188"/>
      <c r="O390" s="148" t="s">
        <v>123</v>
      </c>
      <c r="P390" s="183">
        <v>45250.0</v>
      </c>
      <c r="Q390" s="184" t="s">
        <v>1121</v>
      </c>
      <c r="R390" s="190" t="s">
        <v>1818</v>
      </c>
      <c r="S390" s="188"/>
      <c r="T390" s="188"/>
      <c r="U390" s="188"/>
      <c r="V390" s="245" t="s">
        <v>316</v>
      </c>
      <c r="W390" s="188"/>
      <c r="X390" s="188"/>
      <c r="Y390" s="188"/>
      <c r="Z390" s="188"/>
      <c r="AA390" s="188"/>
      <c r="AB390" s="139"/>
      <c r="AC390" s="188"/>
    </row>
    <row r="391">
      <c r="A391" s="107">
        <v>2018.0</v>
      </c>
      <c r="B391" s="188"/>
      <c r="C391" s="187">
        <v>45244.90317387731</v>
      </c>
      <c r="D391" s="188" t="s">
        <v>1819</v>
      </c>
      <c r="E391" s="189">
        <v>1.800016127E9</v>
      </c>
      <c r="F391" s="188" t="s">
        <v>1820</v>
      </c>
      <c r="G391" s="188" t="s">
        <v>1821</v>
      </c>
      <c r="H391" s="252" t="s">
        <v>1822</v>
      </c>
      <c r="I391" s="188" t="s">
        <v>399</v>
      </c>
      <c r="J391" s="188" t="s">
        <v>747</v>
      </c>
      <c r="K391" s="139"/>
      <c r="L391" s="139"/>
      <c r="N391" s="188"/>
      <c r="O391" s="148" t="s">
        <v>703</v>
      </c>
      <c r="P391" s="183">
        <v>45250.0</v>
      </c>
      <c r="Q391" s="184" t="s">
        <v>680</v>
      </c>
      <c r="R391" s="139"/>
      <c r="S391" s="188"/>
      <c r="T391" s="188"/>
      <c r="U391" s="188"/>
      <c r="V391" s="245" t="s">
        <v>316</v>
      </c>
      <c r="W391" s="188"/>
      <c r="X391" s="188"/>
      <c r="Y391" s="188"/>
      <c r="Z391" s="188"/>
      <c r="AA391" s="188"/>
      <c r="AB391" s="139"/>
      <c r="AC391" s="188"/>
    </row>
    <row r="392">
      <c r="A392" s="253">
        <v>2018.0</v>
      </c>
      <c r="B392" s="254"/>
      <c r="C392" s="255">
        <v>45235.82900479167</v>
      </c>
      <c r="D392" s="254" t="s">
        <v>1823</v>
      </c>
      <c r="E392" s="256">
        <v>1.800016031E9</v>
      </c>
      <c r="F392" s="254" t="s">
        <v>1824</v>
      </c>
      <c r="G392" s="254" t="s">
        <v>1825</v>
      </c>
      <c r="H392" s="254" t="s">
        <v>1826</v>
      </c>
      <c r="I392" s="254" t="s">
        <v>399</v>
      </c>
      <c r="J392" s="254" t="s">
        <v>241</v>
      </c>
      <c r="K392" s="257"/>
      <c r="L392" s="257"/>
      <c r="N392" s="254"/>
      <c r="O392" s="258" t="s">
        <v>1131</v>
      </c>
      <c r="P392" s="183">
        <v>45250.0</v>
      </c>
      <c r="Q392" s="259" t="s">
        <v>698</v>
      </c>
      <c r="R392" s="257"/>
      <c r="S392" s="254"/>
      <c r="T392" s="254"/>
      <c r="U392" s="254"/>
      <c r="V392" s="245" t="s">
        <v>316</v>
      </c>
      <c r="W392" s="254"/>
      <c r="X392" s="254"/>
      <c r="Y392" s="254"/>
      <c r="Z392" s="254"/>
      <c r="AA392" s="254"/>
      <c r="AB392" s="257"/>
      <c r="AC392" s="254"/>
    </row>
    <row r="393">
      <c r="A393" s="252">
        <v>2019.0</v>
      </c>
      <c r="B393" s="188"/>
      <c r="C393" s="187">
        <v>45250.085688576386</v>
      </c>
      <c r="D393" s="188" t="s">
        <v>1827</v>
      </c>
      <c r="E393" s="189">
        <v>1.90001613E9</v>
      </c>
      <c r="F393" s="188" t="s">
        <v>1828</v>
      </c>
      <c r="G393" s="188" t="s">
        <v>1829</v>
      </c>
      <c r="H393" s="252" t="s">
        <v>1830</v>
      </c>
      <c r="I393" s="188" t="s">
        <v>399</v>
      </c>
      <c r="J393" s="188" t="s">
        <v>183</v>
      </c>
      <c r="K393" s="139"/>
      <c r="L393" s="139"/>
      <c r="N393" s="188"/>
      <c r="O393" s="148" t="s">
        <v>703</v>
      </c>
      <c r="P393" s="183">
        <v>45255.0</v>
      </c>
      <c r="Q393" s="233"/>
      <c r="R393" s="190" t="s">
        <v>1831</v>
      </c>
      <c r="S393" s="188"/>
      <c r="T393" s="188"/>
      <c r="U393" s="188"/>
      <c r="V393" s="245" t="s">
        <v>316</v>
      </c>
      <c r="W393" s="188"/>
      <c r="X393" s="188"/>
      <c r="Y393" s="188"/>
      <c r="Z393" s="188"/>
      <c r="AA393" s="188"/>
      <c r="AB393" s="139"/>
      <c r="AC393" s="188"/>
    </row>
    <row r="394">
      <c r="A394" s="107">
        <v>2019.0</v>
      </c>
      <c r="B394" s="131"/>
      <c r="C394" s="187">
        <v>45251.07114893518</v>
      </c>
      <c r="D394" s="188" t="s">
        <v>1832</v>
      </c>
      <c r="E394" s="188">
        <v>1.900016167E9</v>
      </c>
      <c r="F394" s="188" t="s">
        <v>1833</v>
      </c>
      <c r="G394" s="188" t="s">
        <v>1834</v>
      </c>
      <c r="H394" s="188" t="s">
        <v>1835</v>
      </c>
      <c r="I394" s="188" t="s">
        <v>399</v>
      </c>
      <c r="J394" s="188" t="s">
        <v>117</v>
      </c>
      <c r="K394" s="139"/>
      <c r="L394" s="139"/>
      <c r="N394" s="188"/>
      <c r="O394" s="148" t="s">
        <v>703</v>
      </c>
      <c r="P394" s="183">
        <v>45257.0</v>
      </c>
      <c r="Q394" s="184" t="s">
        <v>1836</v>
      </c>
      <c r="R394" s="190" t="s">
        <v>1837</v>
      </c>
      <c r="S394" s="188"/>
      <c r="T394" s="188"/>
      <c r="U394" s="188"/>
      <c r="V394" s="245" t="s">
        <v>316</v>
      </c>
      <c r="W394" s="188"/>
      <c r="X394" s="188"/>
      <c r="Y394" s="188"/>
      <c r="Z394" s="188"/>
      <c r="AA394" s="188"/>
      <c r="AB394" s="139"/>
      <c r="AC394" s="188"/>
    </row>
    <row r="395">
      <c r="A395" s="107">
        <v>2019.0</v>
      </c>
      <c r="B395" s="131"/>
      <c r="C395" s="187">
        <v>45251.16504648149</v>
      </c>
      <c r="D395" s="188" t="s">
        <v>1838</v>
      </c>
      <c r="E395" s="188">
        <v>1.900016174E9</v>
      </c>
      <c r="F395" s="188" t="s">
        <v>1839</v>
      </c>
      <c r="G395" s="188" t="s">
        <v>1840</v>
      </c>
      <c r="H395" s="188" t="s">
        <v>1841</v>
      </c>
      <c r="I395" s="188" t="s">
        <v>399</v>
      </c>
      <c r="J395" s="188" t="s">
        <v>117</v>
      </c>
      <c r="K395" s="139"/>
      <c r="L395" s="139"/>
      <c r="N395" s="188"/>
      <c r="O395" s="148" t="s">
        <v>28</v>
      </c>
      <c r="P395" s="183">
        <v>45257.0</v>
      </c>
      <c r="Q395" s="184" t="s">
        <v>1552</v>
      </c>
      <c r="R395" s="190" t="s">
        <v>1842</v>
      </c>
      <c r="S395" s="188"/>
      <c r="T395" s="188"/>
      <c r="U395" s="188"/>
      <c r="V395" s="245" t="s">
        <v>316</v>
      </c>
      <c r="W395" s="188"/>
      <c r="X395" s="188"/>
      <c r="Y395" s="188"/>
      <c r="Z395" s="188"/>
      <c r="AA395" s="188"/>
      <c r="AB395" s="139"/>
      <c r="AC395" s="188"/>
    </row>
    <row r="396">
      <c r="A396" s="107">
        <v>2017.0</v>
      </c>
      <c r="B396" s="131"/>
      <c r="C396" s="230">
        <v>45251.789250092595</v>
      </c>
      <c r="D396" s="139" t="s">
        <v>1843</v>
      </c>
      <c r="E396" s="139">
        <v>1.700016058E9</v>
      </c>
      <c r="F396" s="139" t="s">
        <v>1844</v>
      </c>
      <c r="G396" s="139" t="s">
        <v>1845</v>
      </c>
      <c r="H396" s="148" t="s">
        <v>1846</v>
      </c>
      <c r="I396" s="139" t="s">
        <v>399</v>
      </c>
      <c r="J396" s="139" t="s">
        <v>241</v>
      </c>
      <c r="K396" s="139"/>
      <c r="L396" s="139"/>
      <c r="N396" s="139"/>
      <c r="O396" s="148" t="s">
        <v>352</v>
      </c>
      <c r="P396" s="260">
        <v>45260.0</v>
      </c>
      <c r="Q396" s="139"/>
      <c r="R396" s="139"/>
      <c r="S396" s="139"/>
      <c r="T396" s="139"/>
      <c r="U396" s="139"/>
      <c r="V396" s="242" t="s">
        <v>316</v>
      </c>
      <c r="W396" s="139"/>
      <c r="X396" s="139"/>
      <c r="Y396" s="139"/>
      <c r="Z396" s="139"/>
      <c r="AA396" s="139"/>
      <c r="AB396" s="139"/>
      <c r="AC396" s="139"/>
    </row>
    <row r="397">
      <c r="A397" s="107">
        <v>2019.0</v>
      </c>
      <c r="B397" s="131"/>
      <c r="C397" s="230">
        <v>45252.29679627315</v>
      </c>
      <c r="D397" s="139" t="s">
        <v>1847</v>
      </c>
      <c r="E397" s="139">
        <v>1.900016147E9</v>
      </c>
      <c r="F397" s="139" t="s">
        <v>1848</v>
      </c>
      <c r="G397" s="139" t="s">
        <v>1618</v>
      </c>
      <c r="H397" s="139" t="s">
        <v>1849</v>
      </c>
      <c r="I397" s="139" t="s">
        <v>399</v>
      </c>
      <c r="J397" s="148" t="s">
        <v>27</v>
      </c>
      <c r="K397" s="139"/>
      <c r="L397" s="139"/>
      <c r="N397" s="139"/>
      <c r="O397" s="148" t="s">
        <v>123</v>
      </c>
      <c r="P397" s="183">
        <v>45260.0</v>
      </c>
      <c r="Q397" s="194"/>
      <c r="R397" s="190" t="s">
        <v>1850</v>
      </c>
      <c r="S397" s="139"/>
      <c r="T397" s="139"/>
      <c r="U397" s="139"/>
      <c r="V397" s="242" t="s">
        <v>316</v>
      </c>
      <c r="W397" s="139"/>
      <c r="X397" s="139"/>
      <c r="Y397" s="139"/>
      <c r="Z397" s="139"/>
      <c r="AA397" s="139"/>
      <c r="AB397" s="139"/>
      <c r="AC397" s="139"/>
    </row>
    <row r="398">
      <c r="A398" s="107">
        <v>2019.0</v>
      </c>
      <c r="B398" s="131"/>
      <c r="C398" s="230">
        <v>45252.39861599537</v>
      </c>
      <c r="D398" s="139" t="s">
        <v>1780</v>
      </c>
      <c r="E398" s="139">
        <v>1.900016112E9</v>
      </c>
      <c r="F398" s="139" t="s">
        <v>1851</v>
      </c>
      <c r="G398" s="139" t="s">
        <v>1781</v>
      </c>
      <c r="H398" s="139" t="s">
        <v>1852</v>
      </c>
      <c r="I398" s="139" t="s">
        <v>399</v>
      </c>
      <c r="J398" s="148" t="s">
        <v>27</v>
      </c>
      <c r="K398" s="139"/>
      <c r="L398" s="139"/>
      <c r="N398" s="139"/>
      <c r="O398" s="148" t="s">
        <v>123</v>
      </c>
      <c r="P398" s="183">
        <v>45260.0</v>
      </c>
      <c r="Q398" s="194"/>
      <c r="R398" s="190" t="s">
        <v>1853</v>
      </c>
      <c r="S398" s="139"/>
      <c r="T398" s="139"/>
      <c r="U398" s="139"/>
      <c r="V398" s="242" t="s">
        <v>316</v>
      </c>
      <c r="W398" s="139"/>
      <c r="X398" s="139"/>
      <c r="Y398" s="139"/>
      <c r="Z398" s="139"/>
      <c r="AA398" s="139"/>
      <c r="AB398" s="139"/>
      <c r="AC398" s="139"/>
    </row>
    <row r="399">
      <c r="A399" s="107">
        <v>2019.0</v>
      </c>
      <c r="B399" s="131"/>
      <c r="C399" s="187">
        <v>45254.064772060185</v>
      </c>
      <c r="D399" s="188" t="s">
        <v>1854</v>
      </c>
      <c r="E399" s="188">
        <v>1.915016132E9</v>
      </c>
      <c r="F399" s="188" t="s">
        <v>1855</v>
      </c>
      <c r="G399" s="188" t="s">
        <v>1856</v>
      </c>
      <c r="H399" s="188" t="s">
        <v>1857</v>
      </c>
      <c r="I399" s="188" t="s">
        <v>399</v>
      </c>
      <c r="J399" s="188" t="s">
        <v>117</v>
      </c>
      <c r="K399" s="139"/>
      <c r="L399" s="139"/>
      <c r="N399" s="188"/>
      <c r="O399" s="148" t="s">
        <v>28</v>
      </c>
      <c r="P399" s="183">
        <v>45264.0</v>
      </c>
      <c r="Q399" s="184" t="s">
        <v>1858</v>
      </c>
      <c r="R399" s="190" t="s">
        <v>1859</v>
      </c>
      <c r="S399" s="188"/>
      <c r="T399" s="188"/>
      <c r="U399" s="188"/>
      <c r="V399" s="245" t="s">
        <v>316</v>
      </c>
      <c r="W399" s="188"/>
      <c r="X399" s="188"/>
      <c r="Y399" s="188"/>
      <c r="Z399" s="188"/>
      <c r="AA399" s="188"/>
      <c r="AB399" s="139"/>
      <c r="AC399" s="188"/>
    </row>
    <row r="400">
      <c r="A400" s="107">
        <v>2019.0</v>
      </c>
      <c r="B400" s="131"/>
      <c r="C400" s="187">
        <v>45256.9038187963</v>
      </c>
      <c r="D400" s="188" t="s">
        <v>1860</v>
      </c>
      <c r="E400" s="188">
        <v>1.900016118E9</v>
      </c>
      <c r="F400" s="188" t="s">
        <v>1861</v>
      </c>
      <c r="G400" s="188" t="s">
        <v>1862</v>
      </c>
      <c r="H400" s="188" t="s">
        <v>1863</v>
      </c>
      <c r="I400" s="188" t="s">
        <v>399</v>
      </c>
      <c r="J400" s="188" t="s">
        <v>183</v>
      </c>
      <c r="K400" s="139"/>
      <c r="L400" s="139"/>
      <c r="N400" s="188"/>
      <c r="O400" s="148" t="s">
        <v>123</v>
      </c>
      <c r="P400" s="183">
        <v>45264.0</v>
      </c>
      <c r="Q400" s="184" t="s">
        <v>1534</v>
      </c>
      <c r="R400" s="190" t="s">
        <v>1864</v>
      </c>
      <c r="S400" s="188"/>
      <c r="T400" s="188"/>
      <c r="U400" s="188"/>
      <c r="V400" s="245" t="s">
        <v>316</v>
      </c>
      <c r="W400" s="188"/>
      <c r="X400" s="188"/>
      <c r="Y400" s="188"/>
      <c r="Z400" s="188"/>
      <c r="AA400" s="188"/>
      <c r="AB400" s="139"/>
      <c r="AC400" s="188"/>
    </row>
    <row r="401">
      <c r="A401" s="107">
        <v>2019.0</v>
      </c>
      <c r="B401" s="131"/>
      <c r="C401" s="187">
        <v>45256.92950334491</v>
      </c>
      <c r="D401" s="188" t="s">
        <v>1865</v>
      </c>
      <c r="E401" s="188">
        <v>1.900016028E9</v>
      </c>
      <c r="F401" s="188" t="s">
        <v>1866</v>
      </c>
      <c r="G401" s="188" t="s">
        <v>1867</v>
      </c>
      <c r="H401" s="188" t="s">
        <v>1868</v>
      </c>
      <c r="I401" s="188" t="s">
        <v>399</v>
      </c>
      <c r="J401" s="188" t="s">
        <v>117</v>
      </c>
      <c r="K401" s="139"/>
      <c r="L401" s="139"/>
      <c r="N401" s="188"/>
      <c r="O401" s="148" t="s">
        <v>1066</v>
      </c>
      <c r="P401" s="183">
        <v>45268.0</v>
      </c>
      <c r="Q401" s="184" t="s">
        <v>1869</v>
      </c>
      <c r="R401" s="190" t="s">
        <v>1870</v>
      </c>
      <c r="S401" s="188"/>
      <c r="T401" s="188"/>
      <c r="U401" s="188"/>
      <c r="V401" s="245" t="s">
        <v>316</v>
      </c>
      <c r="W401" s="188"/>
      <c r="X401" s="188"/>
      <c r="Y401" s="188"/>
      <c r="Z401" s="188"/>
      <c r="AA401" s="188"/>
      <c r="AB401" s="139"/>
      <c r="AC401" s="188"/>
    </row>
    <row r="402">
      <c r="A402" s="107">
        <v>2018.0</v>
      </c>
      <c r="B402" s="131"/>
      <c r="C402" s="187">
        <v>45256.940110451396</v>
      </c>
      <c r="D402" s="188" t="s">
        <v>1871</v>
      </c>
      <c r="E402" s="188">
        <v>1.800016039E9</v>
      </c>
      <c r="F402" s="188" t="s">
        <v>1872</v>
      </c>
      <c r="G402" s="188" t="s">
        <v>1873</v>
      </c>
      <c r="H402" s="252" t="s">
        <v>1874</v>
      </c>
      <c r="I402" s="188" t="s">
        <v>399</v>
      </c>
      <c r="J402" s="188" t="s">
        <v>241</v>
      </c>
      <c r="K402" s="139"/>
      <c r="L402" s="139"/>
      <c r="N402" s="188"/>
      <c r="O402" s="148" t="s">
        <v>183</v>
      </c>
      <c r="P402" s="183">
        <v>45264.0</v>
      </c>
      <c r="Q402" s="184" t="s">
        <v>1540</v>
      </c>
      <c r="R402" s="139"/>
      <c r="S402" s="188"/>
      <c r="T402" s="188"/>
      <c r="U402" s="188"/>
      <c r="V402" s="245" t="s">
        <v>316</v>
      </c>
      <c r="W402" s="188"/>
      <c r="X402" s="188"/>
      <c r="Y402" s="188"/>
      <c r="Z402" s="188"/>
      <c r="AA402" s="188"/>
      <c r="AB402" s="139"/>
      <c r="AC402" s="188"/>
    </row>
    <row r="403">
      <c r="A403" s="107">
        <v>2019.0</v>
      </c>
      <c r="B403" s="131"/>
      <c r="C403" s="187">
        <v>45259.718787488426</v>
      </c>
      <c r="D403" s="188" t="s">
        <v>1875</v>
      </c>
      <c r="E403" s="188">
        <v>1.900016124E9</v>
      </c>
      <c r="F403" s="188" t="s">
        <v>1876</v>
      </c>
      <c r="G403" s="188" t="s">
        <v>1877</v>
      </c>
      <c r="H403" s="188" t="s">
        <v>1878</v>
      </c>
      <c r="I403" s="188" t="s">
        <v>399</v>
      </c>
      <c r="J403" s="252" t="s">
        <v>27</v>
      </c>
      <c r="K403" s="139"/>
      <c r="L403" s="139"/>
      <c r="N403" s="188"/>
      <c r="O403" s="148" t="s">
        <v>183</v>
      </c>
      <c r="P403" s="183">
        <v>45268.0</v>
      </c>
      <c r="Q403" s="184" t="s">
        <v>1879</v>
      </c>
      <c r="R403" s="190" t="s">
        <v>1880</v>
      </c>
      <c r="S403" s="188"/>
      <c r="T403" s="188"/>
      <c r="U403" s="188"/>
      <c r="V403" s="245" t="s">
        <v>316</v>
      </c>
      <c r="W403" s="188"/>
      <c r="X403" s="188"/>
      <c r="Y403" s="188"/>
      <c r="Z403" s="188"/>
      <c r="AA403" s="188"/>
      <c r="AB403" s="139"/>
      <c r="AC403" s="188"/>
    </row>
    <row r="404">
      <c r="A404" s="107">
        <v>2019.0</v>
      </c>
      <c r="B404" s="131"/>
      <c r="C404" s="187">
        <v>45261.98382819445</v>
      </c>
      <c r="D404" s="188" t="s">
        <v>1881</v>
      </c>
      <c r="E404" s="188">
        <v>1.900016012E9</v>
      </c>
      <c r="F404" s="188" t="s">
        <v>1882</v>
      </c>
      <c r="G404" s="188" t="s">
        <v>1883</v>
      </c>
      <c r="H404" s="188" t="s">
        <v>1884</v>
      </c>
      <c r="I404" s="188" t="s">
        <v>399</v>
      </c>
      <c r="J404" s="188" t="s">
        <v>241</v>
      </c>
      <c r="K404" s="139"/>
      <c r="L404" s="139"/>
      <c r="N404" s="188"/>
      <c r="O404" s="148" t="s">
        <v>1066</v>
      </c>
      <c r="P404" s="233"/>
      <c r="Q404" s="233"/>
      <c r="R404" s="156" t="s">
        <v>1885</v>
      </c>
      <c r="S404" s="188"/>
      <c r="T404" s="188"/>
      <c r="U404" s="188"/>
      <c r="V404" s="245" t="s">
        <v>316</v>
      </c>
      <c r="W404" s="188"/>
      <c r="X404" s="188"/>
      <c r="Y404" s="188"/>
      <c r="Z404" s="188"/>
      <c r="AA404" s="188"/>
      <c r="AB404" s="139"/>
      <c r="AC404" s="188"/>
    </row>
    <row r="405">
      <c r="A405" s="107">
        <v>2019.0</v>
      </c>
      <c r="B405" s="131"/>
      <c r="C405" s="187">
        <v>45265.01210821759</v>
      </c>
      <c r="D405" s="188" t="s">
        <v>1886</v>
      </c>
      <c r="E405" s="188">
        <v>1.700016118E9</v>
      </c>
      <c r="F405" s="188" t="s">
        <v>1887</v>
      </c>
      <c r="G405" s="188" t="s">
        <v>1888</v>
      </c>
      <c r="H405" s="188" t="s">
        <v>1889</v>
      </c>
      <c r="I405" s="188" t="s">
        <v>399</v>
      </c>
      <c r="J405" s="188" t="s">
        <v>747</v>
      </c>
      <c r="K405" s="139"/>
      <c r="L405" s="139"/>
      <c r="N405" s="188"/>
      <c r="O405" s="148" t="s">
        <v>28</v>
      </c>
      <c r="P405" s="183">
        <v>45271.0</v>
      </c>
      <c r="Q405" s="184" t="s">
        <v>689</v>
      </c>
      <c r="R405" s="139"/>
      <c r="S405" s="188"/>
      <c r="T405" s="188"/>
      <c r="U405" s="188"/>
      <c r="V405" s="245" t="s">
        <v>316</v>
      </c>
      <c r="W405" s="188"/>
      <c r="X405" s="188"/>
      <c r="Y405" s="188"/>
      <c r="Z405" s="188"/>
      <c r="AA405" s="188"/>
      <c r="AB405" s="139"/>
      <c r="AC405" s="188"/>
    </row>
    <row r="406">
      <c r="A406" s="107">
        <v>2019.0</v>
      </c>
      <c r="B406" s="131"/>
      <c r="C406" s="261">
        <v>45268.2912105787</v>
      </c>
      <c r="D406" s="262" t="s">
        <v>1775</v>
      </c>
      <c r="E406" s="263">
        <v>1.900016084E9</v>
      </c>
      <c r="F406" s="262" t="s">
        <v>1776</v>
      </c>
      <c r="G406" s="262" t="s">
        <v>1890</v>
      </c>
      <c r="H406" s="262" t="s">
        <v>1891</v>
      </c>
      <c r="I406" s="262" t="s">
        <v>399</v>
      </c>
      <c r="J406" s="264" t="s">
        <v>27</v>
      </c>
      <c r="K406" s="141"/>
      <c r="L406" s="141"/>
      <c r="N406" s="114"/>
      <c r="O406" s="148" t="s">
        <v>72</v>
      </c>
      <c r="P406" s="183">
        <v>45274.0</v>
      </c>
      <c r="Q406" s="265" t="s">
        <v>1858</v>
      </c>
      <c r="R406" s="141" t="s">
        <v>1892</v>
      </c>
      <c r="S406" s="262"/>
      <c r="T406" s="262"/>
      <c r="U406" s="262"/>
      <c r="V406" s="266" t="s">
        <v>316</v>
      </c>
      <c r="W406" s="262"/>
      <c r="X406" s="262"/>
      <c r="Y406" s="262"/>
      <c r="Z406" s="262"/>
      <c r="AA406" s="262"/>
      <c r="AB406" s="137"/>
      <c r="AC406" s="262"/>
    </row>
    <row r="407">
      <c r="A407" s="107">
        <v>2019.0</v>
      </c>
      <c r="B407" s="131"/>
      <c r="C407" s="187">
        <v>45269.834011921295</v>
      </c>
      <c r="D407" s="188" t="s">
        <v>521</v>
      </c>
      <c r="E407" s="188">
        <v>1.700016023E9</v>
      </c>
      <c r="F407" s="188" t="s">
        <v>1893</v>
      </c>
      <c r="G407" s="188" t="s">
        <v>523</v>
      </c>
      <c r="H407" s="188" t="s">
        <v>1894</v>
      </c>
      <c r="I407" s="188" t="s">
        <v>399</v>
      </c>
      <c r="J407" s="188" t="s">
        <v>117</v>
      </c>
      <c r="K407" s="139"/>
      <c r="L407" s="139"/>
      <c r="N407" s="188"/>
      <c r="O407" s="148" t="s">
        <v>1066</v>
      </c>
      <c r="P407" s="183">
        <v>45274.0</v>
      </c>
      <c r="Q407" s="184" t="s">
        <v>1895</v>
      </c>
      <c r="R407" s="139"/>
      <c r="S407" s="188"/>
      <c r="T407" s="188"/>
      <c r="U407" s="188"/>
      <c r="V407" s="245" t="s">
        <v>316</v>
      </c>
      <c r="W407" s="188"/>
      <c r="X407" s="188"/>
      <c r="Y407" s="188"/>
      <c r="Z407" s="188"/>
      <c r="AA407" s="188"/>
      <c r="AB407" s="139"/>
      <c r="AC407" s="188"/>
    </row>
    <row r="408">
      <c r="A408" s="107">
        <v>2019.0</v>
      </c>
      <c r="B408" s="131"/>
      <c r="C408" s="187">
        <v>45271.87386975694</v>
      </c>
      <c r="D408" s="188" t="s">
        <v>1896</v>
      </c>
      <c r="E408" s="188">
        <v>1.900016099E9</v>
      </c>
      <c r="F408" s="188" t="s">
        <v>1897</v>
      </c>
      <c r="G408" s="188" t="s">
        <v>1898</v>
      </c>
      <c r="H408" s="252" t="s">
        <v>1899</v>
      </c>
      <c r="I408" s="188" t="s">
        <v>399</v>
      </c>
      <c r="J408" s="188" t="s">
        <v>1900</v>
      </c>
      <c r="K408" s="139"/>
      <c r="L408" s="139"/>
      <c r="N408" s="139"/>
      <c r="O408" s="148" t="s">
        <v>703</v>
      </c>
      <c r="P408" s="183">
        <v>45278.0</v>
      </c>
      <c r="Q408" s="184" t="s">
        <v>689</v>
      </c>
      <c r="R408" s="190" t="s">
        <v>1901</v>
      </c>
      <c r="S408" s="188"/>
      <c r="T408" s="188"/>
      <c r="U408" s="188"/>
      <c r="V408" s="245" t="s">
        <v>316</v>
      </c>
      <c r="W408" s="188"/>
      <c r="X408" s="188"/>
      <c r="Y408" s="188"/>
      <c r="Z408" s="188"/>
      <c r="AA408" s="188"/>
      <c r="AB408" s="139"/>
      <c r="AC408" s="188"/>
    </row>
    <row r="409">
      <c r="A409" s="107">
        <v>2018.0</v>
      </c>
      <c r="B409" s="131"/>
      <c r="C409" s="187">
        <v>45273.038508680555</v>
      </c>
      <c r="D409" s="188" t="s">
        <v>1902</v>
      </c>
      <c r="E409" s="188">
        <v>1.800016142E9</v>
      </c>
      <c r="F409" s="188" t="s">
        <v>1903</v>
      </c>
      <c r="G409" s="188" t="s">
        <v>1904</v>
      </c>
      <c r="H409" s="188" t="s">
        <v>1905</v>
      </c>
      <c r="I409" s="188" t="s">
        <v>399</v>
      </c>
      <c r="J409" s="252" t="s">
        <v>703</v>
      </c>
      <c r="K409" s="139"/>
      <c r="L409" s="139"/>
      <c r="N409" s="139"/>
      <c r="O409" s="148" t="s">
        <v>72</v>
      </c>
      <c r="P409" s="183">
        <v>45278.0</v>
      </c>
      <c r="Q409" s="184" t="s">
        <v>1636</v>
      </c>
      <c r="R409" s="139"/>
      <c r="S409" s="188"/>
      <c r="T409" s="188"/>
      <c r="U409" s="188"/>
      <c r="V409" s="245" t="s">
        <v>316</v>
      </c>
      <c r="W409" s="188"/>
      <c r="X409" s="188"/>
      <c r="Y409" s="188"/>
      <c r="Z409" s="188"/>
      <c r="AA409" s="188"/>
      <c r="AB409" s="139"/>
      <c r="AC409" s="188"/>
    </row>
    <row r="410">
      <c r="A410" s="107">
        <v>2019.0</v>
      </c>
      <c r="B410" s="131"/>
      <c r="C410" s="187">
        <v>45276.17390943287</v>
      </c>
      <c r="D410" s="188" t="s">
        <v>1906</v>
      </c>
      <c r="E410" s="188">
        <v>1.900016135E9</v>
      </c>
      <c r="F410" s="188" t="s">
        <v>1907</v>
      </c>
      <c r="G410" s="188" t="s">
        <v>1908</v>
      </c>
      <c r="H410" s="188" t="s">
        <v>1909</v>
      </c>
      <c r="I410" s="188" t="s">
        <v>399</v>
      </c>
      <c r="J410" s="188" t="s">
        <v>747</v>
      </c>
      <c r="K410" s="139"/>
      <c r="L410" s="139"/>
      <c r="N410" s="139"/>
      <c r="O410" s="148" t="s">
        <v>1910</v>
      </c>
      <c r="P410" s="183">
        <v>45282.0</v>
      </c>
      <c r="Q410" s="184" t="s">
        <v>1869</v>
      </c>
      <c r="R410" s="267" t="s">
        <v>1911</v>
      </c>
      <c r="S410" s="188"/>
      <c r="T410" s="188"/>
      <c r="U410" s="188"/>
      <c r="V410" s="245" t="s">
        <v>316</v>
      </c>
      <c r="W410" s="188"/>
      <c r="X410" s="188"/>
      <c r="Y410" s="188"/>
      <c r="Z410" s="188"/>
      <c r="AA410" s="188"/>
      <c r="AB410" s="139"/>
      <c r="AC410" s="188"/>
    </row>
    <row r="411">
      <c r="A411" s="107">
        <v>2019.0</v>
      </c>
      <c r="B411" s="131"/>
      <c r="C411" s="187">
        <v>45278.88004181713</v>
      </c>
      <c r="D411" s="188" t="s">
        <v>1912</v>
      </c>
      <c r="E411" s="188">
        <v>1.900016136E9</v>
      </c>
      <c r="F411" s="188" t="s">
        <v>1913</v>
      </c>
      <c r="G411" s="188" t="s">
        <v>1914</v>
      </c>
      <c r="H411" s="188" t="s">
        <v>1915</v>
      </c>
      <c r="I411" s="188" t="s">
        <v>399</v>
      </c>
      <c r="J411" s="188" t="s">
        <v>747</v>
      </c>
      <c r="K411" s="139"/>
      <c r="L411" s="139"/>
      <c r="N411" s="139"/>
      <c r="O411" s="148" t="s">
        <v>1910</v>
      </c>
      <c r="P411" s="183">
        <v>45282.0</v>
      </c>
      <c r="Q411" s="184" t="s">
        <v>1879</v>
      </c>
      <c r="R411" s="156" t="s">
        <v>1916</v>
      </c>
      <c r="S411" s="188"/>
      <c r="T411" s="188"/>
      <c r="U411" s="188"/>
      <c r="V411" s="245" t="s">
        <v>316</v>
      </c>
      <c r="W411" s="188"/>
      <c r="X411" s="188"/>
      <c r="Y411" s="188"/>
      <c r="Z411" s="188"/>
      <c r="AA411" s="188"/>
      <c r="AB411" s="139"/>
      <c r="AC411" s="188"/>
    </row>
    <row r="412">
      <c r="A412" s="107">
        <v>2019.0</v>
      </c>
      <c r="B412" s="131"/>
      <c r="C412" s="187">
        <v>45279.01135836805</v>
      </c>
      <c r="D412" s="188" t="s">
        <v>1917</v>
      </c>
      <c r="E412" s="188">
        <v>1.900016091E9</v>
      </c>
      <c r="F412" s="188" t="s">
        <v>1918</v>
      </c>
      <c r="G412" s="188" t="s">
        <v>1919</v>
      </c>
      <c r="H412" s="188" t="s">
        <v>1920</v>
      </c>
      <c r="I412" s="188" t="s">
        <v>399</v>
      </c>
      <c r="J412" s="188" t="s">
        <v>747</v>
      </c>
      <c r="K412" s="139"/>
      <c r="L412" s="139"/>
      <c r="N412" s="139"/>
      <c r="O412" s="148" t="s">
        <v>1910</v>
      </c>
      <c r="P412" s="183">
        <v>45282.0</v>
      </c>
      <c r="Q412" s="184" t="s">
        <v>1921</v>
      </c>
      <c r="R412" s="190" t="s">
        <v>1922</v>
      </c>
      <c r="S412" s="188"/>
      <c r="T412" s="188"/>
      <c r="U412" s="188"/>
      <c r="V412" s="245" t="s">
        <v>316</v>
      </c>
      <c r="W412" s="188"/>
      <c r="X412" s="188"/>
      <c r="Y412" s="188"/>
      <c r="Z412" s="188"/>
      <c r="AA412" s="188"/>
      <c r="AB412" s="139"/>
      <c r="AC412" s="188"/>
    </row>
    <row r="413">
      <c r="A413" s="107">
        <v>2019.0</v>
      </c>
      <c r="B413" s="131"/>
      <c r="C413" s="187">
        <v>45279.848510462965</v>
      </c>
      <c r="D413" s="188" t="s">
        <v>1923</v>
      </c>
      <c r="E413" s="188">
        <v>1.900016015E9</v>
      </c>
      <c r="F413" s="188" t="s">
        <v>1924</v>
      </c>
      <c r="G413" s="188" t="s">
        <v>1925</v>
      </c>
      <c r="H413" s="188" t="s">
        <v>1926</v>
      </c>
      <c r="I413" s="188" t="s">
        <v>399</v>
      </c>
      <c r="J413" s="188" t="s">
        <v>117</v>
      </c>
      <c r="K413" s="268"/>
      <c r="L413" s="139"/>
      <c r="N413" s="139"/>
      <c r="O413" s="148" t="s">
        <v>1066</v>
      </c>
      <c r="P413" s="183">
        <v>45287.0</v>
      </c>
      <c r="Q413" s="184" t="s">
        <v>1793</v>
      </c>
      <c r="R413" s="190" t="s">
        <v>1927</v>
      </c>
      <c r="S413" s="252" t="s">
        <v>1928</v>
      </c>
      <c r="T413" s="188"/>
      <c r="U413" s="188"/>
      <c r="V413" s="245" t="s">
        <v>316</v>
      </c>
      <c r="W413" s="188"/>
      <c r="X413" s="188"/>
      <c r="Y413" s="188"/>
      <c r="Z413" s="188"/>
      <c r="AA413" s="188"/>
      <c r="AB413" s="139"/>
      <c r="AC413" s="188"/>
    </row>
    <row r="414">
      <c r="A414" s="134">
        <v>2019.0</v>
      </c>
      <c r="B414" s="191"/>
      <c r="C414" s="217">
        <v>45280.18391907408</v>
      </c>
      <c r="D414" s="194" t="s">
        <v>1929</v>
      </c>
      <c r="E414" s="194">
        <v>1.900016038E9</v>
      </c>
      <c r="F414" s="194" t="s">
        <v>1930</v>
      </c>
      <c r="G414" s="194" t="s">
        <v>1931</v>
      </c>
      <c r="H414" s="195" t="s">
        <v>1932</v>
      </c>
      <c r="I414" s="194" t="s">
        <v>399</v>
      </c>
      <c r="J414" s="194" t="s">
        <v>183</v>
      </c>
      <c r="K414" s="194"/>
      <c r="L414" s="194"/>
      <c r="N414" s="194"/>
      <c r="O414" s="195" t="s">
        <v>123</v>
      </c>
      <c r="P414" s="183">
        <v>45288.0</v>
      </c>
      <c r="Q414" s="195" t="s">
        <v>1869</v>
      </c>
      <c r="R414" s="238" t="s">
        <v>1933</v>
      </c>
      <c r="S414" s="184" t="s">
        <v>1928</v>
      </c>
      <c r="T414" s="194"/>
      <c r="U414" s="194"/>
      <c r="V414" s="239" t="s">
        <v>316</v>
      </c>
      <c r="W414" s="194"/>
      <c r="X414" s="194"/>
      <c r="Y414" s="194"/>
      <c r="Z414" s="194"/>
      <c r="AA414" s="194"/>
      <c r="AB414" s="194"/>
      <c r="AC414" s="194"/>
    </row>
    <row r="415">
      <c r="A415" s="134">
        <v>2019.0</v>
      </c>
      <c r="B415" s="191"/>
      <c r="C415" s="217">
        <v>45281.90545486111</v>
      </c>
      <c r="D415" s="194" t="s">
        <v>1638</v>
      </c>
      <c r="E415" s="194">
        <v>1.900016079E9</v>
      </c>
      <c r="F415" s="194" t="s">
        <v>1639</v>
      </c>
      <c r="G415" s="194" t="s">
        <v>1640</v>
      </c>
      <c r="H415" s="195" t="s">
        <v>1934</v>
      </c>
      <c r="I415" s="194" t="s">
        <v>399</v>
      </c>
      <c r="J415" s="194" t="s">
        <v>747</v>
      </c>
      <c r="K415" s="194"/>
      <c r="L415" s="194"/>
      <c r="N415" s="194"/>
      <c r="O415" s="195" t="s">
        <v>703</v>
      </c>
      <c r="P415" s="183">
        <v>45294.0</v>
      </c>
      <c r="Q415" s="195" t="s">
        <v>689</v>
      </c>
      <c r="R415" s="269" t="s">
        <v>1935</v>
      </c>
      <c r="S415" s="184"/>
      <c r="T415" s="194"/>
      <c r="U415" s="194"/>
      <c r="V415" s="239" t="s">
        <v>316</v>
      </c>
      <c r="W415" s="194"/>
      <c r="X415" s="194"/>
      <c r="Y415" s="194"/>
      <c r="Z415" s="194"/>
      <c r="AA415" s="194"/>
      <c r="AB415" s="194"/>
      <c r="AC415" s="194"/>
    </row>
    <row r="416">
      <c r="A416" s="107">
        <v>2019.0</v>
      </c>
      <c r="B416" s="131"/>
      <c r="C416" s="261">
        <v>45293.032076157404</v>
      </c>
      <c r="D416" s="262" t="s">
        <v>1936</v>
      </c>
      <c r="E416" s="263">
        <v>1.900016067E9</v>
      </c>
      <c r="F416" s="262" t="s">
        <v>1937</v>
      </c>
      <c r="G416" s="262" t="s">
        <v>1938</v>
      </c>
      <c r="H416" s="262" t="s">
        <v>1939</v>
      </c>
      <c r="I416" s="262" t="s">
        <v>399</v>
      </c>
      <c r="J416" s="262" t="s">
        <v>241</v>
      </c>
      <c r="K416" s="141"/>
      <c r="L416" s="141"/>
      <c r="N416" s="141"/>
      <c r="O416" s="148" t="s">
        <v>1066</v>
      </c>
      <c r="P416" s="183">
        <v>45299.0</v>
      </c>
      <c r="Q416" s="265" t="s">
        <v>1940</v>
      </c>
      <c r="R416" s="141" t="s">
        <v>1941</v>
      </c>
      <c r="S416" s="262"/>
      <c r="T416" s="262"/>
      <c r="U416" s="262"/>
      <c r="V416" s="266" t="s">
        <v>316</v>
      </c>
      <c r="W416" s="262"/>
      <c r="X416" s="262"/>
      <c r="Y416" s="262"/>
      <c r="Z416" s="262"/>
      <c r="AA416" s="262"/>
      <c r="AB416" s="137"/>
      <c r="AC416" s="262"/>
    </row>
    <row r="417">
      <c r="A417" s="270">
        <v>2020.0</v>
      </c>
      <c r="B417" s="271"/>
      <c r="C417" s="272">
        <v>45295.976695694444</v>
      </c>
      <c r="D417" s="273" t="s">
        <v>1942</v>
      </c>
      <c r="E417" s="273">
        <v>2.000016093E9</v>
      </c>
      <c r="F417" s="273" t="s">
        <v>1943</v>
      </c>
      <c r="G417" s="273" t="s">
        <v>1944</v>
      </c>
      <c r="H417" s="274" t="s">
        <v>1945</v>
      </c>
      <c r="I417" s="273" t="s">
        <v>399</v>
      </c>
      <c r="J417" s="273" t="s">
        <v>183</v>
      </c>
      <c r="K417" s="275"/>
      <c r="L417" s="276"/>
      <c r="N417" s="276"/>
      <c r="O417" s="277" t="s">
        <v>703</v>
      </c>
      <c r="P417" s="278">
        <v>45308.0</v>
      </c>
      <c r="Q417" s="279" t="s">
        <v>1946</v>
      </c>
      <c r="R417" s="280" t="s">
        <v>1947</v>
      </c>
      <c r="S417" s="281" t="s">
        <v>1948</v>
      </c>
      <c r="T417" s="271"/>
      <c r="U417" s="271"/>
      <c r="V417" s="282" t="s">
        <v>316</v>
      </c>
      <c r="W417" s="271"/>
      <c r="X417" s="271"/>
      <c r="Y417" s="271"/>
      <c r="Z417" s="271"/>
      <c r="AA417" s="271"/>
      <c r="AB417" s="276"/>
      <c r="AC417" s="271"/>
    </row>
    <row r="418">
      <c r="A418" s="270">
        <v>2020.0</v>
      </c>
      <c r="B418" s="271"/>
      <c r="C418" s="272">
        <v>45295.97706505787</v>
      </c>
      <c r="D418" s="273" t="s">
        <v>1949</v>
      </c>
      <c r="E418" s="273">
        <v>2.000016082E9</v>
      </c>
      <c r="F418" s="273" t="s">
        <v>1950</v>
      </c>
      <c r="G418" s="273" t="s">
        <v>1951</v>
      </c>
      <c r="H418" s="273" t="s">
        <v>1952</v>
      </c>
      <c r="I418" s="273" t="s">
        <v>399</v>
      </c>
      <c r="J418" s="273" t="s">
        <v>183</v>
      </c>
      <c r="K418" s="275"/>
      <c r="L418" s="276"/>
      <c r="N418" s="276"/>
      <c r="O418" s="277" t="s">
        <v>703</v>
      </c>
      <c r="P418" s="278">
        <v>45308.0</v>
      </c>
      <c r="Q418" s="279" t="s">
        <v>1953</v>
      </c>
      <c r="R418" s="280" t="s">
        <v>1954</v>
      </c>
      <c r="S418" s="281" t="s">
        <v>1948</v>
      </c>
      <c r="T418" s="271"/>
      <c r="U418" s="271"/>
      <c r="V418" s="282" t="s">
        <v>316</v>
      </c>
      <c r="W418" s="271"/>
      <c r="X418" s="271"/>
      <c r="Y418" s="271"/>
      <c r="Z418" s="271"/>
      <c r="AA418" s="271"/>
      <c r="AB418" s="276"/>
      <c r="AC418" s="271"/>
    </row>
    <row r="419">
      <c r="A419" s="270">
        <v>2020.0</v>
      </c>
      <c r="B419" s="271"/>
      <c r="C419" s="272">
        <v>45296.0377959838</v>
      </c>
      <c r="D419" s="273" t="s">
        <v>1955</v>
      </c>
      <c r="E419" s="273">
        <v>1.900016199E9</v>
      </c>
      <c r="F419" s="273" t="s">
        <v>1956</v>
      </c>
      <c r="G419" s="273" t="s">
        <v>1957</v>
      </c>
      <c r="H419" s="273" t="s">
        <v>1958</v>
      </c>
      <c r="I419" s="273" t="s">
        <v>399</v>
      </c>
      <c r="J419" s="273" t="s">
        <v>183</v>
      </c>
      <c r="K419" s="275"/>
      <c r="L419" s="276"/>
      <c r="N419" s="276"/>
      <c r="O419" s="277" t="s">
        <v>703</v>
      </c>
      <c r="P419" s="278">
        <v>45308.0</v>
      </c>
      <c r="Q419" s="279" t="s">
        <v>1959</v>
      </c>
      <c r="R419" s="280" t="s">
        <v>1960</v>
      </c>
      <c r="S419" s="281" t="s">
        <v>1948</v>
      </c>
      <c r="T419" s="271"/>
      <c r="U419" s="271"/>
      <c r="V419" s="282" t="s">
        <v>316</v>
      </c>
      <c r="W419" s="271"/>
      <c r="X419" s="271"/>
      <c r="Y419" s="271"/>
      <c r="Z419" s="271"/>
      <c r="AA419" s="271"/>
      <c r="AB419" s="276"/>
      <c r="AC419" s="271"/>
    </row>
    <row r="420">
      <c r="A420" s="270">
        <v>2020.0</v>
      </c>
      <c r="B420" s="271"/>
      <c r="C420" s="272">
        <v>45296.185989571764</v>
      </c>
      <c r="D420" s="273" t="s">
        <v>1961</v>
      </c>
      <c r="E420" s="273">
        <v>2.000016135E9</v>
      </c>
      <c r="F420" s="273" t="s">
        <v>1962</v>
      </c>
      <c r="G420" s="273" t="s">
        <v>1963</v>
      </c>
      <c r="H420" s="273" t="s">
        <v>1964</v>
      </c>
      <c r="I420" s="273" t="s">
        <v>399</v>
      </c>
      <c r="J420" s="273" t="s">
        <v>747</v>
      </c>
      <c r="K420" s="275"/>
      <c r="L420" s="276"/>
      <c r="N420" s="276"/>
      <c r="O420" s="277" t="s">
        <v>1066</v>
      </c>
      <c r="P420" s="278">
        <v>45309.0</v>
      </c>
      <c r="Q420" s="279" t="s">
        <v>1965</v>
      </c>
      <c r="R420" s="280" t="s">
        <v>1966</v>
      </c>
      <c r="S420" s="281" t="s">
        <v>1948</v>
      </c>
      <c r="T420" s="271"/>
      <c r="U420" s="271"/>
      <c r="V420" s="282" t="s">
        <v>316</v>
      </c>
      <c r="W420" s="271"/>
      <c r="X420" s="271"/>
      <c r="Y420" s="271"/>
      <c r="Z420" s="271"/>
      <c r="AA420" s="271"/>
      <c r="AB420" s="276"/>
      <c r="AC420" s="271"/>
    </row>
    <row r="421">
      <c r="A421" s="270">
        <v>2020.0</v>
      </c>
      <c r="B421" s="271"/>
      <c r="C421" s="272">
        <v>45296.18724002315</v>
      </c>
      <c r="D421" s="273" t="s">
        <v>1967</v>
      </c>
      <c r="E421" s="273">
        <v>2.000016083E9</v>
      </c>
      <c r="F421" s="273" t="s">
        <v>1968</v>
      </c>
      <c r="G421" s="273" t="s">
        <v>1969</v>
      </c>
      <c r="H421" s="273" t="s">
        <v>1970</v>
      </c>
      <c r="I421" s="273" t="s">
        <v>399</v>
      </c>
      <c r="J421" s="273" t="s">
        <v>747</v>
      </c>
      <c r="K421" s="275"/>
      <c r="L421" s="276"/>
      <c r="N421" s="276"/>
      <c r="O421" s="277" t="s">
        <v>28</v>
      </c>
      <c r="P421" s="278">
        <v>45309.0</v>
      </c>
      <c r="Q421" s="279" t="s">
        <v>1971</v>
      </c>
      <c r="R421" s="280" t="s">
        <v>1972</v>
      </c>
      <c r="S421" s="281" t="s">
        <v>1165</v>
      </c>
      <c r="T421" s="271"/>
      <c r="U421" s="271"/>
      <c r="V421" s="282" t="s">
        <v>316</v>
      </c>
      <c r="W421" s="271"/>
      <c r="X421" s="271"/>
      <c r="Y421" s="271"/>
      <c r="Z421" s="271"/>
      <c r="AA421" s="271"/>
      <c r="AB421" s="276"/>
      <c r="AC421" s="271"/>
    </row>
    <row r="422">
      <c r="A422" s="270">
        <v>2020.0</v>
      </c>
      <c r="B422" s="271"/>
      <c r="C422" s="272">
        <v>45296.278365694445</v>
      </c>
      <c r="D422" s="273" t="s">
        <v>1973</v>
      </c>
      <c r="E422" s="273">
        <v>2.000016077E9</v>
      </c>
      <c r="F422" s="273" t="s">
        <v>1974</v>
      </c>
      <c r="G422" s="273" t="s">
        <v>1975</v>
      </c>
      <c r="H422" s="273" t="s">
        <v>1976</v>
      </c>
      <c r="I422" s="273" t="s">
        <v>399</v>
      </c>
      <c r="J422" s="273" t="s">
        <v>747</v>
      </c>
      <c r="K422" s="275"/>
      <c r="L422" s="276"/>
      <c r="N422" s="276"/>
      <c r="O422" s="277" t="s">
        <v>28</v>
      </c>
      <c r="P422" s="278">
        <v>45309.0</v>
      </c>
      <c r="Q422" s="279" t="s">
        <v>1977</v>
      </c>
      <c r="R422" s="280" t="s">
        <v>1978</v>
      </c>
      <c r="S422" s="281" t="s">
        <v>1165</v>
      </c>
      <c r="T422" s="271"/>
      <c r="U422" s="271"/>
      <c r="V422" s="282" t="s">
        <v>316</v>
      </c>
      <c r="W422" s="271"/>
      <c r="X422" s="271"/>
      <c r="Y422" s="271"/>
      <c r="Z422" s="271"/>
      <c r="AA422" s="271"/>
      <c r="AB422" s="276"/>
      <c r="AC422" s="271"/>
    </row>
    <row r="423">
      <c r="A423" s="270">
        <v>2020.0</v>
      </c>
      <c r="B423" s="271"/>
      <c r="C423" s="272">
        <v>45296.675878240734</v>
      </c>
      <c r="D423" s="273" t="s">
        <v>1979</v>
      </c>
      <c r="E423" s="273">
        <v>2.000016012E9</v>
      </c>
      <c r="F423" s="273" t="s">
        <v>1980</v>
      </c>
      <c r="G423" s="273" t="s">
        <v>1981</v>
      </c>
      <c r="H423" s="274" t="s">
        <v>1982</v>
      </c>
      <c r="I423" s="273" t="s">
        <v>399</v>
      </c>
      <c r="J423" s="274" t="s">
        <v>39</v>
      </c>
      <c r="K423" s="275"/>
      <c r="L423" s="276"/>
      <c r="N423" s="276"/>
      <c r="O423" s="277" t="s">
        <v>703</v>
      </c>
      <c r="P423" s="278">
        <v>45307.0</v>
      </c>
      <c r="Q423" s="279" t="s">
        <v>1983</v>
      </c>
      <c r="R423" s="280" t="s">
        <v>1984</v>
      </c>
      <c r="S423" s="281" t="s">
        <v>1985</v>
      </c>
      <c r="T423" s="271"/>
      <c r="U423" s="271"/>
      <c r="V423" s="282" t="s">
        <v>316</v>
      </c>
      <c r="W423" s="271"/>
      <c r="X423" s="271"/>
      <c r="Y423" s="271"/>
      <c r="Z423" s="271"/>
      <c r="AA423" s="271"/>
      <c r="AB423" s="276"/>
      <c r="AC423" s="271"/>
    </row>
    <row r="424">
      <c r="A424" s="270">
        <v>2020.0</v>
      </c>
      <c r="B424" s="271"/>
      <c r="C424" s="272">
        <v>45296.78214858796</v>
      </c>
      <c r="D424" s="273" t="s">
        <v>1986</v>
      </c>
      <c r="E424" s="273">
        <v>2.015016056E9</v>
      </c>
      <c r="F424" s="273" t="s">
        <v>1987</v>
      </c>
      <c r="G424" s="273" t="s">
        <v>1988</v>
      </c>
      <c r="H424" s="273" t="s">
        <v>1989</v>
      </c>
      <c r="I424" s="273" t="s">
        <v>399</v>
      </c>
      <c r="J424" s="273" t="s">
        <v>183</v>
      </c>
      <c r="K424" s="275"/>
      <c r="L424" s="276"/>
      <c r="N424" s="276"/>
      <c r="O424" s="277" t="s">
        <v>197</v>
      </c>
      <c r="P424" s="278">
        <v>45308.0</v>
      </c>
      <c r="Q424" s="279" t="s">
        <v>1990</v>
      </c>
      <c r="R424" s="280" t="s">
        <v>1991</v>
      </c>
      <c r="S424" s="281" t="s">
        <v>1948</v>
      </c>
      <c r="T424" s="271"/>
      <c r="U424" s="271"/>
      <c r="V424" s="282" t="s">
        <v>316</v>
      </c>
      <c r="W424" s="271"/>
      <c r="X424" s="271"/>
      <c r="Y424" s="271"/>
      <c r="Z424" s="271"/>
      <c r="AA424" s="271"/>
      <c r="AB424" s="276"/>
      <c r="AC424" s="271"/>
    </row>
    <row r="425">
      <c r="A425" s="270">
        <v>2020.0</v>
      </c>
      <c r="B425" s="271"/>
      <c r="C425" s="272">
        <v>45296.78733008102</v>
      </c>
      <c r="D425" s="273" t="s">
        <v>1992</v>
      </c>
      <c r="E425" s="273">
        <v>2.000016038E9</v>
      </c>
      <c r="F425" s="273" t="s">
        <v>1993</v>
      </c>
      <c r="G425" s="273" t="s">
        <v>1994</v>
      </c>
      <c r="H425" s="273" t="s">
        <v>1995</v>
      </c>
      <c r="I425" s="273" t="s">
        <v>399</v>
      </c>
      <c r="J425" s="273" t="s">
        <v>747</v>
      </c>
      <c r="K425" s="275"/>
      <c r="L425" s="276"/>
      <c r="N425" s="276"/>
      <c r="O425" s="277" t="s">
        <v>28</v>
      </c>
      <c r="P425" s="278">
        <v>45309.0</v>
      </c>
      <c r="Q425" s="279" t="s">
        <v>1983</v>
      </c>
      <c r="R425" s="280" t="s">
        <v>1996</v>
      </c>
      <c r="S425" s="281" t="s">
        <v>1165</v>
      </c>
      <c r="T425" s="271"/>
      <c r="U425" s="271"/>
      <c r="V425" s="282" t="s">
        <v>316</v>
      </c>
      <c r="W425" s="271"/>
      <c r="X425" s="271"/>
      <c r="Y425" s="271"/>
      <c r="Z425" s="271"/>
      <c r="AA425" s="271"/>
      <c r="AB425" s="276"/>
      <c r="AC425" s="271"/>
    </row>
    <row r="426">
      <c r="A426" s="270">
        <v>2020.0</v>
      </c>
      <c r="B426" s="271"/>
      <c r="C426" s="272">
        <v>45296.790948877315</v>
      </c>
      <c r="D426" s="273" t="s">
        <v>1997</v>
      </c>
      <c r="E426" s="273">
        <v>2.000016149E9</v>
      </c>
      <c r="F426" s="273" t="s">
        <v>1998</v>
      </c>
      <c r="G426" s="273" t="s">
        <v>1999</v>
      </c>
      <c r="H426" s="273" t="s">
        <v>2000</v>
      </c>
      <c r="I426" s="273" t="s">
        <v>399</v>
      </c>
      <c r="J426" s="274" t="s">
        <v>39</v>
      </c>
      <c r="K426" s="275"/>
      <c r="L426" s="276"/>
      <c r="N426" s="276"/>
      <c r="O426" s="277" t="s">
        <v>40</v>
      </c>
      <c r="P426" s="278">
        <v>45307.0</v>
      </c>
      <c r="Q426" s="279" t="s">
        <v>1971</v>
      </c>
      <c r="R426" s="280" t="s">
        <v>2001</v>
      </c>
      <c r="S426" s="281" t="s">
        <v>1985</v>
      </c>
      <c r="T426" s="271"/>
      <c r="U426" s="271"/>
      <c r="V426" s="282" t="s">
        <v>316</v>
      </c>
      <c r="W426" s="271"/>
      <c r="X426" s="271"/>
      <c r="Y426" s="271"/>
      <c r="Z426" s="271"/>
      <c r="AA426" s="271"/>
      <c r="AB426" s="276"/>
      <c r="AC426" s="271"/>
    </row>
    <row r="427">
      <c r="A427" s="270">
        <v>2020.0</v>
      </c>
      <c r="B427" s="271"/>
      <c r="C427" s="272">
        <v>45296.796661851855</v>
      </c>
      <c r="D427" s="273" t="s">
        <v>2002</v>
      </c>
      <c r="E427" s="273">
        <v>2.000016069E9</v>
      </c>
      <c r="F427" s="273" t="s">
        <v>2003</v>
      </c>
      <c r="G427" s="273" t="s">
        <v>2004</v>
      </c>
      <c r="H427" s="273" t="s">
        <v>2005</v>
      </c>
      <c r="I427" s="273" t="s">
        <v>399</v>
      </c>
      <c r="J427" s="274" t="s">
        <v>39</v>
      </c>
      <c r="K427" s="275"/>
      <c r="L427" s="276"/>
      <c r="N427" s="276"/>
      <c r="O427" s="277" t="s">
        <v>40</v>
      </c>
      <c r="P427" s="278">
        <v>45307.0</v>
      </c>
      <c r="Q427" s="279" t="s">
        <v>1977</v>
      </c>
      <c r="R427" s="280" t="s">
        <v>2006</v>
      </c>
      <c r="S427" s="281" t="s">
        <v>1985</v>
      </c>
      <c r="T427" s="271"/>
      <c r="U427" s="271"/>
      <c r="V427" s="282" t="s">
        <v>316</v>
      </c>
      <c r="W427" s="271"/>
      <c r="X427" s="271"/>
      <c r="Y427" s="271"/>
      <c r="Z427" s="271"/>
      <c r="AA427" s="271"/>
      <c r="AB427" s="276"/>
      <c r="AC427" s="271"/>
    </row>
    <row r="428">
      <c r="A428" s="270">
        <v>2020.0</v>
      </c>
      <c r="B428" s="271"/>
      <c r="C428" s="272">
        <v>45296.857875821755</v>
      </c>
      <c r="D428" s="273" t="s">
        <v>2007</v>
      </c>
      <c r="E428" s="273">
        <v>2.000016063E9</v>
      </c>
      <c r="F428" s="273" t="s">
        <v>2008</v>
      </c>
      <c r="G428" s="273" t="s">
        <v>2009</v>
      </c>
      <c r="H428" s="273" t="s">
        <v>2010</v>
      </c>
      <c r="I428" s="273" t="s">
        <v>399</v>
      </c>
      <c r="J428" s="274" t="s">
        <v>39</v>
      </c>
      <c r="K428" s="275"/>
      <c r="L428" s="276"/>
      <c r="N428" s="276"/>
      <c r="O428" s="277" t="s">
        <v>2011</v>
      </c>
      <c r="P428" s="278">
        <v>45307.0</v>
      </c>
      <c r="Q428" s="279" t="s">
        <v>2012</v>
      </c>
      <c r="R428" s="280" t="s">
        <v>2013</v>
      </c>
      <c r="S428" s="281" t="s">
        <v>1985</v>
      </c>
      <c r="T428" s="271"/>
      <c r="U428" s="271"/>
      <c r="V428" s="282" t="s">
        <v>316</v>
      </c>
      <c r="W428" s="271"/>
      <c r="X428" s="271"/>
      <c r="Y428" s="271"/>
      <c r="Z428" s="271"/>
      <c r="AA428" s="271"/>
      <c r="AB428" s="276"/>
      <c r="AC428" s="271"/>
    </row>
    <row r="429">
      <c r="A429" s="270">
        <v>2020.0</v>
      </c>
      <c r="B429" s="271"/>
      <c r="C429" s="272">
        <v>45296.857880625</v>
      </c>
      <c r="D429" s="273" t="s">
        <v>2014</v>
      </c>
      <c r="E429" s="273">
        <v>2.000016042E9</v>
      </c>
      <c r="F429" s="273" t="s">
        <v>2015</v>
      </c>
      <c r="G429" s="273" t="s">
        <v>2016</v>
      </c>
      <c r="H429" s="273" t="s">
        <v>2017</v>
      </c>
      <c r="I429" s="273" t="s">
        <v>399</v>
      </c>
      <c r="J429" s="273" t="s">
        <v>241</v>
      </c>
      <c r="K429" s="275"/>
      <c r="L429" s="276"/>
      <c r="N429" s="276"/>
      <c r="O429" s="277" t="s">
        <v>2011</v>
      </c>
      <c r="P429" s="278">
        <v>45306.0</v>
      </c>
      <c r="Q429" s="279" t="s">
        <v>1946</v>
      </c>
      <c r="R429" s="280" t="s">
        <v>2018</v>
      </c>
      <c r="S429" s="281" t="s">
        <v>1948</v>
      </c>
      <c r="T429" s="271"/>
      <c r="U429" s="271"/>
      <c r="V429" s="282" t="s">
        <v>316</v>
      </c>
      <c r="W429" s="271"/>
      <c r="X429" s="271"/>
      <c r="Y429" s="271"/>
      <c r="Z429" s="271"/>
      <c r="AA429" s="271"/>
      <c r="AB429" s="276"/>
      <c r="AC429" s="271"/>
    </row>
    <row r="430">
      <c r="A430" s="270">
        <v>2020.0</v>
      </c>
      <c r="B430" s="271"/>
      <c r="C430" s="272">
        <v>45296.85789640046</v>
      </c>
      <c r="D430" s="273" t="s">
        <v>2019</v>
      </c>
      <c r="E430" s="273">
        <v>2.00001604E9</v>
      </c>
      <c r="F430" s="273" t="s">
        <v>2020</v>
      </c>
      <c r="G430" s="273" t="s">
        <v>2021</v>
      </c>
      <c r="H430" s="273" t="s">
        <v>2022</v>
      </c>
      <c r="I430" s="273" t="s">
        <v>399</v>
      </c>
      <c r="J430" s="273" t="s">
        <v>241</v>
      </c>
      <c r="K430" s="275"/>
      <c r="L430" s="276"/>
      <c r="N430" s="276"/>
      <c r="O430" s="277" t="s">
        <v>2011</v>
      </c>
      <c r="P430" s="278">
        <v>45307.0</v>
      </c>
      <c r="Q430" s="279" t="s">
        <v>2023</v>
      </c>
      <c r="R430" s="280" t="s">
        <v>2024</v>
      </c>
      <c r="S430" s="281" t="s">
        <v>1985</v>
      </c>
      <c r="T430" s="271"/>
      <c r="U430" s="271"/>
      <c r="V430" s="282" t="s">
        <v>316</v>
      </c>
      <c r="W430" s="271"/>
      <c r="X430" s="271"/>
      <c r="Y430" s="271"/>
      <c r="Z430" s="271"/>
      <c r="AA430" s="271"/>
      <c r="AB430" s="276"/>
      <c r="AC430" s="271"/>
    </row>
    <row r="431">
      <c r="A431" s="270">
        <v>2020.0</v>
      </c>
      <c r="B431" s="271"/>
      <c r="C431" s="272">
        <v>45296.85789744213</v>
      </c>
      <c r="D431" s="273" t="s">
        <v>2025</v>
      </c>
      <c r="E431" s="273">
        <v>2.000016134E9</v>
      </c>
      <c r="F431" s="273" t="s">
        <v>2026</v>
      </c>
      <c r="G431" s="273" t="s">
        <v>2027</v>
      </c>
      <c r="H431" s="274" t="s">
        <v>2028</v>
      </c>
      <c r="I431" s="273" t="s">
        <v>399</v>
      </c>
      <c r="J431" s="274" t="s">
        <v>39</v>
      </c>
      <c r="K431" s="275"/>
      <c r="L431" s="276"/>
      <c r="N431" s="276"/>
      <c r="O431" s="277" t="s">
        <v>703</v>
      </c>
      <c r="P431" s="278">
        <v>45306.0</v>
      </c>
      <c r="Q431" s="279" t="s">
        <v>1953</v>
      </c>
      <c r="R431" s="280" t="s">
        <v>2029</v>
      </c>
      <c r="S431" s="281" t="s">
        <v>1948</v>
      </c>
      <c r="T431" s="271"/>
      <c r="U431" s="271"/>
      <c r="V431" s="282" t="s">
        <v>316</v>
      </c>
      <c r="W431" s="271"/>
      <c r="X431" s="271"/>
      <c r="Y431" s="271"/>
      <c r="Z431" s="271"/>
      <c r="AA431" s="271"/>
      <c r="AB431" s="276"/>
      <c r="AC431" s="271"/>
    </row>
    <row r="432">
      <c r="A432" s="270">
        <v>2020.0</v>
      </c>
      <c r="B432" s="271"/>
      <c r="C432" s="272">
        <v>45296.867345011575</v>
      </c>
      <c r="D432" s="273" t="s">
        <v>2030</v>
      </c>
      <c r="E432" s="273">
        <v>2.000016045E9</v>
      </c>
      <c r="F432" s="273" t="s">
        <v>2031</v>
      </c>
      <c r="G432" s="273" t="s">
        <v>2032</v>
      </c>
      <c r="H432" s="274" t="s">
        <v>2033</v>
      </c>
      <c r="I432" s="273" t="s">
        <v>399</v>
      </c>
      <c r="J432" s="274" t="s">
        <v>39</v>
      </c>
      <c r="K432" s="275"/>
      <c r="L432" s="276"/>
      <c r="N432" s="276"/>
      <c r="O432" s="277" t="s">
        <v>703</v>
      </c>
      <c r="P432" s="278">
        <v>45307.0</v>
      </c>
      <c r="Q432" s="279" t="s">
        <v>2034</v>
      </c>
      <c r="R432" s="283" t="s">
        <v>2035</v>
      </c>
      <c r="S432" s="281" t="s">
        <v>1985</v>
      </c>
      <c r="T432" s="271"/>
      <c r="U432" s="271"/>
      <c r="V432" s="282" t="s">
        <v>316</v>
      </c>
      <c r="W432" s="271"/>
      <c r="X432" s="271"/>
      <c r="Y432" s="271"/>
      <c r="Z432" s="271"/>
      <c r="AA432" s="271"/>
      <c r="AB432" s="276"/>
      <c r="AC432" s="271"/>
    </row>
    <row r="433">
      <c r="A433" s="270">
        <v>2020.0</v>
      </c>
      <c r="B433" s="271"/>
      <c r="C433" s="272">
        <v>45296.89527893518</v>
      </c>
      <c r="D433" s="273" t="s">
        <v>2036</v>
      </c>
      <c r="E433" s="273">
        <v>2.000016087E9</v>
      </c>
      <c r="F433" s="273" t="s">
        <v>2037</v>
      </c>
      <c r="G433" s="273" t="s">
        <v>2038</v>
      </c>
      <c r="H433" s="273" t="s">
        <v>2039</v>
      </c>
      <c r="I433" s="273" t="s">
        <v>399</v>
      </c>
      <c r="J433" s="273" t="s">
        <v>747</v>
      </c>
      <c r="K433" s="275"/>
      <c r="L433" s="276"/>
      <c r="N433" s="276"/>
      <c r="O433" s="277" t="s">
        <v>703</v>
      </c>
      <c r="P433" s="278">
        <v>45309.0</v>
      </c>
      <c r="Q433" s="279" t="s">
        <v>2034</v>
      </c>
      <c r="R433" s="280" t="s">
        <v>2040</v>
      </c>
      <c r="S433" s="281" t="s">
        <v>1165</v>
      </c>
      <c r="T433" s="271"/>
      <c r="U433" s="271"/>
      <c r="V433" s="282" t="s">
        <v>316</v>
      </c>
      <c r="W433" s="271"/>
      <c r="X433" s="271"/>
      <c r="Y433" s="271"/>
      <c r="Z433" s="271"/>
      <c r="AA433" s="271"/>
      <c r="AB433" s="276"/>
      <c r="AC433" s="271"/>
    </row>
    <row r="434">
      <c r="A434" s="270">
        <v>2020.0</v>
      </c>
      <c r="B434" s="271"/>
      <c r="C434" s="272">
        <v>45296.90707652777</v>
      </c>
      <c r="D434" s="273" t="s">
        <v>2041</v>
      </c>
      <c r="E434" s="273">
        <v>2.000016132E9</v>
      </c>
      <c r="F434" s="273" t="s">
        <v>2042</v>
      </c>
      <c r="G434" s="273" t="s">
        <v>2043</v>
      </c>
      <c r="H434" s="274" t="s">
        <v>2044</v>
      </c>
      <c r="I434" s="273" t="s">
        <v>399</v>
      </c>
      <c r="J434" s="274" t="s">
        <v>39</v>
      </c>
      <c r="K434" s="275"/>
      <c r="L434" s="276"/>
      <c r="N434" s="276"/>
      <c r="O434" s="277" t="s">
        <v>703</v>
      </c>
      <c r="P434" s="278">
        <v>45307.0</v>
      </c>
      <c r="Q434" s="279" t="s">
        <v>2045</v>
      </c>
      <c r="R434" s="280" t="s">
        <v>2046</v>
      </c>
      <c r="S434" s="281" t="s">
        <v>1985</v>
      </c>
      <c r="T434" s="271"/>
      <c r="U434" s="271"/>
      <c r="V434" s="282" t="s">
        <v>316</v>
      </c>
      <c r="W434" s="271"/>
      <c r="X434" s="271"/>
      <c r="Y434" s="271"/>
      <c r="Z434" s="271"/>
      <c r="AA434" s="271"/>
      <c r="AB434" s="276"/>
      <c r="AC434" s="271"/>
    </row>
    <row r="435">
      <c r="A435" s="270">
        <v>2020.0</v>
      </c>
      <c r="B435" s="271"/>
      <c r="C435" s="272">
        <v>45296.92420425926</v>
      </c>
      <c r="D435" s="273" t="s">
        <v>2047</v>
      </c>
      <c r="E435" s="273">
        <v>2.00001602E9</v>
      </c>
      <c r="F435" s="273" t="s">
        <v>2048</v>
      </c>
      <c r="G435" s="273" t="s">
        <v>2049</v>
      </c>
      <c r="H435" s="273" t="s">
        <v>2050</v>
      </c>
      <c r="I435" s="273" t="s">
        <v>399</v>
      </c>
      <c r="J435" s="274" t="s">
        <v>39</v>
      </c>
      <c r="K435" s="275"/>
      <c r="L435" s="276"/>
      <c r="N435" s="276"/>
      <c r="O435" s="277" t="s">
        <v>703</v>
      </c>
      <c r="P435" s="278">
        <v>45307.0</v>
      </c>
      <c r="Q435" s="279" t="s">
        <v>2051</v>
      </c>
      <c r="R435" s="280" t="s">
        <v>2052</v>
      </c>
      <c r="S435" s="281" t="s">
        <v>1985</v>
      </c>
      <c r="T435" s="271"/>
      <c r="U435" s="271"/>
      <c r="V435" s="282" t="s">
        <v>316</v>
      </c>
      <c r="W435" s="271"/>
      <c r="X435" s="271"/>
      <c r="Y435" s="271"/>
      <c r="Z435" s="271"/>
      <c r="AA435" s="271"/>
      <c r="AB435" s="276"/>
      <c r="AC435" s="271"/>
    </row>
    <row r="436">
      <c r="A436" s="270">
        <v>2020.0</v>
      </c>
      <c r="B436" s="271"/>
      <c r="C436" s="272">
        <v>45296.9337224537</v>
      </c>
      <c r="D436" s="273" t="s">
        <v>2053</v>
      </c>
      <c r="E436" s="273">
        <v>2.000016097E9</v>
      </c>
      <c r="F436" s="273" t="s">
        <v>2054</v>
      </c>
      <c r="G436" s="273" t="s">
        <v>2055</v>
      </c>
      <c r="H436" s="273" t="s">
        <v>2056</v>
      </c>
      <c r="I436" s="273" t="s">
        <v>399</v>
      </c>
      <c r="J436" s="273" t="s">
        <v>747</v>
      </c>
      <c r="K436" s="275"/>
      <c r="L436" s="276"/>
      <c r="N436" s="276"/>
      <c r="O436" s="277" t="s">
        <v>2011</v>
      </c>
      <c r="P436" s="278">
        <v>45309.0</v>
      </c>
      <c r="Q436" s="279" t="s">
        <v>2023</v>
      </c>
      <c r="R436" s="280" t="s">
        <v>2057</v>
      </c>
      <c r="S436" s="281" t="s">
        <v>1165</v>
      </c>
      <c r="T436" s="271"/>
      <c r="U436" s="271"/>
      <c r="V436" s="282" t="s">
        <v>316</v>
      </c>
      <c r="W436" s="271"/>
      <c r="X436" s="271"/>
      <c r="Y436" s="271"/>
      <c r="Z436" s="271"/>
      <c r="AA436" s="271"/>
      <c r="AB436" s="276"/>
      <c r="AC436" s="271"/>
    </row>
    <row r="437">
      <c r="A437" s="270">
        <v>2020.0</v>
      </c>
      <c r="B437" s="271"/>
      <c r="C437" s="272">
        <v>45296.96044971065</v>
      </c>
      <c r="D437" s="273" t="s">
        <v>1979</v>
      </c>
      <c r="E437" s="273">
        <v>2.000016012E9</v>
      </c>
      <c r="F437" s="273" t="s">
        <v>1980</v>
      </c>
      <c r="G437" s="273" t="s">
        <v>1981</v>
      </c>
      <c r="H437" s="274" t="s">
        <v>1982</v>
      </c>
      <c r="I437" s="273" t="s">
        <v>399</v>
      </c>
      <c r="J437" s="274" t="s">
        <v>39</v>
      </c>
      <c r="K437" s="275"/>
      <c r="L437" s="276"/>
      <c r="N437" s="276"/>
      <c r="O437" s="277" t="s">
        <v>703</v>
      </c>
      <c r="P437" s="278">
        <v>45307.0</v>
      </c>
      <c r="Q437" s="279" t="s">
        <v>2058</v>
      </c>
      <c r="R437" s="280" t="s">
        <v>2059</v>
      </c>
      <c r="S437" s="281" t="s">
        <v>1985</v>
      </c>
      <c r="T437" s="271"/>
      <c r="U437" s="271"/>
      <c r="V437" s="282" t="s">
        <v>316</v>
      </c>
      <c r="W437" s="271"/>
      <c r="X437" s="271"/>
      <c r="Y437" s="271"/>
      <c r="Z437" s="271"/>
      <c r="AA437" s="271"/>
      <c r="AB437" s="276"/>
      <c r="AC437" s="271"/>
    </row>
    <row r="438">
      <c r="A438" s="270">
        <v>2020.0</v>
      </c>
      <c r="B438" s="271"/>
      <c r="C438" s="272">
        <v>45296.96237037038</v>
      </c>
      <c r="D438" s="273" t="s">
        <v>2060</v>
      </c>
      <c r="E438" s="273">
        <v>2.000016001E9</v>
      </c>
      <c r="F438" s="273" t="s">
        <v>2061</v>
      </c>
      <c r="G438" s="273" t="s">
        <v>2062</v>
      </c>
      <c r="H438" s="273" t="s">
        <v>2063</v>
      </c>
      <c r="I438" s="273" t="s">
        <v>399</v>
      </c>
      <c r="J438" s="274" t="s">
        <v>27</v>
      </c>
      <c r="K438" s="275"/>
      <c r="L438" s="276"/>
      <c r="N438" s="276"/>
      <c r="O438" s="277" t="s">
        <v>2011</v>
      </c>
      <c r="P438" s="278">
        <v>45307.0</v>
      </c>
      <c r="Q438" s="279" t="s">
        <v>1946</v>
      </c>
      <c r="R438" s="280" t="s">
        <v>2064</v>
      </c>
      <c r="S438" s="281" t="s">
        <v>1948</v>
      </c>
      <c r="T438" s="271"/>
      <c r="U438" s="271"/>
      <c r="V438" s="282" t="s">
        <v>316</v>
      </c>
      <c r="W438" s="271"/>
      <c r="X438" s="271"/>
      <c r="Y438" s="271"/>
      <c r="Z438" s="271"/>
      <c r="AA438" s="271"/>
      <c r="AB438" s="276"/>
      <c r="AC438" s="271"/>
    </row>
    <row r="439">
      <c r="A439" s="270">
        <v>2020.0</v>
      </c>
      <c r="B439" s="271"/>
      <c r="C439" s="272">
        <v>45296.96679946759</v>
      </c>
      <c r="D439" s="273" t="s">
        <v>2065</v>
      </c>
      <c r="E439" s="273">
        <v>2.000016016E9</v>
      </c>
      <c r="F439" s="273" t="s">
        <v>2066</v>
      </c>
      <c r="G439" s="273" t="s">
        <v>2067</v>
      </c>
      <c r="H439" s="273" t="s">
        <v>2068</v>
      </c>
      <c r="I439" s="273" t="s">
        <v>399</v>
      </c>
      <c r="J439" s="273" t="s">
        <v>183</v>
      </c>
      <c r="K439" s="275"/>
      <c r="L439" s="276"/>
      <c r="N439" s="276"/>
      <c r="O439" s="277" t="s">
        <v>123</v>
      </c>
      <c r="P439" s="278">
        <v>45308.0</v>
      </c>
      <c r="Q439" s="279" t="s">
        <v>2069</v>
      </c>
      <c r="R439" s="280" t="s">
        <v>2070</v>
      </c>
      <c r="S439" s="281" t="s">
        <v>1948</v>
      </c>
      <c r="T439" s="271"/>
      <c r="U439" s="271"/>
      <c r="V439" s="282" t="s">
        <v>316</v>
      </c>
      <c r="W439" s="271"/>
      <c r="X439" s="271"/>
      <c r="Y439" s="271"/>
      <c r="Z439" s="271"/>
      <c r="AA439" s="271"/>
      <c r="AB439" s="276"/>
      <c r="AC439" s="271"/>
    </row>
    <row r="440">
      <c r="A440" s="270">
        <v>2020.0</v>
      </c>
      <c r="B440" s="271"/>
      <c r="C440" s="272">
        <v>45296.97325040509</v>
      </c>
      <c r="D440" s="273" t="s">
        <v>2071</v>
      </c>
      <c r="E440" s="273">
        <v>2.000016019E9</v>
      </c>
      <c r="F440" s="273" t="s">
        <v>2072</v>
      </c>
      <c r="G440" s="273" t="s">
        <v>2073</v>
      </c>
      <c r="H440" s="273" t="s">
        <v>2074</v>
      </c>
      <c r="I440" s="273" t="s">
        <v>399</v>
      </c>
      <c r="J440" s="274" t="s">
        <v>27</v>
      </c>
      <c r="K440" s="275"/>
      <c r="L440" s="276"/>
      <c r="N440" s="276"/>
      <c r="O440" s="277" t="s">
        <v>123</v>
      </c>
      <c r="P440" s="278">
        <v>45307.0</v>
      </c>
      <c r="Q440" s="279" t="s">
        <v>2075</v>
      </c>
      <c r="R440" s="280" t="s">
        <v>2076</v>
      </c>
      <c r="S440" s="281" t="s">
        <v>1948</v>
      </c>
      <c r="T440" s="271"/>
      <c r="U440" s="271"/>
      <c r="V440" s="282" t="s">
        <v>316</v>
      </c>
      <c r="W440" s="271"/>
      <c r="X440" s="271"/>
      <c r="Y440" s="271"/>
      <c r="Z440" s="271"/>
      <c r="AA440" s="271"/>
      <c r="AB440" s="276"/>
      <c r="AC440" s="271"/>
    </row>
    <row r="441">
      <c r="A441" s="270">
        <v>2020.0</v>
      </c>
      <c r="B441" s="271"/>
      <c r="C441" s="272">
        <v>45296.98452666667</v>
      </c>
      <c r="D441" s="273" t="s">
        <v>2077</v>
      </c>
      <c r="E441" s="273">
        <v>2.000016071E9</v>
      </c>
      <c r="F441" s="273" t="s">
        <v>2078</v>
      </c>
      <c r="G441" s="273" t="s">
        <v>2079</v>
      </c>
      <c r="H441" s="273" t="s">
        <v>2080</v>
      </c>
      <c r="I441" s="273" t="s">
        <v>399</v>
      </c>
      <c r="J441" s="274" t="s">
        <v>27</v>
      </c>
      <c r="K441" s="275"/>
      <c r="L441" s="276"/>
      <c r="N441" s="276"/>
      <c r="O441" s="277" t="s">
        <v>123</v>
      </c>
      <c r="P441" s="278">
        <v>45307.0</v>
      </c>
      <c r="Q441" s="279" t="s">
        <v>1990</v>
      </c>
      <c r="R441" s="280" t="s">
        <v>2081</v>
      </c>
      <c r="S441" s="281" t="s">
        <v>1948</v>
      </c>
      <c r="T441" s="271"/>
      <c r="U441" s="271"/>
      <c r="V441" s="282" t="s">
        <v>316</v>
      </c>
      <c r="W441" s="271"/>
      <c r="X441" s="271"/>
      <c r="Y441" s="271"/>
      <c r="Z441" s="271"/>
      <c r="AA441" s="271"/>
      <c r="AB441" s="276"/>
      <c r="AC441" s="271"/>
    </row>
    <row r="442">
      <c r="A442" s="270">
        <v>2020.0</v>
      </c>
      <c r="B442" s="271"/>
      <c r="C442" s="272">
        <v>45296.98645791666</v>
      </c>
      <c r="D442" s="273" t="s">
        <v>2082</v>
      </c>
      <c r="E442" s="273">
        <v>2.000016146E9</v>
      </c>
      <c r="F442" s="273" t="s">
        <v>2083</v>
      </c>
      <c r="G442" s="273" t="s">
        <v>2084</v>
      </c>
      <c r="H442" s="273" t="s">
        <v>2085</v>
      </c>
      <c r="I442" s="273" t="s">
        <v>399</v>
      </c>
      <c r="J442" s="274" t="s">
        <v>27</v>
      </c>
      <c r="K442" s="275"/>
      <c r="L442" s="276"/>
      <c r="N442" s="276"/>
      <c r="O442" s="277" t="s">
        <v>123</v>
      </c>
      <c r="P442" s="278">
        <v>45307.0</v>
      </c>
      <c r="Q442" s="279" t="s">
        <v>2069</v>
      </c>
      <c r="R442" s="280" t="s">
        <v>2086</v>
      </c>
      <c r="S442" s="281" t="s">
        <v>1948</v>
      </c>
      <c r="T442" s="271"/>
      <c r="U442" s="271"/>
      <c r="V442" s="282" t="s">
        <v>316</v>
      </c>
      <c r="W442" s="271"/>
      <c r="X442" s="271"/>
      <c r="Y442" s="271"/>
      <c r="Z442" s="271"/>
      <c r="AA442" s="271"/>
      <c r="AB442" s="276"/>
      <c r="AC442" s="271"/>
    </row>
    <row r="443">
      <c r="A443" s="270">
        <v>2020.0</v>
      </c>
      <c r="B443" s="271"/>
      <c r="C443" s="272">
        <v>45296.99499085648</v>
      </c>
      <c r="D443" s="273" t="s">
        <v>2087</v>
      </c>
      <c r="E443" s="273">
        <v>2.000016049E9</v>
      </c>
      <c r="F443" s="273" t="s">
        <v>2088</v>
      </c>
      <c r="G443" s="273" t="s">
        <v>2089</v>
      </c>
      <c r="H443" s="273" t="s">
        <v>2090</v>
      </c>
      <c r="I443" s="273" t="s">
        <v>399</v>
      </c>
      <c r="J443" s="273" t="s">
        <v>183</v>
      </c>
      <c r="K443" s="275"/>
      <c r="L443" s="276"/>
      <c r="N443" s="276"/>
      <c r="O443" s="277" t="s">
        <v>123</v>
      </c>
      <c r="P443" s="278">
        <v>45308.0</v>
      </c>
      <c r="Q443" s="279" t="s">
        <v>2091</v>
      </c>
      <c r="R443" s="280" t="s">
        <v>2092</v>
      </c>
      <c r="S443" s="281" t="s">
        <v>1948</v>
      </c>
      <c r="T443" s="271"/>
      <c r="U443" s="271"/>
      <c r="V443" s="282" t="s">
        <v>316</v>
      </c>
      <c r="W443" s="271"/>
      <c r="X443" s="271"/>
      <c r="Y443" s="271"/>
      <c r="Z443" s="271"/>
      <c r="AA443" s="271"/>
      <c r="AB443" s="276"/>
      <c r="AC443" s="271"/>
    </row>
    <row r="444">
      <c r="A444" s="270">
        <v>2020.0</v>
      </c>
      <c r="B444" s="271"/>
      <c r="C444" s="272">
        <v>45297.001729166666</v>
      </c>
      <c r="D444" s="273" t="s">
        <v>2093</v>
      </c>
      <c r="E444" s="273">
        <v>2.00001611E9</v>
      </c>
      <c r="F444" s="273" t="s">
        <v>2094</v>
      </c>
      <c r="G444" s="273" t="s">
        <v>2095</v>
      </c>
      <c r="H444" s="273" t="s">
        <v>2096</v>
      </c>
      <c r="I444" s="273" t="s">
        <v>399</v>
      </c>
      <c r="J444" s="274" t="s">
        <v>27</v>
      </c>
      <c r="K444" s="275"/>
      <c r="L444" s="276"/>
      <c r="N444" s="276"/>
      <c r="O444" s="277" t="s">
        <v>123</v>
      </c>
      <c r="P444" s="278">
        <v>45307.0</v>
      </c>
      <c r="Q444" s="279" t="s">
        <v>2091</v>
      </c>
      <c r="R444" s="280" t="s">
        <v>2097</v>
      </c>
      <c r="S444" s="281" t="s">
        <v>1948</v>
      </c>
      <c r="T444" s="271"/>
      <c r="U444" s="271"/>
      <c r="V444" s="282" t="s">
        <v>316</v>
      </c>
      <c r="W444" s="271"/>
      <c r="X444" s="271"/>
      <c r="Y444" s="271"/>
      <c r="Z444" s="271"/>
      <c r="AA444" s="271"/>
      <c r="AB444" s="276"/>
      <c r="AC444" s="271"/>
    </row>
    <row r="445">
      <c r="A445" s="270">
        <v>2020.0</v>
      </c>
      <c r="B445" s="271"/>
      <c r="C445" s="272">
        <v>45297.116651122684</v>
      </c>
      <c r="D445" s="273" t="s">
        <v>2098</v>
      </c>
      <c r="E445" s="273">
        <v>2.000016085E9</v>
      </c>
      <c r="F445" s="273" t="s">
        <v>2099</v>
      </c>
      <c r="G445" s="273" t="s">
        <v>2100</v>
      </c>
      <c r="H445" s="273" t="s">
        <v>2101</v>
      </c>
      <c r="I445" s="273" t="s">
        <v>399</v>
      </c>
      <c r="J445" s="273" t="s">
        <v>747</v>
      </c>
      <c r="K445" s="275"/>
      <c r="L445" s="276"/>
      <c r="N445" s="276"/>
      <c r="O445" s="277" t="s">
        <v>703</v>
      </c>
      <c r="P445" s="278">
        <v>45309.0</v>
      </c>
      <c r="Q445" s="279" t="s">
        <v>2045</v>
      </c>
      <c r="R445" s="280" t="s">
        <v>2102</v>
      </c>
      <c r="S445" s="281" t="s">
        <v>1165</v>
      </c>
      <c r="T445" s="271"/>
      <c r="U445" s="271"/>
      <c r="V445" s="282" t="s">
        <v>316</v>
      </c>
      <c r="W445" s="271"/>
      <c r="X445" s="271"/>
      <c r="Y445" s="271"/>
      <c r="Z445" s="271"/>
      <c r="AA445" s="271"/>
      <c r="AB445" s="276"/>
      <c r="AC445" s="271"/>
    </row>
    <row r="446">
      <c r="A446" s="270">
        <v>2020.0</v>
      </c>
      <c r="B446" s="271"/>
      <c r="C446" s="272">
        <v>45297.13096337963</v>
      </c>
      <c r="D446" s="273" t="s">
        <v>2103</v>
      </c>
      <c r="E446" s="273">
        <v>2.000016084E9</v>
      </c>
      <c r="F446" s="273" t="s">
        <v>2104</v>
      </c>
      <c r="G446" s="273" t="s">
        <v>2105</v>
      </c>
      <c r="H446" s="273" t="s">
        <v>2106</v>
      </c>
      <c r="I446" s="273" t="s">
        <v>399</v>
      </c>
      <c r="J446" s="273" t="s">
        <v>241</v>
      </c>
      <c r="K446" s="275"/>
      <c r="L446" s="276"/>
      <c r="N446" s="276"/>
      <c r="O446" s="277" t="s">
        <v>1910</v>
      </c>
      <c r="P446" s="278">
        <v>45306.0</v>
      </c>
      <c r="Q446" s="279" t="s">
        <v>1959</v>
      </c>
      <c r="R446" s="283" t="s">
        <v>2107</v>
      </c>
      <c r="S446" s="281" t="s">
        <v>1948</v>
      </c>
      <c r="T446" s="271"/>
      <c r="U446" s="271"/>
      <c r="V446" s="282" t="s">
        <v>316</v>
      </c>
      <c r="W446" s="271"/>
      <c r="X446" s="271"/>
      <c r="Y446" s="271"/>
      <c r="Z446" s="271"/>
      <c r="AA446" s="271"/>
      <c r="AB446" s="276"/>
      <c r="AC446" s="271"/>
    </row>
    <row r="447">
      <c r="A447" s="270">
        <v>2020.0</v>
      </c>
      <c r="B447" s="271"/>
      <c r="C447" s="272">
        <v>45297.183275798605</v>
      </c>
      <c r="D447" s="273" t="s">
        <v>2108</v>
      </c>
      <c r="E447" s="273">
        <v>2.000016002E9</v>
      </c>
      <c r="F447" s="273" t="s">
        <v>2109</v>
      </c>
      <c r="G447" s="273" t="s">
        <v>2110</v>
      </c>
      <c r="H447" s="273" t="s">
        <v>2111</v>
      </c>
      <c r="I447" s="273" t="s">
        <v>399</v>
      </c>
      <c r="J447" s="274" t="s">
        <v>39</v>
      </c>
      <c r="K447" s="275"/>
      <c r="L447" s="276"/>
      <c r="N447" s="276"/>
      <c r="O447" s="277" t="s">
        <v>703</v>
      </c>
      <c r="P447" s="278">
        <v>45307.0</v>
      </c>
      <c r="Q447" s="279" t="s">
        <v>2112</v>
      </c>
      <c r="R447" s="280" t="s">
        <v>2113</v>
      </c>
      <c r="S447" s="281" t="s">
        <v>1985</v>
      </c>
      <c r="T447" s="271"/>
      <c r="U447" s="271"/>
      <c r="V447" s="282" t="s">
        <v>316</v>
      </c>
      <c r="W447" s="271"/>
      <c r="X447" s="271"/>
      <c r="Y447" s="271"/>
      <c r="Z447" s="271"/>
      <c r="AA447" s="271"/>
      <c r="AB447" s="276"/>
      <c r="AC447" s="271"/>
    </row>
    <row r="448">
      <c r="A448" s="270">
        <v>2020.0</v>
      </c>
      <c r="B448" s="271"/>
      <c r="C448" s="272">
        <v>45297.19280208334</v>
      </c>
      <c r="D448" s="273" t="s">
        <v>2114</v>
      </c>
      <c r="E448" s="273">
        <v>2.000016007E9</v>
      </c>
      <c r="F448" s="273" t="s">
        <v>2115</v>
      </c>
      <c r="G448" s="273" t="s">
        <v>2116</v>
      </c>
      <c r="H448" s="273" t="s">
        <v>2117</v>
      </c>
      <c r="I448" s="273" t="s">
        <v>399</v>
      </c>
      <c r="J448" s="273" t="s">
        <v>183</v>
      </c>
      <c r="K448" s="275"/>
      <c r="L448" s="276"/>
      <c r="N448" s="276"/>
      <c r="O448" s="277" t="s">
        <v>72</v>
      </c>
      <c r="P448" s="278">
        <v>45306.0</v>
      </c>
      <c r="Q448" s="279" t="s">
        <v>1953</v>
      </c>
      <c r="R448" s="280" t="s">
        <v>2118</v>
      </c>
      <c r="S448" s="281" t="s">
        <v>1985</v>
      </c>
      <c r="T448" s="271"/>
      <c r="U448" s="271"/>
      <c r="V448" s="282" t="s">
        <v>316</v>
      </c>
      <c r="W448" s="271"/>
      <c r="X448" s="271"/>
      <c r="Y448" s="271"/>
      <c r="Z448" s="271"/>
      <c r="AA448" s="271"/>
      <c r="AB448" s="276"/>
      <c r="AC448" s="271"/>
    </row>
    <row r="449">
      <c r="A449" s="270">
        <v>2020.0</v>
      </c>
      <c r="B449" s="271"/>
      <c r="C449" s="284">
        <v>45297.209917534725</v>
      </c>
      <c r="D449" s="276" t="s">
        <v>2119</v>
      </c>
      <c r="E449" s="276">
        <v>2.000016114E9</v>
      </c>
      <c r="F449" s="276" t="s">
        <v>2120</v>
      </c>
      <c r="G449" s="276" t="s">
        <v>2121</v>
      </c>
      <c r="H449" s="276" t="s">
        <v>2122</v>
      </c>
      <c r="I449" s="276" t="s">
        <v>399</v>
      </c>
      <c r="J449" s="277" t="s">
        <v>27</v>
      </c>
      <c r="K449" s="275"/>
      <c r="L449" s="276"/>
      <c r="N449" s="276"/>
      <c r="O449" s="277" t="s">
        <v>72</v>
      </c>
      <c r="P449" s="278">
        <v>45309.0</v>
      </c>
      <c r="Q449" s="279" t="s">
        <v>1946</v>
      </c>
      <c r="R449" s="280" t="s">
        <v>2123</v>
      </c>
      <c r="S449" s="281" t="s">
        <v>1948</v>
      </c>
      <c r="T449" s="276"/>
      <c r="U449" s="276"/>
      <c r="V449" s="285" t="s">
        <v>316</v>
      </c>
      <c r="W449" s="276"/>
      <c r="X449" s="276"/>
      <c r="Y449" s="276"/>
      <c r="Z449" s="276"/>
      <c r="AA449" s="276"/>
      <c r="AB449" s="276"/>
      <c r="AC449" s="276"/>
    </row>
    <row r="450">
      <c r="A450" s="270">
        <v>2020.0</v>
      </c>
      <c r="B450" s="271"/>
      <c r="C450" s="284">
        <v>45297.211341875</v>
      </c>
      <c r="D450" s="276" t="s">
        <v>2124</v>
      </c>
      <c r="E450" s="276">
        <v>2.000016116E9</v>
      </c>
      <c r="F450" s="276" t="s">
        <v>2125</v>
      </c>
      <c r="G450" s="276" t="s">
        <v>2126</v>
      </c>
      <c r="H450" s="276" t="s">
        <v>2127</v>
      </c>
      <c r="I450" s="276" t="s">
        <v>399</v>
      </c>
      <c r="J450" s="277" t="s">
        <v>39</v>
      </c>
      <c r="K450" s="275"/>
      <c r="L450" s="276"/>
      <c r="N450" s="276"/>
      <c r="O450" s="277" t="s">
        <v>72</v>
      </c>
      <c r="P450" s="278">
        <v>45306.0</v>
      </c>
      <c r="Q450" s="279" t="s">
        <v>1946</v>
      </c>
      <c r="R450" s="280" t="s">
        <v>2128</v>
      </c>
      <c r="S450" s="281" t="s">
        <v>1985</v>
      </c>
      <c r="T450" s="276"/>
      <c r="U450" s="276"/>
      <c r="V450" s="285" t="s">
        <v>316</v>
      </c>
      <c r="W450" s="276"/>
      <c r="X450" s="276"/>
      <c r="Y450" s="276"/>
      <c r="Z450" s="276"/>
      <c r="AA450" s="276"/>
      <c r="AB450" s="276"/>
      <c r="AC450" s="276"/>
    </row>
    <row r="451">
      <c r="A451" s="270">
        <v>2020.0</v>
      </c>
      <c r="B451" s="271"/>
      <c r="C451" s="284">
        <v>45297.24607768519</v>
      </c>
      <c r="D451" s="276" t="s">
        <v>2129</v>
      </c>
      <c r="E451" s="276">
        <v>2.011016065E9</v>
      </c>
      <c r="F451" s="276" t="s">
        <v>2130</v>
      </c>
      <c r="G451" s="276" t="s">
        <v>2131</v>
      </c>
      <c r="H451" s="276" t="s">
        <v>2132</v>
      </c>
      <c r="I451" s="276" t="s">
        <v>399</v>
      </c>
      <c r="J451" s="276" t="s">
        <v>183</v>
      </c>
      <c r="K451" s="275"/>
      <c r="L451" s="276"/>
      <c r="N451" s="276"/>
      <c r="O451" s="277" t="s">
        <v>72</v>
      </c>
      <c r="P451" s="278">
        <v>45306.0</v>
      </c>
      <c r="Q451" s="279" t="s">
        <v>1959</v>
      </c>
      <c r="R451" s="280" t="s">
        <v>2133</v>
      </c>
      <c r="S451" s="281" t="s">
        <v>1985</v>
      </c>
      <c r="T451" s="276"/>
      <c r="U451" s="276"/>
      <c r="V451" s="285" t="s">
        <v>316</v>
      </c>
      <c r="W451" s="276"/>
      <c r="X451" s="276"/>
      <c r="Y451" s="276"/>
      <c r="Z451" s="276"/>
      <c r="AA451" s="276"/>
      <c r="AB451" s="276"/>
      <c r="AC451" s="276"/>
    </row>
    <row r="452">
      <c r="A452" s="270">
        <v>2020.0</v>
      </c>
      <c r="B452" s="271"/>
      <c r="C452" s="284">
        <v>45297.25839013889</v>
      </c>
      <c r="D452" s="276" t="s">
        <v>2134</v>
      </c>
      <c r="E452" s="276">
        <v>2.011016061E9</v>
      </c>
      <c r="F452" s="276" t="s">
        <v>2135</v>
      </c>
      <c r="G452" s="276" t="s">
        <v>2136</v>
      </c>
      <c r="H452" s="276" t="s">
        <v>2137</v>
      </c>
      <c r="I452" s="276" t="s">
        <v>399</v>
      </c>
      <c r="J452" s="276" t="s">
        <v>183</v>
      </c>
      <c r="K452" s="275"/>
      <c r="L452" s="276"/>
      <c r="N452" s="276"/>
      <c r="O452" s="277" t="s">
        <v>703</v>
      </c>
      <c r="P452" s="278">
        <v>45306.0</v>
      </c>
      <c r="Q452" s="279" t="s">
        <v>2075</v>
      </c>
      <c r="R452" s="280" t="s">
        <v>2138</v>
      </c>
      <c r="S452" s="281" t="s">
        <v>1985</v>
      </c>
      <c r="T452" s="276"/>
      <c r="U452" s="276"/>
      <c r="V452" s="285" t="s">
        <v>316</v>
      </c>
      <c r="W452" s="276"/>
      <c r="X452" s="276"/>
      <c r="Y452" s="276"/>
      <c r="Z452" s="276"/>
      <c r="AA452" s="276"/>
      <c r="AB452" s="276"/>
      <c r="AC452" s="276"/>
    </row>
    <row r="453">
      <c r="A453" s="270">
        <v>2020.0</v>
      </c>
      <c r="B453" s="271"/>
      <c r="C453" s="284">
        <v>45297.26130894676</v>
      </c>
      <c r="D453" s="276" t="s">
        <v>2139</v>
      </c>
      <c r="E453" s="276">
        <v>2.000016018E9</v>
      </c>
      <c r="F453" s="276" t="s">
        <v>2140</v>
      </c>
      <c r="G453" s="276" t="s">
        <v>2141</v>
      </c>
      <c r="H453" s="276" t="s">
        <v>2142</v>
      </c>
      <c r="I453" s="276" t="s">
        <v>399</v>
      </c>
      <c r="J453" s="276" t="s">
        <v>241</v>
      </c>
      <c r="K453" s="275"/>
      <c r="L453" s="276"/>
      <c r="N453" s="276"/>
      <c r="O453" s="277" t="s">
        <v>1910</v>
      </c>
      <c r="P453" s="278">
        <v>45306.0</v>
      </c>
      <c r="Q453" s="279" t="s">
        <v>2075</v>
      </c>
      <c r="R453" s="283" t="s">
        <v>2143</v>
      </c>
      <c r="S453" s="281" t="s">
        <v>1948</v>
      </c>
      <c r="T453" s="276"/>
      <c r="U453" s="276"/>
      <c r="V453" s="285" t="s">
        <v>316</v>
      </c>
      <c r="W453" s="276"/>
      <c r="X453" s="276"/>
      <c r="Y453" s="276"/>
      <c r="Z453" s="276"/>
      <c r="AA453" s="276"/>
      <c r="AB453" s="276"/>
      <c r="AC453" s="276"/>
    </row>
    <row r="454">
      <c r="A454" s="270">
        <v>2020.0</v>
      </c>
      <c r="B454" s="271"/>
      <c r="C454" s="284">
        <v>45298.93264652778</v>
      </c>
      <c r="D454" s="276" t="s">
        <v>2144</v>
      </c>
      <c r="E454" s="276">
        <v>2.00001603E9</v>
      </c>
      <c r="F454" s="276" t="s">
        <v>2145</v>
      </c>
      <c r="G454" s="276" t="s">
        <v>2146</v>
      </c>
      <c r="H454" s="276" t="s">
        <v>2147</v>
      </c>
      <c r="I454" s="276" t="s">
        <v>399</v>
      </c>
      <c r="J454" s="277" t="s">
        <v>39</v>
      </c>
      <c r="K454" s="275"/>
      <c r="L454" s="276"/>
      <c r="N454" s="276"/>
      <c r="O454" s="277" t="s">
        <v>703</v>
      </c>
      <c r="P454" s="278">
        <v>45307.0</v>
      </c>
      <c r="Q454" s="279" t="s">
        <v>2148</v>
      </c>
      <c r="R454" s="280" t="s">
        <v>2149</v>
      </c>
      <c r="S454" s="281" t="s">
        <v>1985</v>
      </c>
      <c r="T454" s="276"/>
      <c r="U454" s="276"/>
      <c r="V454" s="285" t="s">
        <v>316</v>
      </c>
      <c r="W454" s="276"/>
      <c r="X454" s="276"/>
      <c r="Y454" s="276"/>
      <c r="Z454" s="276"/>
      <c r="AA454" s="276"/>
      <c r="AB454" s="276"/>
      <c r="AC454" s="276"/>
    </row>
    <row r="455">
      <c r="A455" s="270">
        <v>2020.0</v>
      </c>
      <c r="B455" s="271"/>
      <c r="C455" s="284">
        <v>45299.89460189815</v>
      </c>
      <c r="D455" s="276" t="s">
        <v>2150</v>
      </c>
      <c r="E455" s="276">
        <v>2.000016122E9</v>
      </c>
      <c r="F455" s="276" t="s">
        <v>2151</v>
      </c>
      <c r="G455" s="276" t="s">
        <v>2152</v>
      </c>
      <c r="H455" s="276" t="s">
        <v>2153</v>
      </c>
      <c r="I455" s="276" t="s">
        <v>399</v>
      </c>
      <c r="J455" s="277" t="s">
        <v>27</v>
      </c>
      <c r="K455" s="275"/>
      <c r="L455" s="276"/>
      <c r="N455" s="276"/>
      <c r="O455" s="277" t="s">
        <v>2154</v>
      </c>
      <c r="P455" s="278">
        <v>45307.0</v>
      </c>
      <c r="Q455" s="279" t="s">
        <v>1959</v>
      </c>
      <c r="R455" s="280" t="s">
        <v>2155</v>
      </c>
      <c r="S455" s="281" t="s">
        <v>1948</v>
      </c>
      <c r="T455" s="276"/>
      <c r="U455" s="276"/>
      <c r="V455" s="285" t="s">
        <v>316</v>
      </c>
      <c r="W455" s="276"/>
      <c r="X455" s="276"/>
      <c r="Y455" s="276"/>
      <c r="Z455" s="276"/>
      <c r="AA455" s="276"/>
      <c r="AB455" s="276"/>
      <c r="AC455" s="276"/>
    </row>
    <row r="456">
      <c r="A456" s="270">
        <v>2020.0</v>
      </c>
      <c r="B456" s="271"/>
      <c r="C456" s="284">
        <v>45299.9437755324</v>
      </c>
      <c r="D456" s="276" t="s">
        <v>2156</v>
      </c>
      <c r="E456" s="276">
        <v>2.00001601E9</v>
      </c>
      <c r="F456" s="276" t="s">
        <v>2157</v>
      </c>
      <c r="G456" s="276" t="s">
        <v>2158</v>
      </c>
      <c r="H456" s="276" t="s">
        <v>2159</v>
      </c>
      <c r="I456" s="276" t="s">
        <v>399</v>
      </c>
      <c r="J456" s="277" t="s">
        <v>27</v>
      </c>
      <c r="K456" s="275"/>
      <c r="L456" s="276"/>
      <c r="N456" s="276"/>
      <c r="O456" s="277" t="s">
        <v>2154</v>
      </c>
      <c r="P456" s="278">
        <v>45307.0</v>
      </c>
      <c r="Q456" s="279" t="s">
        <v>2075</v>
      </c>
      <c r="R456" s="280" t="s">
        <v>2160</v>
      </c>
      <c r="S456" s="281" t="s">
        <v>1948</v>
      </c>
      <c r="T456" s="276"/>
      <c r="U456" s="276"/>
      <c r="V456" s="285" t="s">
        <v>316</v>
      </c>
      <c r="W456" s="276"/>
      <c r="X456" s="276"/>
      <c r="Y456" s="276"/>
      <c r="Z456" s="276"/>
      <c r="AA456" s="276"/>
      <c r="AB456" s="276"/>
      <c r="AC456" s="276"/>
    </row>
    <row r="457">
      <c r="A457" s="270">
        <v>2020.0</v>
      </c>
      <c r="B457" s="271"/>
      <c r="C457" s="272">
        <v>45300.937236620375</v>
      </c>
      <c r="D457" s="273" t="s">
        <v>2161</v>
      </c>
      <c r="E457" s="273">
        <v>2.000016115E9</v>
      </c>
      <c r="F457" s="273" t="s">
        <v>2162</v>
      </c>
      <c r="G457" s="273" t="s">
        <v>2163</v>
      </c>
      <c r="H457" s="273" t="s">
        <v>2164</v>
      </c>
      <c r="I457" s="273" t="s">
        <v>399</v>
      </c>
      <c r="J457" s="273" t="s">
        <v>183</v>
      </c>
      <c r="K457" s="275"/>
      <c r="L457" s="276"/>
      <c r="N457" s="276"/>
      <c r="O457" s="277" t="s">
        <v>123</v>
      </c>
      <c r="P457" s="278">
        <v>45306.0</v>
      </c>
      <c r="Q457" s="279" t="s">
        <v>1990</v>
      </c>
      <c r="R457" s="280" t="s">
        <v>2165</v>
      </c>
      <c r="S457" s="281" t="s">
        <v>1985</v>
      </c>
      <c r="T457" s="273"/>
      <c r="U457" s="273"/>
      <c r="V457" s="286" t="s">
        <v>316</v>
      </c>
      <c r="W457" s="273"/>
      <c r="X457" s="273"/>
      <c r="Y457" s="273"/>
      <c r="Z457" s="273"/>
      <c r="AA457" s="273"/>
      <c r="AB457" s="276"/>
      <c r="AC457" s="273"/>
    </row>
    <row r="458">
      <c r="A458" s="107">
        <v>2019.0</v>
      </c>
      <c r="B458" s="131"/>
      <c r="C458" s="187">
        <v>45301.31902001158</v>
      </c>
      <c r="D458" s="188" t="s">
        <v>2166</v>
      </c>
      <c r="E458" s="188">
        <v>1.900016149E9</v>
      </c>
      <c r="F458" s="188" t="s">
        <v>2167</v>
      </c>
      <c r="G458" s="188" t="s">
        <v>2168</v>
      </c>
      <c r="H458" s="188" t="s">
        <v>2169</v>
      </c>
      <c r="I458" s="188" t="s">
        <v>399</v>
      </c>
      <c r="J458" s="252" t="s">
        <v>27</v>
      </c>
      <c r="K458" s="268"/>
      <c r="L458" s="139"/>
      <c r="N458" s="139"/>
      <c r="O458" s="148" t="s">
        <v>72</v>
      </c>
      <c r="P458" s="287">
        <v>45309.0</v>
      </c>
      <c r="Q458" s="288" t="s">
        <v>1953</v>
      </c>
      <c r="R458" s="190" t="s">
        <v>2170</v>
      </c>
      <c r="S458" s="289" t="s">
        <v>1948</v>
      </c>
      <c r="T458" s="188"/>
      <c r="U458" s="188"/>
      <c r="V458" s="245" t="s">
        <v>316</v>
      </c>
      <c r="W458" s="188"/>
      <c r="X458" s="188"/>
      <c r="Y458" s="188"/>
      <c r="Z458" s="188"/>
      <c r="AA458" s="188"/>
      <c r="AB458" s="139"/>
      <c r="AC458" s="188"/>
    </row>
    <row r="459">
      <c r="A459" s="270">
        <v>2020.0</v>
      </c>
      <c r="B459" s="271"/>
      <c r="C459" s="272">
        <v>45301.33143077546</v>
      </c>
      <c r="D459" s="273" t="s">
        <v>2171</v>
      </c>
      <c r="E459" s="273">
        <v>2.000016037E9</v>
      </c>
      <c r="F459" s="273" t="s">
        <v>2172</v>
      </c>
      <c r="G459" s="273" t="s">
        <v>2173</v>
      </c>
      <c r="H459" s="273" t="s">
        <v>2174</v>
      </c>
      <c r="I459" s="273" t="s">
        <v>399</v>
      </c>
      <c r="J459" s="273" t="s">
        <v>183</v>
      </c>
      <c r="K459" s="275"/>
      <c r="L459" s="276"/>
      <c r="N459" s="276"/>
      <c r="O459" s="277" t="s">
        <v>123</v>
      </c>
      <c r="P459" s="278">
        <v>45306.0</v>
      </c>
      <c r="Q459" s="279" t="s">
        <v>2069</v>
      </c>
      <c r="R459" s="280" t="s">
        <v>2175</v>
      </c>
      <c r="S459" s="281" t="s">
        <v>1985</v>
      </c>
      <c r="T459" s="273"/>
      <c r="U459" s="273"/>
      <c r="V459" s="286" t="s">
        <v>316</v>
      </c>
      <c r="W459" s="273"/>
      <c r="X459" s="273"/>
      <c r="Y459" s="273"/>
      <c r="Z459" s="273"/>
      <c r="AA459" s="273"/>
      <c r="AB459" s="276"/>
      <c r="AC459" s="273"/>
    </row>
    <row r="460">
      <c r="A460" s="270">
        <v>2020.0</v>
      </c>
      <c r="B460" s="271"/>
      <c r="C460" s="272">
        <v>45301.39648988426</v>
      </c>
      <c r="D460" s="273" t="s">
        <v>2176</v>
      </c>
      <c r="E460" s="273">
        <v>2.000016105E9</v>
      </c>
      <c r="F460" s="273" t="s">
        <v>2177</v>
      </c>
      <c r="G460" s="273" t="s">
        <v>2178</v>
      </c>
      <c r="H460" s="273" t="s">
        <v>2179</v>
      </c>
      <c r="I460" s="273" t="s">
        <v>399</v>
      </c>
      <c r="J460" s="273" t="s">
        <v>183</v>
      </c>
      <c r="K460" s="275"/>
      <c r="L460" s="276"/>
      <c r="N460" s="276"/>
      <c r="O460" s="277" t="s">
        <v>123</v>
      </c>
      <c r="P460" s="278">
        <v>45306.0</v>
      </c>
      <c r="Q460" s="279" t="s">
        <v>2091</v>
      </c>
      <c r="R460" s="280" t="s">
        <v>2180</v>
      </c>
      <c r="S460" s="281" t="s">
        <v>1985</v>
      </c>
      <c r="T460" s="273"/>
      <c r="U460" s="273"/>
      <c r="V460" s="286" t="s">
        <v>316</v>
      </c>
      <c r="W460" s="273"/>
      <c r="X460" s="273"/>
      <c r="Y460" s="273"/>
      <c r="Z460" s="273"/>
      <c r="AA460" s="273"/>
      <c r="AB460" s="276"/>
      <c r="AC460" s="273"/>
    </row>
    <row r="461">
      <c r="A461" s="270">
        <v>2020.0</v>
      </c>
      <c r="B461" s="271"/>
      <c r="C461" s="284">
        <v>45301.78651952546</v>
      </c>
      <c r="D461" s="276" t="s">
        <v>2181</v>
      </c>
      <c r="E461" s="276">
        <v>2.000016048E9</v>
      </c>
      <c r="F461" s="276" t="s">
        <v>2182</v>
      </c>
      <c r="G461" s="276" t="s">
        <v>2183</v>
      </c>
      <c r="H461" s="276" t="s">
        <v>2184</v>
      </c>
      <c r="I461" s="276" t="s">
        <v>399</v>
      </c>
      <c r="J461" s="276" t="s">
        <v>183</v>
      </c>
      <c r="K461" s="275"/>
      <c r="L461" s="276"/>
      <c r="N461" s="276"/>
      <c r="O461" s="277" t="s">
        <v>703</v>
      </c>
      <c r="P461" s="290">
        <v>45310.0</v>
      </c>
      <c r="Q461" s="291" t="s">
        <v>1977</v>
      </c>
      <c r="R461" s="280" t="s">
        <v>2185</v>
      </c>
      <c r="S461" s="292" t="s">
        <v>2186</v>
      </c>
      <c r="T461" s="43"/>
      <c r="U461" s="43"/>
      <c r="V461" s="50" t="s">
        <v>316</v>
      </c>
      <c r="W461" s="43"/>
      <c r="X461" s="43"/>
      <c r="Y461" s="43"/>
      <c r="Z461" s="43"/>
      <c r="AA461" s="43"/>
      <c r="AB461" s="123"/>
      <c r="AC461" s="43"/>
    </row>
    <row r="462">
      <c r="A462" s="270">
        <v>2020.0</v>
      </c>
      <c r="B462" s="271"/>
      <c r="C462" s="284">
        <v>45301.82628373843</v>
      </c>
      <c r="D462" s="276" t="s">
        <v>2187</v>
      </c>
      <c r="E462" s="276">
        <v>2.000016041E9</v>
      </c>
      <c r="F462" s="276" t="s">
        <v>2188</v>
      </c>
      <c r="G462" s="276" t="s">
        <v>2189</v>
      </c>
      <c r="H462" s="276" t="s">
        <v>2190</v>
      </c>
      <c r="I462" s="276" t="s">
        <v>399</v>
      </c>
      <c r="J462" s="276" t="s">
        <v>117</v>
      </c>
      <c r="K462" s="275"/>
      <c r="L462" s="276"/>
      <c r="N462" s="276"/>
      <c r="O462" s="277" t="s">
        <v>703</v>
      </c>
      <c r="P462" s="290">
        <v>45310.0</v>
      </c>
      <c r="Q462" s="291" t="s">
        <v>1953</v>
      </c>
      <c r="R462" s="280" t="s">
        <v>2191</v>
      </c>
      <c r="S462" s="292" t="s">
        <v>2192</v>
      </c>
      <c r="T462" s="43"/>
      <c r="U462" s="43"/>
      <c r="V462" s="50" t="s">
        <v>316</v>
      </c>
      <c r="W462" s="43"/>
      <c r="X462" s="43"/>
      <c r="Y462" s="43"/>
      <c r="Z462" s="43"/>
      <c r="AA462" s="43"/>
      <c r="AB462" s="123"/>
      <c r="AC462" s="43"/>
    </row>
    <row r="463">
      <c r="A463" s="270">
        <v>2020.0</v>
      </c>
      <c r="B463" s="271"/>
      <c r="C463" s="284">
        <v>45301.83134009259</v>
      </c>
      <c r="D463" s="276" t="s">
        <v>2193</v>
      </c>
      <c r="E463" s="276">
        <v>2.000016047E9</v>
      </c>
      <c r="F463" s="276" t="s">
        <v>2194</v>
      </c>
      <c r="G463" s="276" t="s">
        <v>2195</v>
      </c>
      <c r="H463" s="276" t="s">
        <v>2196</v>
      </c>
      <c r="I463" s="276" t="s">
        <v>399</v>
      </c>
      <c r="J463" s="277" t="s">
        <v>27</v>
      </c>
      <c r="K463" s="275"/>
      <c r="L463" s="276"/>
      <c r="N463" s="276"/>
      <c r="O463" s="277" t="s">
        <v>123</v>
      </c>
      <c r="P463" s="290">
        <v>45309.0</v>
      </c>
      <c r="Q463" s="291" t="s">
        <v>1959</v>
      </c>
      <c r="R463" s="280" t="s">
        <v>2197</v>
      </c>
      <c r="S463" s="292" t="s">
        <v>1948</v>
      </c>
      <c r="T463" s="43"/>
      <c r="U463" s="43"/>
      <c r="V463" s="50" t="s">
        <v>316</v>
      </c>
      <c r="W463" s="43"/>
      <c r="X463" s="43"/>
      <c r="Y463" s="43"/>
      <c r="Z463" s="43"/>
      <c r="AA463" s="43"/>
      <c r="AB463" s="123"/>
      <c r="AC463" s="43"/>
    </row>
    <row r="464">
      <c r="A464" s="270">
        <v>2020.0</v>
      </c>
      <c r="B464" s="271"/>
      <c r="C464" s="284">
        <v>45301.99585129629</v>
      </c>
      <c r="D464" s="276" t="s">
        <v>2198</v>
      </c>
      <c r="E464" s="276">
        <v>2.000016141E9</v>
      </c>
      <c r="F464" s="276" t="s">
        <v>2199</v>
      </c>
      <c r="G464" s="276" t="s">
        <v>2200</v>
      </c>
      <c r="H464" s="276" t="s">
        <v>2201</v>
      </c>
      <c r="I464" s="276" t="s">
        <v>399</v>
      </c>
      <c r="J464" s="276" t="s">
        <v>183</v>
      </c>
      <c r="K464" s="275"/>
      <c r="L464" s="276"/>
      <c r="N464" s="276"/>
      <c r="O464" s="277" t="s">
        <v>28</v>
      </c>
      <c r="P464" s="290">
        <v>45310.0</v>
      </c>
      <c r="Q464" s="291" t="s">
        <v>1971</v>
      </c>
      <c r="R464" s="280" t="s">
        <v>2202</v>
      </c>
      <c r="S464" s="292" t="s">
        <v>2186</v>
      </c>
      <c r="T464" s="14"/>
      <c r="U464" s="14"/>
      <c r="V464" s="293" t="s">
        <v>316</v>
      </c>
      <c r="W464" s="14"/>
      <c r="X464" s="14"/>
      <c r="Y464" s="14"/>
      <c r="Z464" s="14"/>
      <c r="AA464" s="14"/>
      <c r="AB464" s="14"/>
      <c r="AC464" s="14"/>
    </row>
    <row r="465">
      <c r="A465" s="270">
        <v>2020.0</v>
      </c>
      <c r="B465" s="271"/>
      <c r="C465" s="284">
        <v>45302.000745983794</v>
      </c>
      <c r="D465" s="276" t="s">
        <v>2203</v>
      </c>
      <c r="E465" s="276">
        <v>2.000016129E9</v>
      </c>
      <c r="F465" s="276" t="s">
        <v>2204</v>
      </c>
      <c r="G465" s="276" t="s">
        <v>2205</v>
      </c>
      <c r="H465" s="276" t="s">
        <v>2206</v>
      </c>
      <c r="I465" s="276" t="s">
        <v>399</v>
      </c>
      <c r="J465" s="277" t="s">
        <v>39</v>
      </c>
      <c r="K465" s="275"/>
      <c r="L465" s="276"/>
      <c r="N465" s="276"/>
      <c r="O465" s="277" t="s">
        <v>703</v>
      </c>
      <c r="P465" s="290">
        <v>45307.0</v>
      </c>
      <c r="Q465" s="291" t="s">
        <v>2045</v>
      </c>
      <c r="R465" s="280" t="s">
        <v>2207</v>
      </c>
      <c r="S465" s="292" t="s">
        <v>2186</v>
      </c>
      <c r="T465" s="14"/>
      <c r="U465" s="14"/>
      <c r="V465" s="293" t="s">
        <v>316</v>
      </c>
      <c r="W465" s="14"/>
      <c r="X465" s="14"/>
      <c r="Y465" s="14"/>
      <c r="Z465" s="14"/>
      <c r="AA465" s="14"/>
      <c r="AB465" s="14"/>
      <c r="AC465" s="14"/>
    </row>
    <row r="466">
      <c r="A466" s="270">
        <v>2020.0</v>
      </c>
      <c r="B466" s="271"/>
      <c r="C466" s="284">
        <v>45302.04040899306</v>
      </c>
      <c r="D466" s="276" t="s">
        <v>2208</v>
      </c>
      <c r="E466" s="276">
        <v>2.015016057E9</v>
      </c>
      <c r="F466" s="276" t="s">
        <v>2209</v>
      </c>
      <c r="G466" s="276" t="s">
        <v>2210</v>
      </c>
      <c r="H466" s="276" t="s">
        <v>2211</v>
      </c>
      <c r="I466" s="276" t="s">
        <v>399</v>
      </c>
      <c r="J466" s="276" t="s">
        <v>117</v>
      </c>
      <c r="K466" s="275"/>
      <c r="L466" s="276"/>
      <c r="N466" s="276"/>
      <c r="O466" s="277" t="s">
        <v>703</v>
      </c>
      <c r="P466" s="290">
        <v>45310.0</v>
      </c>
      <c r="Q466" s="291" t="s">
        <v>1959</v>
      </c>
      <c r="R466" s="280" t="s">
        <v>2212</v>
      </c>
      <c r="S466" s="292" t="s">
        <v>2192</v>
      </c>
      <c r="T466" s="14"/>
      <c r="U466" s="14"/>
      <c r="V466" s="293" t="s">
        <v>316</v>
      </c>
      <c r="W466" s="14"/>
      <c r="X466" s="14"/>
      <c r="Y466" s="14"/>
      <c r="Z466" s="14"/>
      <c r="AA466" s="14"/>
      <c r="AB466" s="14"/>
      <c r="AC466" s="14"/>
    </row>
    <row r="467">
      <c r="A467" s="270">
        <v>2020.0</v>
      </c>
      <c r="B467" s="271"/>
      <c r="C467" s="284">
        <v>45302.04190232639</v>
      </c>
      <c r="D467" s="276" t="s">
        <v>2213</v>
      </c>
      <c r="E467" s="276">
        <v>2.011016062E9</v>
      </c>
      <c r="F467" s="276" t="s">
        <v>2214</v>
      </c>
      <c r="G467" s="276" t="s">
        <v>2215</v>
      </c>
      <c r="H467" s="276" t="s">
        <v>2216</v>
      </c>
      <c r="I467" s="276" t="s">
        <v>399</v>
      </c>
      <c r="J467" s="276" t="s">
        <v>117</v>
      </c>
      <c r="K467" s="275"/>
      <c r="L467" s="276"/>
      <c r="N467" s="276"/>
      <c r="O467" s="277" t="s">
        <v>28</v>
      </c>
      <c r="P467" s="290">
        <v>45310.0</v>
      </c>
      <c r="Q467" s="291" t="s">
        <v>1977</v>
      </c>
      <c r="R467" s="280" t="s">
        <v>2217</v>
      </c>
      <c r="S467" s="292" t="s">
        <v>2218</v>
      </c>
      <c r="T467" s="14"/>
      <c r="U467" s="14"/>
      <c r="V467" s="293" t="s">
        <v>316</v>
      </c>
      <c r="W467" s="14"/>
      <c r="X467" s="14"/>
      <c r="Y467" s="14"/>
      <c r="Z467" s="14"/>
      <c r="AA467" s="14"/>
      <c r="AB467" s="14"/>
      <c r="AC467" s="14"/>
    </row>
    <row r="468">
      <c r="A468" s="270">
        <v>2020.0</v>
      </c>
      <c r="B468" s="271"/>
      <c r="C468" s="284">
        <v>45302.0829640162</v>
      </c>
      <c r="D468" s="276" t="s">
        <v>2219</v>
      </c>
      <c r="E468" s="276">
        <v>2.000016026E9</v>
      </c>
      <c r="F468" s="276" t="s">
        <v>2220</v>
      </c>
      <c r="G468" s="276" t="s">
        <v>2221</v>
      </c>
      <c r="H468" s="276" t="s">
        <v>2222</v>
      </c>
      <c r="I468" s="276" t="s">
        <v>399</v>
      </c>
      <c r="J468" s="276" t="s">
        <v>117</v>
      </c>
      <c r="K468" s="275"/>
      <c r="L468" s="276"/>
      <c r="N468" s="276"/>
      <c r="O468" s="277" t="s">
        <v>2011</v>
      </c>
      <c r="P468" s="290">
        <v>45313.0</v>
      </c>
      <c r="Q468" s="291" t="s">
        <v>2051</v>
      </c>
      <c r="R468" s="280" t="s">
        <v>2223</v>
      </c>
      <c r="S468" s="292" t="s">
        <v>2192</v>
      </c>
      <c r="T468" s="14"/>
      <c r="U468" s="14"/>
      <c r="V468" s="293" t="s">
        <v>316</v>
      </c>
      <c r="W468" s="14"/>
      <c r="X468" s="14"/>
      <c r="Y468" s="14"/>
      <c r="Z468" s="14"/>
      <c r="AA468" s="14"/>
      <c r="AB468" s="14"/>
      <c r="AC468" s="14"/>
    </row>
    <row r="469">
      <c r="A469" s="270">
        <v>2020.0</v>
      </c>
      <c r="B469" s="271"/>
      <c r="C469" s="284">
        <v>45302.093767094906</v>
      </c>
      <c r="D469" s="276" t="s">
        <v>2224</v>
      </c>
      <c r="E469" s="276">
        <v>2.000016121E9</v>
      </c>
      <c r="F469" s="276" t="s">
        <v>2225</v>
      </c>
      <c r="G469" s="276" t="s">
        <v>2226</v>
      </c>
      <c r="H469" s="276" t="s">
        <v>2227</v>
      </c>
      <c r="I469" s="276" t="s">
        <v>399</v>
      </c>
      <c r="J469" s="276" t="s">
        <v>117</v>
      </c>
      <c r="K469" s="275"/>
      <c r="L469" s="276"/>
      <c r="N469" s="276"/>
      <c r="O469" s="277" t="s">
        <v>40</v>
      </c>
      <c r="P469" s="290">
        <v>45310.0</v>
      </c>
      <c r="Q469" s="291" t="s">
        <v>2034</v>
      </c>
      <c r="R469" s="280" t="s">
        <v>2228</v>
      </c>
      <c r="S469" s="292" t="s">
        <v>2192</v>
      </c>
      <c r="T469" s="14"/>
      <c r="U469" s="14"/>
      <c r="V469" s="293" t="s">
        <v>316</v>
      </c>
      <c r="W469" s="14"/>
      <c r="X469" s="14"/>
      <c r="Y469" s="14"/>
      <c r="Z469" s="14"/>
      <c r="AA469" s="14"/>
      <c r="AB469" s="14"/>
      <c r="AC469" s="14"/>
    </row>
    <row r="470">
      <c r="A470" s="270">
        <v>2020.0</v>
      </c>
      <c r="B470" s="271"/>
      <c r="C470" s="284">
        <v>45302.10429806713</v>
      </c>
      <c r="D470" s="276" t="s">
        <v>2229</v>
      </c>
      <c r="E470" s="276">
        <v>2.000016059E9</v>
      </c>
      <c r="F470" s="276" t="s">
        <v>2230</v>
      </c>
      <c r="G470" s="276" t="s">
        <v>2231</v>
      </c>
      <c r="H470" s="276" t="s">
        <v>2232</v>
      </c>
      <c r="I470" s="276" t="s">
        <v>399</v>
      </c>
      <c r="J470" s="276" t="s">
        <v>117</v>
      </c>
      <c r="K470" s="275"/>
      <c r="L470" s="276"/>
      <c r="N470" s="276"/>
      <c r="O470" s="277" t="s">
        <v>40</v>
      </c>
      <c r="P470" s="290">
        <v>45310.0</v>
      </c>
      <c r="Q470" s="291" t="s">
        <v>2045</v>
      </c>
      <c r="R470" s="280" t="s">
        <v>2233</v>
      </c>
      <c r="S470" s="292" t="s">
        <v>2192</v>
      </c>
      <c r="T470" s="123"/>
      <c r="U470" s="123"/>
      <c r="V470" s="294" t="s">
        <v>316</v>
      </c>
      <c r="W470" s="123"/>
      <c r="X470" s="123"/>
      <c r="Y470" s="123"/>
      <c r="Z470" s="123"/>
      <c r="AA470" s="123"/>
      <c r="AB470" s="123"/>
      <c r="AC470" s="123"/>
    </row>
    <row r="471">
      <c r="A471" s="270">
        <v>2020.0</v>
      </c>
      <c r="B471" s="271"/>
      <c r="C471" s="284">
        <v>45302.17378456018</v>
      </c>
      <c r="D471" s="276" t="s">
        <v>2234</v>
      </c>
      <c r="E471" s="276">
        <v>2.000016124E9</v>
      </c>
      <c r="F471" s="276" t="s">
        <v>2235</v>
      </c>
      <c r="G471" s="276" t="s">
        <v>2236</v>
      </c>
      <c r="H471" s="276" t="s">
        <v>2237</v>
      </c>
      <c r="I471" s="276" t="s">
        <v>399</v>
      </c>
      <c r="J471" s="276" t="s">
        <v>117</v>
      </c>
      <c r="K471" s="275"/>
      <c r="L471" s="276"/>
      <c r="N471" s="276"/>
      <c r="O471" s="277" t="s">
        <v>2011</v>
      </c>
      <c r="P471" s="290">
        <v>45313.0</v>
      </c>
      <c r="Q471" s="291" t="s">
        <v>2058</v>
      </c>
      <c r="R471" s="280" t="s">
        <v>2238</v>
      </c>
      <c r="S471" s="292" t="s">
        <v>2192</v>
      </c>
      <c r="T471" s="14"/>
      <c r="U471" s="14"/>
      <c r="V471" s="293" t="s">
        <v>316</v>
      </c>
      <c r="W471" s="14"/>
      <c r="X471" s="14"/>
      <c r="Y471" s="14"/>
      <c r="Z471" s="14"/>
      <c r="AA471" s="14"/>
      <c r="AB471" s="14"/>
      <c r="AC471" s="14"/>
    </row>
    <row r="472">
      <c r="A472" s="270">
        <v>2020.0</v>
      </c>
      <c r="B472" s="271"/>
      <c r="C472" s="284">
        <v>45302.21153168981</v>
      </c>
      <c r="D472" s="276" t="s">
        <v>2239</v>
      </c>
      <c r="E472" s="276">
        <v>2.000016136E9</v>
      </c>
      <c r="F472" s="276" t="s">
        <v>2240</v>
      </c>
      <c r="G472" s="276" t="s">
        <v>2241</v>
      </c>
      <c r="H472" s="276" t="s">
        <v>2242</v>
      </c>
      <c r="I472" s="276" t="s">
        <v>399</v>
      </c>
      <c r="J472" s="276" t="s">
        <v>117</v>
      </c>
      <c r="K472" s="275"/>
      <c r="L472" s="276"/>
      <c r="N472" s="276"/>
      <c r="O472" s="277" t="s">
        <v>123</v>
      </c>
      <c r="P472" s="290">
        <v>45310.0</v>
      </c>
      <c r="Q472" s="291" t="s">
        <v>2051</v>
      </c>
      <c r="R472" s="276"/>
      <c r="S472" s="292" t="s">
        <v>2192</v>
      </c>
      <c r="T472" s="14"/>
      <c r="U472" s="14"/>
      <c r="V472" s="293" t="s">
        <v>316</v>
      </c>
      <c r="W472" s="14"/>
      <c r="X472" s="14"/>
      <c r="Y472" s="14"/>
      <c r="Z472" s="14"/>
      <c r="AA472" s="14"/>
      <c r="AB472" s="14"/>
      <c r="AC472" s="14"/>
    </row>
    <row r="473">
      <c r="A473" s="270">
        <v>2020.0</v>
      </c>
      <c r="B473" s="271"/>
      <c r="C473" s="284">
        <v>45302.22082260416</v>
      </c>
      <c r="D473" s="276" t="s">
        <v>2243</v>
      </c>
      <c r="E473" s="276">
        <v>2.000016074E9</v>
      </c>
      <c r="F473" s="276" t="s">
        <v>2244</v>
      </c>
      <c r="G473" s="276" t="s">
        <v>2245</v>
      </c>
      <c r="H473" s="276" t="s">
        <v>2246</v>
      </c>
      <c r="I473" s="276" t="s">
        <v>399</v>
      </c>
      <c r="J473" s="276" t="s">
        <v>117</v>
      </c>
      <c r="K473" s="275"/>
      <c r="L473" s="276"/>
      <c r="N473" s="276"/>
      <c r="O473" s="277" t="s">
        <v>2011</v>
      </c>
      <c r="P473" s="290">
        <v>45313.0</v>
      </c>
      <c r="Q473" s="291" t="s">
        <v>2112</v>
      </c>
      <c r="R473" s="280" t="s">
        <v>2247</v>
      </c>
      <c r="S473" s="292" t="s">
        <v>2192</v>
      </c>
      <c r="T473" s="14"/>
      <c r="U473" s="14"/>
      <c r="V473" s="293" t="s">
        <v>316</v>
      </c>
      <c r="W473" s="14"/>
      <c r="X473" s="14"/>
      <c r="Y473" s="14"/>
      <c r="Z473" s="14"/>
      <c r="AA473" s="14"/>
      <c r="AB473" s="14"/>
      <c r="AC473" s="14"/>
    </row>
    <row r="474">
      <c r="A474" s="270">
        <v>2020.0</v>
      </c>
      <c r="B474" s="271"/>
      <c r="C474" s="295">
        <v>45302.243005034725</v>
      </c>
      <c r="D474" s="296" t="s">
        <v>2248</v>
      </c>
      <c r="E474" s="296">
        <v>2.015016055E9</v>
      </c>
      <c r="F474" s="296" t="s">
        <v>2249</v>
      </c>
      <c r="G474" s="296" t="s">
        <v>2250</v>
      </c>
      <c r="H474" s="296" t="s">
        <v>2251</v>
      </c>
      <c r="I474" s="296" t="s">
        <v>399</v>
      </c>
      <c r="J474" s="296" t="s">
        <v>117</v>
      </c>
      <c r="K474" s="297"/>
      <c r="L474" s="296"/>
      <c r="N474" s="296"/>
      <c r="O474" s="277" t="s">
        <v>2011</v>
      </c>
      <c r="P474" s="290">
        <v>45313.0</v>
      </c>
      <c r="Q474" s="291" t="s">
        <v>2252</v>
      </c>
      <c r="R474" s="298" t="s">
        <v>2253</v>
      </c>
      <c r="S474" s="292" t="s">
        <v>2192</v>
      </c>
      <c r="T474" s="43"/>
      <c r="U474" s="43"/>
      <c r="V474" s="50" t="s">
        <v>316</v>
      </c>
      <c r="W474" s="43"/>
      <c r="X474" s="43"/>
      <c r="Y474" s="43"/>
      <c r="Z474" s="43"/>
      <c r="AA474" s="43"/>
      <c r="AB474" s="123"/>
      <c r="AC474" s="43"/>
    </row>
    <row r="475">
      <c r="A475" s="270">
        <v>2020.0</v>
      </c>
      <c r="B475" s="271"/>
      <c r="C475" s="295">
        <v>45302.284629699076</v>
      </c>
      <c r="D475" s="296" t="s">
        <v>2254</v>
      </c>
      <c r="E475" s="296">
        <v>2.000016101E9</v>
      </c>
      <c r="F475" s="296" t="s">
        <v>2255</v>
      </c>
      <c r="G475" s="296" t="s">
        <v>2256</v>
      </c>
      <c r="H475" s="296" t="s">
        <v>2257</v>
      </c>
      <c r="I475" s="296" t="s">
        <v>399</v>
      </c>
      <c r="J475" s="299" t="s">
        <v>39</v>
      </c>
      <c r="K475" s="297"/>
      <c r="L475" s="296"/>
      <c r="N475" s="296"/>
      <c r="O475" s="277" t="s">
        <v>123</v>
      </c>
      <c r="P475" s="290">
        <v>45308.0</v>
      </c>
      <c r="Q475" s="291" t="s">
        <v>1959</v>
      </c>
      <c r="R475" s="298" t="s">
        <v>2258</v>
      </c>
      <c r="S475" s="292" t="s">
        <v>2218</v>
      </c>
      <c r="T475" s="43"/>
      <c r="U475" s="43"/>
      <c r="V475" s="50" t="s">
        <v>316</v>
      </c>
      <c r="W475" s="43"/>
      <c r="X475" s="43"/>
      <c r="Y475" s="43"/>
      <c r="Z475" s="43"/>
      <c r="AA475" s="43"/>
      <c r="AB475" s="123"/>
      <c r="AC475" s="43"/>
    </row>
    <row r="476">
      <c r="A476" s="270">
        <v>2020.0</v>
      </c>
      <c r="B476" s="271"/>
      <c r="C476" s="295">
        <v>45302.29933166667</v>
      </c>
      <c r="D476" s="296" t="s">
        <v>2259</v>
      </c>
      <c r="E476" s="296">
        <v>2.000016123E9</v>
      </c>
      <c r="F476" s="296" t="s">
        <v>2260</v>
      </c>
      <c r="G476" s="296" t="s">
        <v>2261</v>
      </c>
      <c r="H476" s="296" t="s">
        <v>2262</v>
      </c>
      <c r="I476" s="296" t="s">
        <v>399</v>
      </c>
      <c r="J476" s="299" t="s">
        <v>39</v>
      </c>
      <c r="K476" s="297"/>
      <c r="L476" s="296"/>
      <c r="N476" s="296"/>
      <c r="O476" s="277" t="s">
        <v>40</v>
      </c>
      <c r="P476" s="290">
        <v>45307.0</v>
      </c>
      <c r="Q476" s="291" t="s">
        <v>1983</v>
      </c>
      <c r="R476" s="298" t="s">
        <v>2263</v>
      </c>
      <c r="S476" s="292" t="s">
        <v>2186</v>
      </c>
      <c r="T476" s="43"/>
      <c r="U476" s="43"/>
      <c r="V476" s="50" t="s">
        <v>316</v>
      </c>
      <c r="W476" s="43"/>
      <c r="X476" s="43"/>
      <c r="Y476" s="43"/>
      <c r="Z476" s="43"/>
      <c r="AA476" s="43"/>
      <c r="AB476" s="123"/>
      <c r="AC476" s="43"/>
    </row>
    <row r="477">
      <c r="A477" s="270">
        <v>2020.0</v>
      </c>
      <c r="B477" s="271"/>
      <c r="C477" s="295">
        <v>45302.299404247686</v>
      </c>
      <c r="D477" s="296" t="s">
        <v>2264</v>
      </c>
      <c r="E477" s="296">
        <v>2.000016127E9</v>
      </c>
      <c r="F477" s="296" t="s">
        <v>2265</v>
      </c>
      <c r="G477" s="296" t="s">
        <v>2266</v>
      </c>
      <c r="H477" s="296" t="s">
        <v>2267</v>
      </c>
      <c r="I477" s="296" t="s">
        <v>399</v>
      </c>
      <c r="J477" s="299" t="s">
        <v>27</v>
      </c>
      <c r="K477" s="297"/>
      <c r="L477" s="296"/>
      <c r="N477" s="296"/>
      <c r="O477" s="277" t="s">
        <v>123</v>
      </c>
      <c r="P477" s="290">
        <v>45309.0</v>
      </c>
      <c r="Q477" s="291" t="s">
        <v>2268</v>
      </c>
      <c r="R477" s="298" t="s">
        <v>2269</v>
      </c>
      <c r="S477" s="292" t="s">
        <v>1948</v>
      </c>
      <c r="T477" s="43"/>
      <c r="U477" s="43"/>
      <c r="V477" s="50" t="s">
        <v>316</v>
      </c>
      <c r="W477" s="43"/>
      <c r="X477" s="43"/>
      <c r="Y477" s="43"/>
      <c r="Z477" s="43"/>
      <c r="AA477" s="43"/>
      <c r="AB477" s="123"/>
      <c r="AC477" s="43"/>
    </row>
    <row r="478">
      <c r="A478" s="270">
        <v>2020.0</v>
      </c>
      <c r="B478" s="271"/>
      <c r="C478" s="295">
        <v>45302.300163946755</v>
      </c>
      <c r="D478" s="296" t="s">
        <v>2270</v>
      </c>
      <c r="E478" s="296">
        <v>2.000016139E9</v>
      </c>
      <c r="F478" s="296" t="s">
        <v>2271</v>
      </c>
      <c r="G478" s="296" t="s">
        <v>2272</v>
      </c>
      <c r="H478" s="296" t="s">
        <v>2273</v>
      </c>
      <c r="I478" s="296" t="s">
        <v>399</v>
      </c>
      <c r="J478" s="299" t="s">
        <v>27</v>
      </c>
      <c r="K478" s="297"/>
      <c r="L478" s="296"/>
      <c r="N478" s="296"/>
      <c r="O478" s="277" t="s">
        <v>2154</v>
      </c>
      <c r="P478" s="290">
        <v>45310.0</v>
      </c>
      <c r="Q478" s="291" t="s">
        <v>2023</v>
      </c>
      <c r="R478" s="298" t="s">
        <v>2274</v>
      </c>
      <c r="S478" s="292" t="s">
        <v>2192</v>
      </c>
      <c r="T478" s="43"/>
      <c r="U478" s="43"/>
      <c r="V478" s="50" t="s">
        <v>316</v>
      </c>
      <c r="W478" s="43"/>
      <c r="X478" s="43"/>
      <c r="Y478" s="43"/>
      <c r="Z478" s="43"/>
      <c r="AA478" s="43"/>
      <c r="AB478" s="123"/>
      <c r="AC478" s="43"/>
    </row>
    <row r="479">
      <c r="A479" s="270">
        <v>2020.0</v>
      </c>
      <c r="B479" s="271"/>
      <c r="C479" s="295">
        <v>45302.31697782407</v>
      </c>
      <c r="D479" s="296" t="s">
        <v>2275</v>
      </c>
      <c r="E479" s="296">
        <v>2.000016076E9</v>
      </c>
      <c r="F479" s="296" t="s">
        <v>2276</v>
      </c>
      <c r="G479" s="296" t="s">
        <v>2277</v>
      </c>
      <c r="H479" s="296" t="s">
        <v>2278</v>
      </c>
      <c r="I479" s="296" t="s">
        <v>399</v>
      </c>
      <c r="J479" s="296" t="s">
        <v>117</v>
      </c>
      <c r="K479" s="297"/>
      <c r="L479" s="296"/>
      <c r="N479" s="296"/>
      <c r="O479" s="277" t="s">
        <v>703</v>
      </c>
      <c r="P479" s="290">
        <v>45310.0</v>
      </c>
      <c r="Q479" s="291" t="s">
        <v>2075</v>
      </c>
      <c r="R479" s="298" t="s">
        <v>2279</v>
      </c>
      <c r="S479" s="292" t="s">
        <v>2192</v>
      </c>
      <c r="T479" s="43"/>
      <c r="U479" s="43"/>
      <c r="V479" s="50" t="s">
        <v>316</v>
      </c>
      <c r="W479" s="43"/>
      <c r="X479" s="43"/>
      <c r="Y479" s="43"/>
      <c r="Z479" s="43"/>
      <c r="AA479" s="43"/>
      <c r="AB479" s="123"/>
      <c r="AC479" s="43"/>
    </row>
    <row r="480">
      <c r="A480" s="270">
        <v>2020.0</v>
      </c>
      <c r="B480" s="271"/>
      <c r="C480" s="295">
        <v>45302.318149374994</v>
      </c>
      <c r="D480" s="296" t="s">
        <v>2280</v>
      </c>
      <c r="E480" s="296">
        <v>2.000016078E9</v>
      </c>
      <c r="F480" s="296" t="s">
        <v>2281</v>
      </c>
      <c r="G480" s="296" t="s">
        <v>2282</v>
      </c>
      <c r="H480" s="296" t="s">
        <v>2283</v>
      </c>
      <c r="I480" s="296" t="s">
        <v>399</v>
      </c>
      <c r="J480" s="296" t="s">
        <v>117</v>
      </c>
      <c r="K480" s="297"/>
      <c r="L480" s="296"/>
      <c r="N480" s="296"/>
      <c r="O480" s="277" t="s">
        <v>703</v>
      </c>
      <c r="P480" s="290">
        <v>45310.0</v>
      </c>
      <c r="Q480" s="291" t="s">
        <v>1990</v>
      </c>
      <c r="R480" s="298" t="s">
        <v>2284</v>
      </c>
      <c r="S480" s="292" t="s">
        <v>2192</v>
      </c>
      <c r="T480" s="43"/>
      <c r="U480" s="43"/>
      <c r="V480" s="50" t="s">
        <v>316</v>
      </c>
      <c r="W480" s="43"/>
      <c r="X480" s="43"/>
      <c r="Y480" s="43"/>
      <c r="Z480" s="43"/>
      <c r="AA480" s="43"/>
      <c r="AB480" s="123"/>
      <c r="AC480" s="43"/>
    </row>
    <row r="481">
      <c r="A481" s="270">
        <v>2020.0</v>
      </c>
      <c r="B481" s="271"/>
      <c r="C481" s="295">
        <v>45302.31968212964</v>
      </c>
      <c r="D481" s="296" t="s">
        <v>2285</v>
      </c>
      <c r="E481" s="296">
        <v>2.011016067E9</v>
      </c>
      <c r="F481" s="296" t="s">
        <v>2286</v>
      </c>
      <c r="G481" s="296" t="s">
        <v>2287</v>
      </c>
      <c r="H481" s="296" t="s">
        <v>2288</v>
      </c>
      <c r="I481" s="296" t="s">
        <v>399</v>
      </c>
      <c r="J481" s="296" t="s">
        <v>183</v>
      </c>
      <c r="K481" s="297"/>
      <c r="L481" s="296"/>
      <c r="N481" s="296"/>
      <c r="O481" s="277" t="s">
        <v>2011</v>
      </c>
      <c r="P481" s="290">
        <v>45310.0</v>
      </c>
      <c r="Q481" s="291" t="s">
        <v>1983</v>
      </c>
      <c r="R481" s="298" t="s">
        <v>2289</v>
      </c>
      <c r="S481" s="292" t="s">
        <v>2186</v>
      </c>
      <c r="T481" s="43"/>
      <c r="U481" s="43"/>
      <c r="V481" s="50" t="s">
        <v>316</v>
      </c>
      <c r="W481" s="43"/>
      <c r="X481" s="43"/>
      <c r="Y481" s="43"/>
      <c r="Z481" s="43"/>
      <c r="AA481" s="43"/>
      <c r="AB481" s="123"/>
      <c r="AC481" s="43"/>
    </row>
    <row r="482">
      <c r="A482" s="270">
        <v>2020.0</v>
      </c>
      <c r="B482" s="271"/>
      <c r="C482" s="295">
        <v>45302.32839753472</v>
      </c>
      <c r="D482" s="296" t="s">
        <v>2290</v>
      </c>
      <c r="E482" s="296">
        <v>2.000016125E9</v>
      </c>
      <c r="F482" s="296" t="s">
        <v>2291</v>
      </c>
      <c r="G482" s="296" t="s">
        <v>2292</v>
      </c>
      <c r="H482" s="296" t="s">
        <v>2293</v>
      </c>
      <c r="I482" s="296" t="s">
        <v>399</v>
      </c>
      <c r="J482" s="296" t="s">
        <v>241</v>
      </c>
      <c r="K482" s="297"/>
      <c r="L482" s="296"/>
      <c r="N482" s="296"/>
      <c r="O482" s="277" t="s">
        <v>28</v>
      </c>
      <c r="P482" s="290">
        <v>45310.0</v>
      </c>
      <c r="Q482" s="291" t="s">
        <v>1983</v>
      </c>
      <c r="R482" s="298" t="s">
        <v>2294</v>
      </c>
      <c r="S482" s="292" t="s">
        <v>2295</v>
      </c>
      <c r="T482" s="43"/>
      <c r="U482" s="43"/>
      <c r="V482" s="50" t="s">
        <v>316</v>
      </c>
      <c r="W482" s="43"/>
      <c r="X482" s="43"/>
      <c r="Y482" s="43"/>
      <c r="Z482" s="43"/>
      <c r="AA482" s="43"/>
      <c r="AB482" s="123"/>
      <c r="AC482" s="43"/>
    </row>
    <row r="483">
      <c r="A483" s="270">
        <v>2020.0</v>
      </c>
      <c r="B483" s="271"/>
      <c r="C483" s="295">
        <v>45302.32950524305</v>
      </c>
      <c r="D483" s="296" t="s">
        <v>2296</v>
      </c>
      <c r="E483" s="296">
        <v>2.000016025E9</v>
      </c>
      <c r="F483" s="296" t="s">
        <v>2297</v>
      </c>
      <c r="G483" s="296" t="s">
        <v>2298</v>
      </c>
      <c r="H483" s="296" t="s">
        <v>2299</v>
      </c>
      <c r="I483" s="296" t="s">
        <v>399</v>
      </c>
      <c r="J483" s="299" t="s">
        <v>27</v>
      </c>
      <c r="K483" s="297"/>
      <c r="L483" s="296"/>
      <c r="N483" s="296"/>
      <c r="O483" s="277" t="s">
        <v>123</v>
      </c>
      <c r="P483" s="290">
        <v>45309.0</v>
      </c>
      <c r="Q483" s="291" t="s">
        <v>1990</v>
      </c>
      <c r="R483" s="298" t="s">
        <v>2300</v>
      </c>
      <c r="S483" s="292" t="s">
        <v>1948</v>
      </c>
      <c r="T483" s="43"/>
      <c r="U483" s="43"/>
      <c r="V483" s="50" t="s">
        <v>316</v>
      </c>
      <c r="W483" s="43"/>
      <c r="X483" s="43"/>
      <c r="Y483" s="43"/>
      <c r="Z483" s="43"/>
      <c r="AA483" s="43"/>
      <c r="AB483" s="123"/>
      <c r="AC483" s="43"/>
    </row>
    <row r="484">
      <c r="A484" s="270">
        <v>2020.0</v>
      </c>
      <c r="B484" s="271"/>
      <c r="C484" s="295">
        <v>45302.34132850695</v>
      </c>
      <c r="D484" s="296" t="s">
        <v>2301</v>
      </c>
      <c r="E484" s="296">
        <v>2.000016075E9</v>
      </c>
      <c r="F484" s="296" t="s">
        <v>2302</v>
      </c>
      <c r="G484" s="296" t="s">
        <v>2303</v>
      </c>
      <c r="H484" s="296" t="s">
        <v>2304</v>
      </c>
      <c r="I484" s="296" t="s">
        <v>399</v>
      </c>
      <c r="J484" s="299" t="s">
        <v>27</v>
      </c>
      <c r="K484" s="297"/>
      <c r="L484" s="296"/>
      <c r="N484" s="296"/>
      <c r="O484" s="277" t="s">
        <v>2011</v>
      </c>
      <c r="P484" s="290">
        <v>45309.0</v>
      </c>
      <c r="Q484" s="291" t="s">
        <v>2305</v>
      </c>
      <c r="R484" s="298" t="s">
        <v>2306</v>
      </c>
      <c r="S484" s="292" t="s">
        <v>1948</v>
      </c>
      <c r="T484" s="43"/>
      <c r="U484" s="43"/>
      <c r="V484" s="50" t="s">
        <v>316</v>
      </c>
      <c r="W484" s="43"/>
      <c r="X484" s="43"/>
      <c r="Y484" s="43"/>
      <c r="Z484" s="43"/>
      <c r="AA484" s="43"/>
      <c r="AB484" s="123"/>
      <c r="AC484" s="43"/>
    </row>
    <row r="485">
      <c r="A485" s="270">
        <v>2020.0</v>
      </c>
      <c r="B485" s="271"/>
      <c r="C485" s="295">
        <v>45302.3413718287</v>
      </c>
      <c r="D485" s="296" t="s">
        <v>2307</v>
      </c>
      <c r="E485" s="296">
        <v>2.000016102E9</v>
      </c>
      <c r="F485" s="296" t="s">
        <v>2308</v>
      </c>
      <c r="G485" s="296" t="s">
        <v>2309</v>
      </c>
      <c r="H485" s="296" t="s">
        <v>2310</v>
      </c>
      <c r="I485" s="296" t="s">
        <v>399</v>
      </c>
      <c r="J485" s="296" t="s">
        <v>241</v>
      </c>
      <c r="K485" s="297"/>
      <c r="L485" s="296"/>
      <c r="N485" s="296"/>
      <c r="O485" s="277" t="s">
        <v>2011</v>
      </c>
      <c r="P485" s="290">
        <v>45310.0</v>
      </c>
      <c r="Q485" s="291" t="s">
        <v>2034</v>
      </c>
      <c r="R485" s="298" t="s">
        <v>2311</v>
      </c>
      <c r="S485" s="292" t="s">
        <v>2186</v>
      </c>
      <c r="T485" s="43"/>
      <c r="U485" s="43"/>
      <c r="V485" s="50" t="s">
        <v>316</v>
      </c>
      <c r="W485" s="43"/>
      <c r="X485" s="43"/>
      <c r="Y485" s="43"/>
      <c r="Z485" s="43"/>
      <c r="AA485" s="43"/>
      <c r="AB485" s="123"/>
      <c r="AC485" s="43"/>
    </row>
    <row r="486">
      <c r="A486" s="270">
        <v>2020.0</v>
      </c>
      <c r="B486" s="271"/>
      <c r="C486" s="295">
        <v>45302.344863321756</v>
      </c>
      <c r="D486" s="296" t="s">
        <v>2312</v>
      </c>
      <c r="E486" s="296">
        <v>2.000016081E9</v>
      </c>
      <c r="F486" s="296" t="s">
        <v>2313</v>
      </c>
      <c r="G486" s="296" t="s">
        <v>2314</v>
      </c>
      <c r="H486" s="296" t="s">
        <v>2315</v>
      </c>
      <c r="I486" s="296" t="s">
        <v>399</v>
      </c>
      <c r="J486" s="296" t="s">
        <v>117</v>
      </c>
      <c r="K486" s="297"/>
      <c r="L486" s="296"/>
      <c r="N486" s="296"/>
      <c r="O486" s="277" t="s">
        <v>123</v>
      </c>
      <c r="P486" s="290">
        <v>45310.0</v>
      </c>
      <c r="Q486" s="291" t="s">
        <v>2112</v>
      </c>
      <c r="R486" s="298" t="s">
        <v>2316</v>
      </c>
      <c r="S486" s="292" t="s">
        <v>2192</v>
      </c>
      <c r="T486" s="43"/>
      <c r="U486" s="43"/>
      <c r="V486" s="50" t="s">
        <v>316</v>
      </c>
      <c r="W486" s="43"/>
      <c r="X486" s="43"/>
      <c r="Y486" s="43"/>
      <c r="Z486" s="43"/>
      <c r="AA486" s="43"/>
      <c r="AB486" s="123"/>
      <c r="AC486" s="43"/>
    </row>
    <row r="487">
      <c r="A487" s="270">
        <v>2020.0</v>
      </c>
      <c r="B487" s="271"/>
      <c r="C487" s="295">
        <v>45302.35214136574</v>
      </c>
      <c r="D487" s="296" t="s">
        <v>2317</v>
      </c>
      <c r="E487" s="296">
        <v>2.00001608E9</v>
      </c>
      <c r="F487" s="296" t="s">
        <v>2318</v>
      </c>
      <c r="G487" s="296" t="s">
        <v>2319</v>
      </c>
      <c r="H487" s="296" t="s">
        <v>2320</v>
      </c>
      <c r="I487" s="296" t="s">
        <v>399</v>
      </c>
      <c r="J487" s="299" t="s">
        <v>39</v>
      </c>
      <c r="K487" s="297"/>
      <c r="L487" s="296"/>
      <c r="N487" s="296"/>
      <c r="O487" s="277" t="s">
        <v>703</v>
      </c>
      <c r="P487" s="290">
        <v>45307.0</v>
      </c>
      <c r="Q487" s="291" t="s">
        <v>2051</v>
      </c>
      <c r="R487" s="298" t="s">
        <v>2321</v>
      </c>
      <c r="S487" s="292" t="s">
        <v>2186</v>
      </c>
      <c r="T487" s="43"/>
      <c r="U487" s="43"/>
      <c r="V487" s="50" t="s">
        <v>316</v>
      </c>
      <c r="W487" s="43"/>
      <c r="X487" s="43"/>
      <c r="Y487" s="43"/>
      <c r="Z487" s="43"/>
      <c r="AA487" s="43"/>
      <c r="AB487" s="123"/>
      <c r="AC487" s="43"/>
    </row>
    <row r="488">
      <c r="A488" s="270">
        <v>2020.0</v>
      </c>
      <c r="B488" s="271"/>
      <c r="C488" s="295">
        <v>45302.370627557866</v>
      </c>
      <c r="D488" s="296" t="s">
        <v>2322</v>
      </c>
      <c r="E488" s="296">
        <v>2.000016011E9</v>
      </c>
      <c r="F488" s="296" t="s">
        <v>2323</v>
      </c>
      <c r="G488" s="296" t="s">
        <v>2324</v>
      </c>
      <c r="H488" s="296" t="s">
        <v>2325</v>
      </c>
      <c r="I488" s="296" t="s">
        <v>399</v>
      </c>
      <c r="J488" s="296" t="s">
        <v>117</v>
      </c>
      <c r="K488" s="297"/>
      <c r="L488" s="296"/>
      <c r="N488" s="296"/>
      <c r="O488" s="277" t="s">
        <v>2011</v>
      </c>
      <c r="P488" s="290">
        <v>45313.0</v>
      </c>
      <c r="Q488" s="291" t="s">
        <v>2326</v>
      </c>
      <c r="R488" s="298" t="s">
        <v>2327</v>
      </c>
      <c r="S488" s="292" t="s">
        <v>2192</v>
      </c>
      <c r="T488" s="43"/>
      <c r="U488" s="43"/>
      <c r="V488" s="50" t="s">
        <v>316</v>
      </c>
      <c r="W488" s="43"/>
      <c r="X488" s="43"/>
      <c r="Y488" s="43"/>
      <c r="Z488" s="43"/>
      <c r="AA488" s="43"/>
      <c r="AB488" s="123"/>
      <c r="AC488" s="43"/>
    </row>
    <row r="489">
      <c r="A489" s="270">
        <v>2020.0</v>
      </c>
      <c r="B489" s="271"/>
      <c r="C489" s="295">
        <v>45302.375962465274</v>
      </c>
      <c r="D489" s="296" t="s">
        <v>2328</v>
      </c>
      <c r="E489" s="296">
        <v>2.000016109E9</v>
      </c>
      <c r="F489" s="296" t="s">
        <v>2329</v>
      </c>
      <c r="G489" s="296" t="s">
        <v>2330</v>
      </c>
      <c r="H489" s="296" t="s">
        <v>2331</v>
      </c>
      <c r="I489" s="296" t="s">
        <v>399</v>
      </c>
      <c r="J489" s="296" t="s">
        <v>241</v>
      </c>
      <c r="K489" s="297"/>
      <c r="L489" s="296"/>
      <c r="N489" s="296"/>
      <c r="O489" s="277" t="s">
        <v>2011</v>
      </c>
      <c r="P489" s="290">
        <v>45310.0</v>
      </c>
      <c r="Q489" s="291" t="s">
        <v>2045</v>
      </c>
      <c r="R489" s="298" t="s">
        <v>2332</v>
      </c>
      <c r="S489" s="292" t="s">
        <v>2186</v>
      </c>
      <c r="T489" s="43"/>
      <c r="U489" s="43"/>
      <c r="V489" s="50" t="s">
        <v>316</v>
      </c>
      <c r="W489" s="43"/>
      <c r="X489" s="43"/>
      <c r="Y489" s="43"/>
      <c r="Z489" s="43"/>
      <c r="AA489" s="43"/>
      <c r="AB489" s="123"/>
      <c r="AC489" s="43"/>
    </row>
    <row r="490">
      <c r="A490" s="270">
        <v>2020.0</v>
      </c>
      <c r="B490" s="271"/>
      <c r="C490" s="284">
        <v>45302.77704065973</v>
      </c>
      <c r="D490" s="276" t="s">
        <v>2333</v>
      </c>
      <c r="E490" s="276">
        <v>2.000016131E9</v>
      </c>
      <c r="F490" s="276" t="s">
        <v>2334</v>
      </c>
      <c r="G490" s="276" t="s">
        <v>2335</v>
      </c>
      <c r="H490" s="276" t="s">
        <v>2336</v>
      </c>
      <c r="I490" s="276" t="s">
        <v>399</v>
      </c>
      <c r="J490" s="276" t="s">
        <v>183</v>
      </c>
      <c r="K490" s="276"/>
      <c r="L490" s="276"/>
      <c r="N490" s="276"/>
      <c r="O490" s="277" t="s">
        <v>123</v>
      </c>
      <c r="P490" s="290">
        <v>45310.0</v>
      </c>
      <c r="Q490" s="291" t="s">
        <v>2023</v>
      </c>
      <c r="R490" s="280" t="s">
        <v>2337</v>
      </c>
      <c r="S490" s="292" t="s">
        <v>2186</v>
      </c>
      <c r="T490" s="14"/>
      <c r="U490" s="14"/>
      <c r="V490" s="293" t="s">
        <v>316</v>
      </c>
      <c r="W490" s="14"/>
      <c r="X490" s="14"/>
      <c r="Y490" s="14"/>
      <c r="Z490" s="14"/>
      <c r="AA490" s="14"/>
      <c r="AB490" s="14"/>
      <c r="AC490" s="14"/>
    </row>
    <row r="491">
      <c r="A491" s="107">
        <v>2019.0</v>
      </c>
      <c r="B491" s="131"/>
      <c r="C491" s="249">
        <v>45304.24995811343</v>
      </c>
      <c r="D491" s="137" t="s">
        <v>2338</v>
      </c>
      <c r="E491" s="250">
        <v>1.900016029E9</v>
      </c>
      <c r="F491" s="137" t="s">
        <v>2339</v>
      </c>
      <c r="G491" s="137" t="s">
        <v>2340</v>
      </c>
      <c r="H491" s="130" t="s">
        <v>2341</v>
      </c>
      <c r="I491" s="137" t="s">
        <v>399</v>
      </c>
      <c r="J491" s="130" t="s">
        <v>39</v>
      </c>
      <c r="K491" s="141"/>
      <c r="L491" s="141"/>
      <c r="N491" s="141"/>
      <c r="O491" s="148" t="s">
        <v>703</v>
      </c>
      <c r="P491" s="300">
        <v>45308.0</v>
      </c>
      <c r="Q491" s="301" t="s">
        <v>1528</v>
      </c>
      <c r="R491" s="141" t="s">
        <v>2342</v>
      </c>
      <c r="S491" s="302" t="s">
        <v>2295</v>
      </c>
      <c r="T491" s="137"/>
      <c r="U491" s="137"/>
      <c r="V491" s="251" t="s">
        <v>316</v>
      </c>
      <c r="W491" s="137"/>
      <c r="X491" s="137"/>
      <c r="Y491" s="137"/>
      <c r="Z491" s="137"/>
      <c r="AA491" s="137"/>
      <c r="AB491" s="139"/>
      <c r="AC491" s="131"/>
    </row>
    <row r="492">
      <c r="A492" s="270">
        <v>2020.0</v>
      </c>
      <c r="B492" s="271"/>
      <c r="C492" s="284">
        <v>45305.89908181712</v>
      </c>
      <c r="D492" s="276" t="s">
        <v>2343</v>
      </c>
      <c r="E492" s="276">
        <v>2.000016015E9</v>
      </c>
      <c r="F492" s="276" t="s">
        <v>2344</v>
      </c>
      <c r="G492" s="276" t="s">
        <v>2345</v>
      </c>
      <c r="H492" s="276" t="s">
        <v>2346</v>
      </c>
      <c r="I492" s="276" t="s">
        <v>399</v>
      </c>
      <c r="J492" s="277" t="s">
        <v>39</v>
      </c>
      <c r="K492" s="276"/>
      <c r="L492" s="276"/>
      <c r="N492" s="276"/>
      <c r="O492" s="277" t="s">
        <v>72</v>
      </c>
      <c r="P492" s="296"/>
      <c r="Q492" s="296"/>
      <c r="R492" s="280" t="s">
        <v>2347</v>
      </c>
      <c r="S492" s="276"/>
      <c r="T492" s="276"/>
      <c r="U492" s="276"/>
      <c r="V492" s="285" t="s">
        <v>316</v>
      </c>
      <c r="W492" s="276"/>
      <c r="X492" s="276"/>
      <c r="Y492" s="276"/>
      <c r="Z492" s="276"/>
      <c r="AA492" s="276"/>
      <c r="AB492" s="276"/>
      <c r="AC492" s="271"/>
    </row>
    <row r="493">
      <c r="A493" s="107">
        <v>2019.0</v>
      </c>
      <c r="B493" s="131"/>
      <c r="C493" s="230">
        <v>45316.102495590276</v>
      </c>
      <c r="D493" s="139" t="s">
        <v>2348</v>
      </c>
      <c r="E493" s="139">
        <v>1.900016026E9</v>
      </c>
      <c r="F493" s="139" t="s">
        <v>2349</v>
      </c>
      <c r="G493" s="139" t="s">
        <v>2350</v>
      </c>
      <c r="H493" s="139" t="s">
        <v>2351</v>
      </c>
      <c r="I493" s="139" t="s">
        <v>399</v>
      </c>
      <c r="J493" s="139" t="s">
        <v>2352</v>
      </c>
      <c r="K493" s="139"/>
      <c r="L493" s="139"/>
      <c r="N493" s="139"/>
      <c r="O493" s="148" t="s">
        <v>703</v>
      </c>
      <c r="P493" s="243">
        <v>45321.0</v>
      </c>
      <c r="Q493" s="195" t="s">
        <v>1552</v>
      </c>
      <c r="R493" s="190" t="s">
        <v>2353</v>
      </c>
      <c r="S493" s="139"/>
      <c r="T493" s="139"/>
      <c r="U493" s="139"/>
      <c r="V493" s="242" t="s">
        <v>316</v>
      </c>
      <c r="W493" s="139"/>
      <c r="X493" s="139"/>
      <c r="Y493" s="139"/>
      <c r="Z493" s="139"/>
      <c r="AA493" s="139"/>
      <c r="AB493" s="139"/>
      <c r="AC493" s="131"/>
    </row>
    <row r="494">
      <c r="A494" s="107">
        <v>2019.0</v>
      </c>
      <c r="B494" s="131"/>
      <c r="C494" s="230">
        <v>45316.61939313658</v>
      </c>
      <c r="D494" s="139" t="s">
        <v>2354</v>
      </c>
      <c r="E494" s="139">
        <v>1.90001605E9</v>
      </c>
      <c r="F494" s="139" t="s">
        <v>2355</v>
      </c>
      <c r="G494" s="139" t="s">
        <v>2356</v>
      </c>
      <c r="H494" s="139" t="s">
        <v>2357</v>
      </c>
      <c r="I494" s="139" t="s">
        <v>399</v>
      </c>
      <c r="J494" s="139" t="s">
        <v>2352</v>
      </c>
      <c r="K494" s="139"/>
      <c r="L494" s="139"/>
      <c r="N494" s="139"/>
      <c r="O494" s="148" t="s">
        <v>703</v>
      </c>
      <c r="P494" s="243">
        <v>45321.0</v>
      </c>
      <c r="Q494" s="195" t="s">
        <v>1589</v>
      </c>
      <c r="R494" s="190" t="s">
        <v>2358</v>
      </c>
      <c r="S494" s="139"/>
      <c r="T494" s="139"/>
      <c r="U494" s="139"/>
      <c r="V494" s="242" t="s">
        <v>316</v>
      </c>
      <c r="W494" s="139"/>
      <c r="X494" s="139"/>
      <c r="Y494" s="139"/>
      <c r="Z494" s="139"/>
      <c r="AA494" s="139"/>
      <c r="AB494" s="139"/>
      <c r="AC494" s="131"/>
    </row>
    <row r="495">
      <c r="A495" s="148">
        <v>2019.0</v>
      </c>
      <c r="B495" s="139"/>
      <c r="C495" s="230">
        <v>45315.02759964121</v>
      </c>
      <c r="D495" s="139" t="s">
        <v>2359</v>
      </c>
      <c r="E495" s="139">
        <v>1.900016034E9</v>
      </c>
      <c r="F495" s="139" t="s">
        <v>2360</v>
      </c>
      <c r="G495" s="139" t="s">
        <v>2361</v>
      </c>
      <c r="H495" s="139" t="s">
        <v>2362</v>
      </c>
      <c r="I495" s="139" t="s">
        <v>399</v>
      </c>
      <c r="J495" s="148" t="s">
        <v>703</v>
      </c>
      <c r="K495" s="139"/>
      <c r="L495" s="139"/>
      <c r="N495" s="139"/>
      <c r="O495" s="148" t="s">
        <v>117</v>
      </c>
      <c r="P495" s="243">
        <v>45310.0</v>
      </c>
      <c r="Q495" s="195" t="s">
        <v>689</v>
      </c>
      <c r="R495" s="190" t="s">
        <v>2363</v>
      </c>
      <c r="S495" s="139"/>
      <c r="T495" s="139"/>
      <c r="U495" s="139"/>
      <c r="V495" s="242" t="s">
        <v>316</v>
      </c>
      <c r="W495" s="139"/>
      <c r="X495" s="139"/>
      <c r="Y495" s="139"/>
      <c r="Z495" s="139"/>
      <c r="AA495" s="139"/>
      <c r="AB495" s="139"/>
      <c r="AC495" s="139"/>
    </row>
    <row r="496">
      <c r="A496" s="107">
        <v>2019.0</v>
      </c>
      <c r="B496" s="131"/>
      <c r="C496" s="230">
        <v>45322.340917974536</v>
      </c>
      <c r="D496" s="139" t="s">
        <v>2364</v>
      </c>
      <c r="E496" s="139">
        <v>1.900016081E9</v>
      </c>
      <c r="F496" s="139" t="s">
        <v>2365</v>
      </c>
      <c r="G496" s="139" t="s">
        <v>2366</v>
      </c>
      <c r="H496" s="148" t="s">
        <v>2367</v>
      </c>
      <c r="I496" s="139" t="s">
        <v>399</v>
      </c>
      <c r="J496" s="148" t="s">
        <v>27</v>
      </c>
      <c r="K496" s="139"/>
      <c r="L496" s="139"/>
      <c r="N496" s="139"/>
      <c r="O496" s="148" t="s">
        <v>123</v>
      </c>
      <c r="P496" s="243">
        <v>45334.0</v>
      </c>
      <c r="Q496" s="195" t="s">
        <v>1552</v>
      </c>
      <c r="R496" s="190" t="s">
        <v>2368</v>
      </c>
      <c r="S496" s="139"/>
      <c r="T496" s="139"/>
      <c r="U496" s="139"/>
      <c r="V496" s="242" t="s">
        <v>316</v>
      </c>
      <c r="W496" s="139"/>
      <c r="X496" s="139"/>
      <c r="Y496" s="139"/>
      <c r="Z496" s="139"/>
      <c r="AA496" s="139"/>
      <c r="AB496" s="139"/>
      <c r="AC496" s="131"/>
    </row>
    <row r="497">
      <c r="A497" s="107">
        <v>2018.0</v>
      </c>
      <c r="B497" s="131"/>
      <c r="C497" s="232">
        <v>45344.05211290509</v>
      </c>
      <c r="D497" s="233" t="s">
        <v>2369</v>
      </c>
      <c r="E497" s="233">
        <v>1.800016088E9</v>
      </c>
      <c r="F497" s="233" t="s">
        <v>2370</v>
      </c>
      <c r="G497" s="233" t="s">
        <v>2371</v>
      </c>
      <c r="H497" s="233" t="s">
        <v>2372</v>
      </c>
      <c r="I497" s="233" t="s">
        <v>399</v>
      </c>
      <c r="J497" s="184" t="s">
        <v>703</v>
      </c>
      <c r="K497" s="194"/>
      <c r="L497" s="194"/>
      <c r="N497" s="194"/>
      <c r="O497" s="148" t="s">
        <v>1144</v>
      </c>
      <c r="P497" s="183">
        <v>45350.0</v>
      </c>
      <c r="Q497" s="195" t="s">
        <v>1552</v>
      </c>
      <c r="R497" s="303" t="s">
        <v>2373</v>
      </c>
      <c r="S497" s="233"/>
      <c r="T497" s="233"/>
      <c r="U497" s="233"/>
      <c r="V497" s="304" t="s">
        <v>316</v>
      </c>
      <c r="W497" s="233"/>
      <c r="X497" s="233"/>
      <c r="Y497" s="233"/>
      <c r="Z497" s="233"/>
      <c r="AA497" s="233"/>
      <c r="AB497" s="139"/>
      <c r="AC497" s="131"/>
    </row>
    <row r="498">
      <c r="A498" s="107">
        <v>2018.0</v>
      </c>
      <c r="B498" s="131"/>
      <c r="C498" s="249">
        <v>45354.76378428241</v>
      </c>
      <c r="D498" s="137" t="s">
        <v>2374</v>
      </c>
      <c r="E498" s="250">
        <v>1.800016154E9</v>
      </c>
      <c r="F498" s="137" t="s">
        <v>2375</v>
      </c>
      <c r="G498" s="137" t="s">
        <v>2376</v>
      </c>
      <c r="H498" s="137" t="s">
        <v>2377</v>
      </c>
      <c r="I498" s="137" t="s">
        <v>399</v>
      </c>
      <c r="J498" s="130" t="s">
        <v>39</v>
      </c>
      <c r="K498" s="141"/>
      <c r="L498" s="141"/>
      <c r="N498" s="141"/>
      <c r="O498" s="130" t="s">
        <v>40</v>
      </c>
      <c r="P498" s="305">
        <v>45364.0</v>
      </c>
      <c r="Q498" s="301" t="s">
        <v>1793</v>
      </c>
      <c r="R498" s="137"/>
      <c r="S498" s="137"/>
      <c r="T498" s="137"/>
      <c r="U498" s="137"/>
      <c r="V498" s="251" t="s">
        <v>316</v>
      </c>
      <c r="W498" s="137"/>
      <c r="X498" s="137"/>
      <c r="Y498" s="137"/>
      <c r="Z498" s="137"/>
      <c r="AA498" s="137"/>
      <c r="AB498" s="139"/>
      <c r="AC498" s="131"/>
    </row>
    <row r="499">
      <c r="A499" s="107">
        <v>2017.0</v>
      </c>
      <c r="B499" s="131"/>
      <c r="C499" s="217">
        <v>45385.85734350695</v>
      </c>
      <c r="D499" s="194" t="s">
        <v>1760</v>
      </c>
      <c r="E499" s="194">
        <v>1.700016037E9</v>
      </c>
      <c r="F499" s="194" t="s">
        <v>1761</v>
      </c>
      <c r="G499" s="194" t="s">
        <v>1762</v>
      </c>
      <c r="H499" s="194" t="s">
        <v>2378</v>
      </c>
      <c r="I499" s="194" t="s">
        <v>399</v>
      </c>
      <c r="J499" s="194" t="s">
        <v>2379</v>
      </c>
      <c r="K499" s="194"/>
      <c r="L499" s="194"/>
      <c r="N499" s="194"/>
      <c r="O499" s="195" t="s">
        <v>2380</v>
      </c>
      <c r="P499" s="243">
        <v>45400.0</v>
      </c>
      <c r="Q499" s="130" t="s">
        <v>1793</v>
      </c>
      <c r="R499" s="194"/>
      <c r="S499" s="194"/>
      <c r="T499" s="194"/>
      <c r="U499" s="194"/>
      <c r="V499" s="239" t="s">
        <v>316</v>
      </c>
      <c r="W499" s="194"/>
      <c r="X499" s="194"/>
      <c r="Y499" s="194"/>
      <c r="Z499" s="194"/>
      <c r="AA499" s="194"/>
      <c r="AB499" s="131"/>
      <c r="AC499" s="131"/>
    </row>
    <row r="500" ht="35.25" customHeight="1">
      <c r="A500" s="134">
        <v>2017.0</v>
      </c>
      <c r="B500" s="191"/>
      <c r="C500" s="192">
        <v>45387.93682633102</v>
      </c>
      <c r="D500" s="191" t="s">
        <v>2381</v>
      </c>
      <c r="E500" s="191">
        <v>1.700016054E9</v>
      </c>
      <c r="F500" s="191" t="s">
        <v>2382</v>
      </c>
      <c r="G500" s="191" t="s">
        <v>2383</v>
      </c>
      <c r="H500" s="191" t="s">
        <v>2384</v>
      </c>
      <c r="I500" s="191" t="s">
        <v>399</v>
      </c>
      <c r="J500" s="191" t="s">
        <v>2379</v>
      </c>
      <c r="K500" s="194"/>
      <c r="L500" s="194"/>
      <c r="N500" s="306"/>
      <c r="O500" s="307" t="s">
        <v>40</v>
      </c>
      <c r="P500" s="306"/>
      <c r="Q500" s="191"/>
      <c r="R500" s="191"/>
      <c r="S500" s="191"/>
      <c r="T500" s="191"/>
      <c r="U500" s="191"/>
      <c r="V500" s="198" t="s">
        <v>316</v>
      </c>
      <c r="W500" s="191"/>
      <c r="X500" s="191"/>
      <c r="Y500" s="191"/>
      <c r="Z500" s="191"/>
      <c r="AA500" s="191"/>
      <c r="AB500" s="191"/>
      <c r="AC500" s="191"/>
    </row>
    <row r="501">
      <c r="A501" s="107">
        <v>2018.0</v>
      </c>
      <c r="B501" s="131"/>
      <c r="C501" s="217">
        <v>45411.26454211806</v>
      </c>
      <c r="D501" s="194" t="s">
        <v>2385</v>
      </c>
      <c r="E501" s="194">
        <v>1.800016019E9</v>
      </c>
      <c r="F501" s="194" t="s">
        <v>2386</v>
      </c>
      <c r="G501" s="194" t="s">
        <v>2387</v>
      </c>
      <c r="H501" s="194" t="s">
        <v>2388</v>
      </c>
      <c r="I501" s="194" t="s">
        <v>399</v>
      </c>
      <c r="J501" s="194" t="s">
        <v>230</v>
      </c>
      <c r="K501" s="194"/>
      <c r="L501" s="194"/>
      <c r="N501" s="194"/>
      <c r="O501" s="148" t="s">
        <v>703</v>
      </c>
      <c r="P501" s="243">
        <v>45416.0</v>
      </c>
      <c r="Q501" s="195" t="s">
        <v>772</v>
      </c>
      <c r="R501" s="238" t="s">
        <v>2389</v>
      </c>
      <c r="S501" s="194"/>
      <c r="T501" s="194"/>
      <c r="U501" s="194"/>
      <c r="V501" s="239" t="s">
        <v>316</v>
      </c>
      <c r="W501" s="194"/>
      <c r="X501" s="194"/>
      <c r="Y501" s="194"/>
      <c r="Z501" s="194"/>
      <c r="AA501" s="194"/>
      <c r="AB501" s="139"/>
      <c r="AC501" s="131"/>
    </row>
    <row r="502">
      <c r="A502" s="107">
        <v>2018.0</v>
      </c>
      <c r="B502" s="131"/>
      <c r="C502" s="217">
        <v>45411.26523342592</v>
      </c>
      <c r="D502" s="194" t="s">
        <v>2390</v>
      </c>
      <c r="E502" s="194">
        <v>1.800016108E9</v>
      </c>
      <c r="F502" s="194" t="s">
        <v>2391</v>
      </c>
      <c r="G502" s="194" t="s">
        <v>2392</v>
      </c>
      <c r="H502" s="194" t="s">
        <v>2393</v>
      </c>
      <c r="I502" s="194" t="s">
        <v>399</v>
      </c>
      <c r="J502" s="194" t="s">
        <v>230</v>
      </c>
      <c r="K502" s="194"/>
      <c r="L502" s="194"/>
      <c r="N502" s="194"/>
      <c r="O502" s="148" t="s">
        <v>703</v>
      </c>
      <c r="P502" s="243">
        <v>45416.0</v>
      </c>
      <c r="Q502" s="195" t="s">
        <v>694</v>
      </c>
      <c r="R502" s="238" t="s">
        <v>2394</v>
      </c>
      <c r="S502" s="194"/>
      <c r="T502" s="194"/>
      <c r="U502" s="194"/>
      <c r="V502" s="239" t="s">
        <v>316</v>
      </c>
      <c r="W502" s="194"/>
      <c r="X502" s="194"/>
      <c r="Y502" s="194"/>
      <c r="Z502" s="194"/>
      <c r="AA502" s="194"/>
      <c r="AB502" s="139"/>
      <c r="AC502" s="131"/>
    </row>
    <row r="503">
      <c r="A503" s="107">
        <v>2018.0</v>
      </c>
      <c r="B503" s="131"/>
      <c r="C503" s="217">
        <v>45433.174182835646</v>
      </c>
      <c r="D503" s="194" t="s">
        <v>2395</v>
      </c>
      <c r="E503" s="194">
        <v>1.900016191E9</v>
      </c>
      <c r="F503" s="194" t="s">
        <v>2396</v>
      </c>
      <c r="G503" s="194" t="s">
        <v>2397</v>
      </c>
      <c r="H503" s="194" t="s">
        <v>2398</v>
      </c>
      <c r="I503" s="194" t="s">
        <v>399</v>
      </c>
      <c r="J503" s="194" t="s">
        <v>117</v>
      </c>
      <c r="K503" s="194"/>
      <c r="L503" s="194"/>
      <c r="N503" s="194"/>
      <c r="O503" s="148" t="s">
        <v>703</v>
      </c>
      <c r="P503" s="195" t="s">
        <v>2399</v>
      </c>
      <c r="Q503" s="195" t="s">
        <v>689</v>
      </c>
      <c r="R503" s="238" t="s">
        <v>2400</v>
      </c>
      <c r="S503" s="194"/>
      <c r="T503" s="194"/>
      <c r="U503" s="194"/>
      <c r="V503" s="239" t="s">
        <v>316</v>
      </c>
      <c r="W503" s="194"/>
      <c r="X503" s="194"/>
      <c r="Y503" s="194"/>
      <c r="Z503" s="194"/>
      <c r="AA503" s="194"/>
      <c r="AB503" s="139"/>
      <c r="AC503" s="131"/>
    </row>
    <row r="504">
      <c r="A504" s="107">
        <v>2019.0</v>
      </c>
      <c r="B504" s="131"/>
      <c r="C504" s="217">
        <v>45438.905780636574</v>
      </c>
      <c r="D504" s="194" t="s">
        <v>2401</v>
      </c>
      <c r="E504" s="194">
        <v>1.90001601E9</v>
      </c>
      <c r="F504" s="194" t="s">
        <v>2402</v>
      </c>
      <c r="G504" s="194" t="s">
        <v>2403</v>
      </c>
      <c r="H504" s="194" t="s">
        <v>2404</v>
      </c>
      <c r="I504" s="194" t="s">
        <v>399</v>
      </c>
      <c r="J504" s="195" t="s">
        <v>703</v>
      </c>
      <c r="K504" s="194"/>
      <c r="L504" s="194"/>
      <c r="N504" s="194"/>
      <c r="O504" s="148" t="s">
        <v>117</v>
      </c>
      <c r="P504" s="243">
        <v>45446.0</v>
      </c>
      <c r="Q504" s="195" t="s">
        <v>689</v>
      </c>
      <c r="R504" s="238" t="s">
        <v>2405</v>
      </c>
      <c r="S504" s="194"/>
      <c r="T504" s="194"/>
      <c r="U504" s="194"/>
      <c r="V504" s="239" t="s">
        <v>316</v>
      </c>
      <c r="W504" s="194"/>
      <c r="X504" s="194"/>
      <c r="Y504" s="194"/>
      <c r="Z504" s="194"/>
      <c r="AA504" s="194"/>
      <c r="AB504" s="139"/>
      <c r="AC504" s="131"/>
    </row>
    <row r="505">
      <c r="A505" s="107">
        <v>2018.0</v>
      </c>
      <c r="B505" s="131"/>
      <c r="C505" s="230">
        <v>45441.3914300926</v>
      </c>
      <c r="D505" s="139" t="s">
        <v>2406</v>
      </c>
      <c r="E505" s="139">
        <v>1.800016087E9</v>
      </c>
      <c r="F505" s="139" t="s">
        <v>2407</v>
      </c>
      <c r="G505" s="139" t="s">
        <v>2408</v>
      </c>
      <c r="H505" s="139" t="s">
        <v>2409</v>
      </c>
      <c r="I505" s="139" t="s">
        <v>399</v>
      </c>
      <c r="J505" s="139" t="s">
        <v>241</v>
      </c>
      <c r="K505" s="139"/>
      <c r="L505" s="139"/>
      <c r="N505" s="139"/>
      <c r="O505" s="148" t="s">
        <v>1910</v>
      </c>
      <c r="P505" s="243">
        <v>45449.0</v>
      </c>
      <c r="Q505" s="195" t="s">
        <v>1121</v>
      </c>
      <c r="R505" s="190" t="s">
        <v>2410</v>
      </c>
      <c r="S505" s="139"/>
      <c r="T505" s="139"/>
      <c r="U505" s="139"/>
      <c r="V505" s="242" t="s">
        <v>316</v>
      </c>
      <c r="W505" s="139"/>
      <c r="X505" s="139"/>
      <c r="Y505" s="139"/>
      <c r="Z505" s="139"/>
      <c r="AA505" s="139"/>
      <c r="AB505" s="139"/>
      <c r="AC505" s="131"/>
    </row>
    <row r="506">
      <c r="A506" s="134">
        <v>2018.0</v>
      </c>
      <c r="B506" s="131"/>
      <c r="C506" s="217">
        <v>45446.81788568287</v>
      </c>
      <c r="D506" s="194" t="s">
        <v>1658</v>
      </c>
      <c r="E506" s="194">
        <v>1.800016041E9</v>
      </c>
      <c r="F506" s="194" t="s">
        <v>1659</v>
      </c>
      <c r="G506" s="194" t="s">
        <v>1660</v>
      </c>
      <c r="H506" s="195" t="s">
        <v>1661</v>
      </c>
      <c r="I506" s="194" t="s">
        <v>399</v>
      </c>
      <c r="J506" s="194" t="s">
        <v>241</v>
      </c>
      <c r="K506" s="194"/>
      <c r="L506" s="194"/>
      <c r="N506" s="194"/>
      <c r="O506" s="195" t="s">
        <v>352</v>
      </c>
      <c r="P506" s="243">
        <v>45453.0</v>
      </c>
      <c r="Q506" s="195" t="s">
        <v>1121</v>
      </c>
      <c r="R506" s="194"/>
      <c r="S506" s="194"/>
      <c r="T506" s="194"/>
      <c r="U506" s="194"/>
      <c r="V506" s="239" t="s">
        <v>316</v>
      </c>
      <c r="W506" s="194"/>
      <c r="X506" s="194"/>
      <c r="Y506" s="194"/>
      <c r="Z506" s="194"/>
      <c r="AA506" s="194"/>
      <c r="AB506" s="139"/>
      <c r="AC506" s="131"/>
    </row>
    <row r="507">
      <c r="A507" s="158">
        <v>2019.0</v>
      </c>
      <c r="B507" s="159"/>
      <c r="C507" s="308">
        <v>45453.442304467586</v>
      </c>
      <c r="D507" s="159" t="s">
        <v>2411</v>
      </c>
      <c r="E507" s="309">
        <v>1.900016005E9</v>
      </c>
      <c r="F507" s="159" t="s">
        <v>2412</v>
      </c>
      <c r="G507" s="159" t="s">
        <v>2413</v>
      </c>
      <c r="H507" s="159" t="s">
        <v>2414</v>
      </c>
      <c r="I507" s="159" t="s">
        <v>399</v>
      </c>
      <c r="J507" s="159" t="s">
        <v>230</v>
      </c>
      <c r="K507" s="171"/>
      <c r="L507" s="167"/>
      <c r="M507" s="159"/>
      <c r="N507" s="159"/>
      <c r="O507" s="310" t="s">
        <v>1910</v>
      </c>
      <c r="P507" s="311">
        <v>45463.0</v>
      </c>
      <c r="Q507" s="312" t="s">
        <v>2415</v>
      </c>
      <c r="R507" s="313" t="s">
        <v>2416</v>
      </c>
      <c r="S507" s="159"/>
      <c r="T507" s="159"/>
      <c r="U507" s="159"/>
      <c r="V507" s="314" t="s">
        <v>316</v>
      </c>
      <c r="W507" s="159"/>
      <c r="X507" s="159"/>
      <c r="Y507" s="159"/>
      <c r="Z507" s="159"/>
      <c r="AA507" s="159"/>
      <c r="AB507" s="171"/>
      <c r="AC507" s="159"/>
    </row>
    <row r="508">
      <c r="A508" s="134">
        <v>2017.0</v>
      </c>
      <c r="B508" s="191"/>
      <c r="C508" s="192">
        <v>45458.56037482639</v>
      </c>
      <c r="D508" s="191" t="s">
        <v>2417</v>
      </c>
      <c r="E508" s="193">
        <v>1.70001612E9</v>
      </c>
      <c r="F508" s="191" t="s">
        <v>2418</v>
      </c>
      <c r="G508" s="191" t="s">
        <v>2419</v>
      </c>
      <c r="H508" s="191" t="s">
        <v>2420</v>
      </c>
      <c r="I508" s="191" t="s">
        <v>399</v>
      </c>
      <c r="J508" s="191" t="s">
        <v>747</v>
      </c>
      <c r="K508" s="194"/>
      <c r="L508" s="194"/>
      <c r="M508" s="191"/>
      <c r="N508" s="191"/>
      <c r="O508" s="191" t="s">
        <v>230</v>
      </c>
      <c r="P508" s="140">
        <v>45462.0</v>
      </c>
      <c r="Q508" s="191"/>
      <c r="R508" s="194"/>
      <c r="S508" s="191"/>
      <c r="T508" s="191"/>
      <c r="U508" s="191"/>
      <c r="V508" s="198" t="s">
        <v>316</v>
      </c>
      <c r="W508" s="191"/>
      <c r="X508" s="191"/>
      <c r="Y508" s="191"/>
      <c r="Z508" s="191"/>
      <c r="AA508" s="191"/>
      <c r="AB508" s="191"/>
      <c r="AC508" s="191"/>
    </row>
    <row r="509">
      <c r="A509" s="107">
        <v>2020.0</v>
      </c>
      <c r="B509" s="131"/>
      <c r="C509" s="192">
        <v>45462.86678251158</v>
      </c>
      <c r="D509" s="191" t="s">
        <v>2421</v>
      </c>
      <c r="E509" s="193">
        <v>2.000016053E9</v>
      </c>
      <c r="F509" s="191" t="s">
        <v>2422</v>
      </c>
      <c r="G509" s="191" t="s">
        <v>2423</v>
      </c>
      <c r="H509" s="191" t="s">
        <v>2424</v>
      </c>
      <c r="I509" s="191" t="s">
        <v>399</v>
      </c>
      <c r="J509" s="191" t="s">
        <v>230</v>
      </c>
      <c r="K509" s="191"/>
      <c r="L509" s="194"/>
      <c r="M509" s="131"/>
      <c r="N509" s="131"/>
      <c r="O509" s="194" t="s">
        <v>241</v>
      </c>
      <c r="P509" s="140">
        <v>45468.0</v>
      </c>
      <c r="Q509" s="134" t="s">
        <v>1121</v>
      </c>
      <c r="R509" s="139"/>
      <c r="S509" s="131"/>
      <c r="T509" s="131"/>
      <c r="U509" s="131"/>
      <c r="V509" s="138" t="s">
        <v>316</v>
      </c>
      <c r="W509" s="131"/>
      <c r="X509" s="131"/>
      <c r="Y509" s="131"/>
      <c r="Z509" s="131"/>
      <c r="AA509" s="131"/>
      <c r="AB509" s="139"/>
      <c r="AC509" s="131"/>
    </row>
    <row r="510">
      <c r="A510" s="134">
        <v>2020.0</v>
      </c>
      <c r="B510" s="131"/>
      <c r="C510" s="192">
        <v>45462.867212731486</v>
      </c>
      <c r="D510" s="191" t="s">
        <v>2425</v>
      </c>
      <c r="E510" s="193">
        <v>2.0000161E9</v>
      </c>
      <c r="F510" s="191" t="s">
        <v>2426</v>
      </c>
      <c r="G510" s="191" t="s">
        <v>2427</v>
      </c>
      <c r="H510" s="191" t="s">
        <v>2428</v>
      </c>
      <c r="I510" s="191" t="s">
        <v>399</v>
      </c>
      <c r="J510" s="191" t="s">
        <v>230</v>
      </c>
      <c r="K510" s="191"/>
      <c r="L510" s="194"/>
      <c r="M510" s="131"/>
      <c r="N510" s="131"/>
      <c r="O510" s="148" t="s">
        <v>703</v>
      </c>
      <c r="P510" s="140">
        <v>45468.0</v>
      </c>
      <c r="Q510" s="134" t="s">
        <v>698</v>
      </c>
      <c r="R510" s="139"/>
      <c r="S510" s="131"/>
      <c r="T510" s="131"/>
      <c r="U510" s="131"/>
      <c r="V510" s="138" t="s">
        <v>316</v>
      </c>
      <c r="W510" s="131"/>
      <c r="X510" s="131"/>
      <c r="Y510" s="131"/>
      <c r="Z510" s="131"/>
      <c r="AA510" s="131"/>
      <c r="AB510" s="139"/>
      <c r="AC510" s="131"/>
    </row>
    <row r="511">
      <c r="A511" s="107">
        <v>2017.0</v>
      </c>
      <c r="B511" s="131"/>
      <c r="C511" s="214">
        <v>45463.39507530093</v>
      </c>
      <c r="D511" s="131" t="s">
        <v>2429</v>
      </c>
      <c r="E511" s="315">
        <v>1.700016083E9</v>
      </c>
      <c r="F511" s="131" t="s">
        <v>2430</v>
      </c>
      <c r="G511" s="131" t="s">
        <v>2431</v>
      </c>
      <c r="H511" s="131" t="s">
        <v>2432</v>
      </c>
      <c r="I511" s="131" t="s">
        <v>399</v>
      </c>
      <c r="J511" s="107" t="s">
        <v>27</v>
      </c>
      <c r="K511" s="139"/>
      <c r="L511" s="139"/>
      <c r="M511" s="131"/>
      <c r="N511" s="131"/>
      <c r="O511" s="191" t="s">
        <v>230</v>
      </c>
      <c r="P511" s="131"/>
      <c r="Q511" s="131"/>
      <c r="R511" s="139"/>
      <c r="S511" s="131"/>
      <c r="T511" s="131"/>
      <c r="U511" s="131"/>
      <c r="V511" s="138" t="s">
        <v>316</v>
      </c>
      <c r="W511" s="131"/>
      <c r="X511" s="131"/>
      <c r="Y511" s="131"/>
      <c r="Z511" s="131"/>
      <c r="AA511" s="131"/>
      <c r="AB511" s="131"/>
      <c r="AC511" s="131"/>
    </row>
    <row r="512">
      <c r="A512" s="107">
        <v>2018.0</v>
      </c>
      <c r="B512" s="131"/>
      <c r="C512" s="214">
        <v>45474.45595983797</v>
      </c>
      <c r="D512" s="131" t="s">
        <v>2433</v>
      </c>
      <c r="E512" s="315">
        <v>1.800016077E9</v>
      </c>
      <c r="F512" s="131" t="s">
        <v>2434</v>
      </c>
      <c r="G512" s="131" t="s">
        <v>2435</v>
      </c>
      <c r="H512" s="131" t="s">
        <v>2436</v>
      </c>
      <c r="I512" s="131" t="s">
        <v>399</v>
      </c>
      <c r="J512" s="107" t="s">
        <v>703</v>
      </c>
      <c r="K512" s="139"/>
      <c r="L512" s="139"/>
      <c r="M512" s="131"/>
      <c r="N512" s="131"/>
      <c r="O512" s="316" t="s">
        <v>117</v>
      </c>
      <c r="P512" s="140">
        <v>45478.0</v>
      </c>
      <c r="Q512" s="134" t="s">
        <v>698</v>
      </c>
      <c r="R512" s="139"/>
      <c r="S512" s="131"/>
      <c r="T512" s="131"/>
      <c r="U512" s="131"/>
      <c r="V512" s="138" t="s">
        <v>316</v>
      </c>
      <c r="W512" s="131"/>
      <c r="X512" s="131"/>
      <c r="Y512" s="131"/>
      <c r="Z512" s="131"/>
      <c r="AA512" s="131"/>
      <c r="AB512" s="139"/>
      <c r="AC512" s="131"/>
    </row>
    <row r="513">
      <c r="A513" s="107">
        <v>2019.0</v>
      </c>
      <c r="B513" s="131"/>
      <c r="C513" s="214">
        <v>45481.63709511574</v>
      </c>
      <c r="D513" s="131" t="s">
        <v>2437</v>
      </c>
      <c r="E513" s="315">
        <v>1.900016123E9</v>
      </c>
      <c r="F513" s="131" t="s">
        <v>2438</v>
      </c>
      <c r="G513" s="131" t="s">
        <v>2439</v>
      </c>
      <c r="H513" s="131" t="s">
        <v>2440</v>
      </c>
      <c r="I513" s="131" t="s">
        <v>399</v>
      </c>
      <c r="J513" s="131" t="s">
        <v>747</v>
      </c>
      <c r="K513" s="139"/>
      <c r="L513" s="139"/>
      <c r="M513" s="131"/>
      <c r="N513" s="131"/>
      <c r="O513" s="148" t="s">
        <v>1910</v>
      </c>
      <c r="P513" s="140">
        <v>45484.0</v>
      </c>
      <c r="Q513" s="191"/>
      <c r="R513" s="139"/>
      <c r="S513" s="131"/>
      <c r="T513" s="131"/>
      <c r="U513" s="131"/>
      <c r="V513" s="138" t="s">
        <v>316</v>
      </c>
      <c r="W513" s="131"/>
      <c r="X513" s="131"/>
      <c r="Y513" s="131"/>
      <c r="Z513" s="131"/>
      <c r="AA513" s="131"/>
      <c r="AB513" s="139"/>
      <c r="AC513" s="131"/>
    </row>
    <row r="514">
      <c r="A514" s="107">
        <v>2019.0</v>
      </c>
      <c r="B514" s="131"/>
      <c r="C514" s="214">
        <v>45485.60196320602</v>
      </c>
      <c r="D514" s="131" t="s">
        <v>2441</v>
      </c>
      <c r="E514" s="315">
        <v>1.90001619E9</v>
      </c>
      <c r="F514" s="131" t="s">
        <v>2442</v>
      </c>
      <c r="G514" s="131" t="s">
        <v>2443</v>
      </c>
      <c r="H514" s="131" t="s">
        <v>2444</v>
      </c>
      <c r="I514" s="131" t="s">
        <v>399</v>
      </c>
      <c r="J514" s="131" t="s">
        <v>183</v>
      </c>
      <c r="K514" s="139"/>
      <c r="L514" s="139"/>
      <c r="M514" s="131"/>
      <c r="N514" s="131"/>
      <c r="O514" s="133" t="s">
        <v>1144</v>
      </c>
      <c r="P514" s="140">
        <v>45490.0</v>
      </c>
      <c r="Q514" s="134" t="s">
        <v>689</v>
      </c>
      <c r="R514" s="139"/>
      <c r="S514" s="131"/>
      <c r="T514" s="131"/>
      <c r="U514" s="131"/>
      <c r="V514" s="138" t="s">
        <v>316</v>
      </c>
      <c r="W514" s="131"/>
      <c r="X514" s="131"/>
      <c r="Y514" s="131"/>
      <c r="Z514" s="131"/>
      <c r="AA514" s="131"/>
      <c r="AB514" s="139"/>
      <c r="AC514" s="131"/>
    </row>
    <row r="515">
      <c r="A515" s="107">
        <v>2019.0</v>
      </c>
      <c r="B515" s="131"/>
      <c r="C515" s="214">
        <v>45486.79846251157</v>
      </c>
      <c r="D515" s="131" t="s">
        <v>2445</v>
      </c>
      <c r="E515" s="315">
        <v>1.900016129E9</v>
      </c>
      <c r="F515" s="131" t="s">
        <v>2446</v>
      </c>
      <c r="G515" s="131" t="s">
        <v>2447</v>
      </c>
      <c r="H515" s="131" t="s">
        <v>2448</v>
      </c>
      <c r="I515" s="131" t="s">
        <v>399</v>
      </c>
      <c r="J515" s="107" t="s">
        <v>27</v>
      </c>
      <c r="K515" s="139"/>
      <c r="L515" s="139"/>
      <c r="M515" s="131"/>
      <c r="N515" s="131"/>
      <c r="O515" s="148" t="s">
        <v>123</v>
      </c>
      <c r="P515" s="140">
        <v>45492.0</v>
      </c>
      <c r="Q515" s="134" t="s">
        <v>2449</v>
      </c>
      <c r="R515" s="131"/>
      <c r="S515" s="131"/>
      <c r="T515" s="131"/>
      <c r="U515" s="131"/>
      <c r="V515" s="138" t="s">
        <v>316</v>
      </c>
      <c r="W515" s="131"/>
      <c r="X515" s="131"/>
      <c r="Y515" s="131"/>
      <c r="Z515" s="131"/>
      <c r="AA515" s="131"/>
      <c r="AB515" s="139"/>
      <c r="AC515" s="131"/>
    </row>
    <row r="516">
      <c r="A516" s="107">
        <v>2019.0</v>
      </c>
      <c r="B516" s="131"/>
      <c r="C516" s="214">
        <v>45487.39148202546</v>
      </c>
      <c r="D516" s="131" t="s">
        <v>2450</v>
      </c>
      <c r="E516" s="315">
        <v>1.900016094E9</v>
      </c>
      <c r="F516" s="131" t="s">
        <v>2451</v>
      </c>
      <c r="G516" s="131" t="s">
        <v>2452</v>
      </c>
      <c r="H516" s="131" t="s">
        <v>2453</v>
      </c>
      <c r="I516" s="131" t="s">
        <v>399</v>
      </c>
      <c r="J516" s="131" t="s">
        <v>2352</v>
      </c>
      <c r="K516" s="139"/>
      <c r="L516" s="139"/>
      <c r="M516" s="131"/>
      <c r="N516" s="131"/>
      <c r="O516" s="148" t="s">
        <v>28</v>
      </c>
      <c r="P516" s="140">
        <v>45491.0</v>
      </c>
      <c r="Q516" s="134" t="s">
        <v>1341</v>
      </c>
      <c r="R516" s="131"/>
      <c r="S516" s="131"/>
      <c r="T516" s="131"/>
      <c r="U516" s="131"/>
      <c r="V516" s="138" t="s">
        <v>316</v>
      </c>
      <c r="W516" s="131"/>
      <c r="X516" s="131"/>
      <c r="Y516" s="131"/>
      <c r="Z516" s="131"/>
      <c r="AA516" s="131"/>
      <c r="AB516" s="139"/>
      <c r="AC516" s="131"/>
    </row>
    <row r="517">
      <c r="A517" s="107">
        <v>2019.0</v>
      </c>
      <c r="B517" s="131"/>
      <c r="C517" s="214">
        <v>45488.477905949076</v>
      </c>
      <c r="D517" s="131" t="s">
        <v>2454</v>
      </c>
      <c r="E517" s="315">
        <v>1.900016058E9</v>
      </c>
      <c r="F517" s="131" t="s">
        <v>2455</v>
      </c>
      <c r="G517" s="131" t="s">
        <v>2456</v>
      </c>
      <c r="H517" s="131" t="s">
        <v>2457</v>
      </c>
      <c r="I517" s="131" t="s">
        <v>399</v>
      </c>
      <c r="J517" s="131" t="s">
        <v>117</v>
      </c>
      <c r="K517" s="139"/>
      <c r="L517" s="139"/>
      <c r="M517" s="131"/>
      <c r="N517" s="131"/>
      <c r="O517" s="148" t="s">
        <v>28</v>
      </c>
      <c r="P517" s="140">
        <v>45491.0</v>
      </c>
      <c r="Q517" s="134" t="s">
        <v>698</v>
      </c>
      <c r="R517" s="131"/>
      <c r="S517" s="131"/>
      <c r="T517" s="131"/>
      <c r="U517" s="131"/>
      <c r="V517" s="138" t="s">
        <v>316</v>
      </c>
      <c r="W517" s="131"/>
      <c r="X517" s="131"/>
      <c r="Y517" s="131"/>
      <c r="Z517" s="131"/>
      <c r="AA517" s="131"/>
      <c r="AB517" s="139"/>
      <c r="AC517" s="131"/>
    </row>
    <row r="518">
      <c r="A518" s="107">
        <v>2019.0</v>
      </c>
      <c r="B518" s="131"/>
      <c r="C518" s="214">
        <v>45488.822225324075</v>
      </c>
      <c r="D518" s="131" t="s">
        <v>2458</v>
      </c>
      <c r="E518" s="315">
        <v>1.900016014E9</v>
      </c>
      <c r="F518" s="131" t="s">
        <v>2459</v>
      </c>
      <c r="G518" s="131" t="s">
        <v>2460</v>
      </c>
      <c r="H518" s="131" t="s">
        <v>2461</v>
      </c>
      <c r="I518" s="131" t="s">
        <v>399</v>
      </c>
      <c r="J518" s="131" t="s">
        <v>39</v>
      </c>
      <c r="K518" s="139"/>
      <c r="L518" s="139"/>
      <c r="M518" s="131"/>
      <c r="N518" s="131"/>
      <c r="O518" s="133" t="s">
        <v>703</v>
      </c>
      <c r="P518" s="140">
        <v>45491.0</v>
      </c>
      <c r="Q518" s="134" t="s">
        <v>767</v>
      </c>
      <c r="R518" s="139"/>
      <c r="S518" s="131"/>
      <c r="T518" s="131"/>
      <c r="U518" s="131"/>
      <c r="V518" s="138" t="s">
        <v>316</v>
      </c>
      <c r="W518" s="131"/>
      <c r="X518" s="131"/>
      <c r="Y518" s="131"/>
      <c r="Z518" s="131"/>
      <c r="AA518" s="131"/>
      <c r="AB518" s="139"/>
      <c r="AC518" s="131"/>
    </row>
    <row r="519">
      <c r="A519" s="107">
        <v>2020.0</v>
      </c>
      <c r="B519" s="131"/>
      <c r="C519" s="214">
        <v>45495.69642140046</v>
      </c>
      <c r="D519" s="131" t="s">
        <v>2462</v>
      </c>
      <c r="E519" s="315">
        <v>2.000016107E9</v>
      </c>
      <c r="F519" s="131" t="s">
        <v>2463</v>
      </c>
      <c r="G519" s="131" t="s">
        <v>2464</v>
      </c>
      <c r="H519" s="131" t="s">
        <v>2465</v>
      </c>
      <c r="I519" s="131" t="s">
        <v>399</v>
      </c>
      <c r="J519" s="131" t="s">
        <v>230</v>
      </c>
      <c r="K519" s="139"/>
      <c r="L519" s="139"/>
      <c r="M519" s="131"/>
      <c r="N519" s="131"/>
      <c r="O519" s="148" t="s">
        <v>703</v>
      </c>
      <c r="P519" s="140">
        <v>45499.0</v>
      </c>
      <c r="Q519" s="134" t="s">
        <v>772</v>
      </c>
      <c r="R519" s="131"/>
      <c r="S519" s="131"/>
      <c r="T519" s="131"/>
      <c r="U519" s="131"/>
      <c r="V519" s="138" t="s">
        <v>316</v>
      </c>
      <c r="W519" s="131"/>
      <c r="X519" s="131"/>
      <c r="Y519" s="131"/>
      <c r="Z519" s="131"/>
      <c r="AA519" s="131"/>
      <c r="AB519" s="139"/>
      <c r="AC519" s="131"/>
    </row>
    <row r="520">
      <c r="A520" s="107">
        <v>2019.0</v>
      </c>
      <c r="B520" s="131"/>
      <c r="C520" s="214">
        <v>45499.30753356482</v>
      </c>
      <c r="D520" s="131" t="s">
        <v>2466</v>
      </c>
      <c r="E520" s="317">
        <v>1.900016139E9</v>
      </c>
      <c r="F520" s="131" t="s">
        <v>2467</v>
      </c>
      <c r="G520" s="131" t="s">
        <v>2468</v>
      </c>
      <c r="H520" s="131" t="s">
        <v>2469</v>
      </c>
      <c r="I520" s="131" t="s">
        <v>399</v>
      </c>
      <c r="J520" s="131" t="s">
        <v>117</v>
      </c>
      <c r="K520" s="139"/>
      <c r="L520" s="139"/>
      <c r="M520" s="131"/>
      <c r="N520" s="131"/>
      <c r="O520" s="133" t="s">
        <v>1910</v>
      </c>
      <c r="P520" s="140">
        <v>45502.0</v>
      </c>
      <c r="Q520" s="318" t="s">
        <v>2470</v>
      </c>
      <c r="R520" s="139"/>
      <c r="S520" s="131"/>
      <c r="T520" s="131"/>
      <c r="U520" s="131"/>
      <c r="V520" s="138" t="s">
        <v>316</v>
      </c>
      <c r="W520" s="131"/>
      <c r="X520" s="131"/>
      <c r="Y520" s="131"/>
      <c r="Z520" s="131"/>
      <c r="AA520" s="131"/>
      <c r="AB520" s="139"/>
      <c r="AC520" s="131"/>
    </row>
    <row r="521">
      <c r="A521" s="134">
        <v>2020.0</v>
      </c>
      <c r="B521" s="191"/>
      <c r="C521" s="192">
        <v>45505.33908097222</v>
      </c>
      <c r="D521" s="191" t="s">
        <v>2333</v>
      </c>
      <c r="E521" s="193">
        <v>2.000016131E9</v>
      </c>
      <c r="F521" s="191" t="s">
        <v>2334</v>
      </c>
      <c r="G521" s="191" t="s">
        <v>2335</v>
      </c>
      <c r="H521" s="134" t="s">
        <v>2471</v>
      </c>
      <c r="I521" s="191" t="s">
        <v>399</v>
      </c>
      <c r="J521" s="191" t="s">
        <v>183</v>
      </c>
      <c r="K521" s="194"/>
      <c r="L521" s="194"/>
      <c r="M521" s="191"/>
      <c r="N521" s="191"/>
      <c r="O521" s="148" t="s">
        <v>123</v>
      </c>
      <c r="P521" s="140">
        <v>45511.0</v>
      </c>
      <c r="Q521" s="134" t="s">
        <v>680</v>
      </c>
      <c r="R521" s="194"/>
      <c r="S521" s="191"/>
      <c r="T521" s="191"/>
      <c r="U521" s="191"/>
      <c r="V521" s="198" t="s">
        <v>316</v>
      </c>
      <c r="W521" s="191"/>
      <c r="X521" s="191"/>
      <c r="Y521" s="191"/>
      <c r="Z521" s="191"/>
      <c r="AA521" s="191"/>
      <c r="AB521" s="194"/>
      <c r="AC521" s="191"/>
    </row>
    <row r="522">
      <c r="A522" s="134">
        <v>2019.0</v>
      </c>
      <c r="B522" s="191"/>
      <c r="C522" s="192">
        <v>45509.281396840284</v>
      </c>
      <c r="D522" s="191" t="s">
        <v>2472</v>
      </c>
      <c r="E522" s="193">
        <v>1.900016164E9</v>
      </c>
      <c r="F522" s="191" t="s">
        <v>2473</v>
      </c>
      <c r="G522" s="191" t="s">
        <v>2474</v>
      </c>
      <c r="H522" s="191" t="s">
        <v>2475</v>
      </c>
      <c r="I522" s="191" t="s">
        <v>399</v>
      </c>
      <c r="J522" s="191" t="s">
        <v>117</v>
      </c>
      <c r="K522" s="194"/>
      <c r="L522" s="194"/>
      <c r="M522" s="191"/>
      <c r="N522" s="191"/>
      <c r="O522" s="195" t="s">
        <v>1910</v>
      </c>
      <c r="P522" s="140">
        <v>45511.0</v>
      </c>
      <c r="Q522" s="134" t="s">
        <v>689</v>
      </c>
      <c r="R522" s="194"/>
      <c r="S522" s="191"/>
      <c r="T522" s="191"/>
      <c r="U522" s="191"/>
      <c r="V522" s="198" t="s">
        <v>316</v>
      </c>
      <c r="W522" s="191"/>
      <c r="X522" s="191"/>
      <c r="Y522" s="191"/>
      <c r="Z522" s="191"/>
      <c r="AA522" s="191"/>
      <c r="AB522" s="194"/>
      <c r="AC522" s="191"/>
    </row>
    <row r="523">
      <c r="A523" s="122">
        <v>2020.0</v>
      </c>
      <c r="B523" s="129"/>
      <c r="C523" s="319">
        <v>45518.997318263886</v>
      </c>
      <c r="D523" s="129" t="s">
        <v>2476</v>
      </c>
      <c r="E523" s="320">
        <v>2.000016142E9</v>
      </c>
      <c r="F523" s="129" t="s">
        <v>2477</v>
      </c>
      <c r="G523" s="129" t="s">
        <v>2478</v>
      </c>
      <c r="H523" s="129" t="s">
        <v>2479</v>
      </c>
      <c r="I523" s="129" t="s">
        <v>399</v>
      </c>
      <c r="J523" s="122" t="s">
        <v>703</v>
      </c>
      <c r="K523" s="321"/>
      <c r="L523" s="321"/>
      <c r="M523" s="129"/>
      <c r="N523" s="322"/>
      <c r="O523" s="301" t="s">
        <v>97</v>
      </c>
      <c r="P523" s="127">
        <v>45523.0</v>
      </c>
      <c r="Q523" s="122" t="s">
        <v>1636</v>
      </c>
      <c r="R523" s="129"/>
      <c r="S523" s="129"/>
      <c r="T523" s="129"/>
      <c r="U523" s="129"/>
      <c r="V523" s="323" t="s">
        <v>316</v>
      </c>
      <c r="W523" s="129"/>
      <c r="X523" s="129"/>
      <c r="Y523" s="129"/>
      <c r="Z523" s="129"/>
      <c r="AA523" s="129"/>
      <c r="AB523" s="324"/>
      <c r="AC523" s="129"/>
    </row>
    <row r="524">
      <c r="A524" s="134">
        <v>2019.0</v>
      </c>
      <c r="B524" s="191"/>
      <c r="C524" s="192">
        <v>45531.56891444445</v>
      </c>
      <c r="D524" s="191" t="s">
        <v>2480</v>
      </c>
      <c r="E524" s="193">
        <v>1.900016085E9</v>
      </c>
      <c r="F524" s="191" t="s">
        <v>2481</v>
      </c>
      <c r="G524" s="191" t="s">
        <v>2482</v>
      </c>
      <c r="H524" s="191" t="s">
        <v>2483</v>
      </c>
      <c r="I524" s="191" t="s">
        <v>399</v>
      </c>
      <c r="J524" s="191" t="s">
        <v>117</v>
      </c>
      <c r="K524" s="194"/>
      <c r="L524" s="194"/>
      <c r="M524" s="191"/>
      <c r="N524" s="191"/>
      <c r="O524" s="195" t="s">
        <v>123</v>
      </c>
      <c r="P524" s="196">
        <v>45537.0</v>
      </c>
      <c r="Q524" s="134" t="s">
        <v>772</v>
      </c>
      <c r="R524" s="194"/>
      <c r="S524" s="191"/>
      <c r="T524" s="191"/>
      <c r="U524" s="191"/>
      <c r="V524" s="198" t="s">
        <v>316</v>
      </c>
      <c r="W524" s="191"/>
      <c r="X524" s="191"/>
      <c r="Y524" s="191"/>
      <c r="Z524" s="191"/>
      <c r="AA524" s="191"/>
      <c r="AB524" s="194"/>
      <c r="AC524" s="191"/>
    </row>
    <row r="525">
      <c r="A525" s="134">
        <v>2019.0</v>
      </c>
      <c r="B525" s="131"/>
      <c r="C525" s="214">
        <v>45534.60063247685</v>
      </c>
      <c r="D525" s="131" t="s">
        <v>2484</v>
      </c>
      <c r="E525" s="315">
        <v>1.900016103E9</v>
      </c>
      <c r="F525" s="131" t="s">
        <v>2485</v>
      </c>
      <c r="G525" s="131" t="s">
        <v>2486</v>
      </c>
      <c r="H525" s="131" t="s">
        <v>2487</v>
      </c>
      <c r="I525" s="131" t="s">
        <v>399</v>
      </c>
      <c r="J525" s="131" t="s">
        <v>183</v>
      </c>
      <c r="K525" s="139"/>
      <c r="L525" s="139"/>
      <c r="M525" s="131"/>
      <c r="N525" s="131"/>
      <c r="O525" s="133" t="s">
        <v>1131</v>
      </c>
      <c r="P525" s="196">
        <v>45539.0</v>
      </c>
      <c r="Q525" s="134" t="s">
        <v>680</v>
      </c>
      <c r="R525" s="139"/>
      <c r="S525" s="131"/>
      <c r="T525" s="131"/>
      <c r="U525" s="131"/>
      <c r="V525" s="138" t="s">
        <v>316</v>
      </c>
      <c r="W525" s="131"/>
      <c r="X525" s="131"/>
      <c r="Y525" s="131"/>
      <c r="Z525" s="131"/>
      <c r="AA525" s="131"/>
      <c r="AB525" s="139"/>
      <c r="AC525" s="131"/>
    </row>
    <row r="526">
      <c r="A526" s="134">
        <v>2020.0</v>
      </c>
      <c r="B526" s="191"/>
      <c r="C526" s="192">
        <v>45561.78948129629</v>
      </c>
      <c r="D526" s="191" t="s">
        <v>2488</v>
      </c>
      <c r="E526" s="193">
        <v>2.000016003E9</v>
      </c>
      <c r="F526" s="191" t="s">
        <v>2489</v>
      </c>
      <c r="G526" s="191" t="s">
        <v>2490</v>
      </c>
      <c r="H526" s="191" t="s">
        <v>2491</v>
      </c>
      <c r="I526" s="191" t="s">
        <v>399</v>
      </c>
      <c r="J526" s="191" t="s">
        <v>230</v>
      </c>
      <c r="K526" s="194"/>
      <c r="L526" s="194"/>
      <c r="M526" s="191"/>
      <c r="N526" s="191"/>
      <c r="O526" s="195" t="s">
        <v>703</v>
      </c>
      <c r="P526" s="196">
        <v>45566.0</v>
      </c>
      <c r="Q526" s="134" t="s">
        <v>2492</v>
      </c>
      <c r="R526" s="194"/>
      <c r="S526" s="191"/>
      <c r="T526" s="191"/>
      <c r="U526" s="191"/>
      <c r="V526" s="198" t="s">
        <v>316</v>
      </c>
      <c r="W526" s="191"/>
      <c r="X526" s="191"/>
      <c r="Y526" s="191"/>
      <c r="Z526" s="191"/>
      <c r="AA526" s="191"/>
      <c r="AB526" s="194"/>
      <c r="AC526" s="191"/>
    </row>
    <row r="527">
      <c r="A527" s="107">
        <v>2018.0</v>
      </c>
      <c r="B527" s="131"/>
      <c r="C527" s="214">
        <v>45565.42234828704</v>
      </c>
      <c r="D527" s="131" t="s">
        <v>2493</v>
      </c>
      <c r="E527" s="315">
        <v>1.800016037E9</v>
      </c>
      <c r="F527" s="131" t="s">
        <v>2494</v>
      </c>
      <c r="G527" s="131" t="s">
        <v>2495</v>
      </c>
      <c r="H527" s="131" t="s">
        <v>2496</v>
      </c>
      <c r="I527" s="131" t="s">
        <v>399</v>
      </c>
      <c r="J527" s="131" t="s">
        <v>241</v>
      </c>
      <c r="K527" s="139"/>
      <c r="L527" s="139"/>
      <c r="M527" s="131"/>
      <c r="N527" s="131"/>
      <c r="O527" s="133" t="s">
        <v>97</v>
      </c>
      <c r="P527" s="196">
        <v>45569.0</v>
      </c>
      <c r="Q527" s="134" t="s">
        <v>767</v>
      </c>
      <c r="R527" s="139"/>
      <c r="S527" s="131"/>
      <c r="T527" s="131"/>
      <c r="U527" s="131"/>
      <c r="V527" s="138" t="s">
        <v>316</v>
      </c>
      <c r="W527" s="131"/>
      <c r="X527" s="131"/>
      <c r="Y527" s="131"/>
      <c r="Z527" s="131"/>
      <c r="AA527" s="131"/>
      <c r="AB527" s="139"/>
      <c r="AC527" s="131"/>
    </row>
    <row r="528">
      <c r="A528" s="107">
        <v>2019.0</v>
      </c>
      <c r="B528" s="131"/>
      <c r="C528" s="214">
        <v>45566.61705677083</v>
      </c>
      <c r="D528" s="131" t="s">
        <v>2497</v>
      </c>
      <c r="E528" s="315">
        <v>1.900016143E9</v>
      </c>
      <c r="F528" s="131" t="s">
        <v>2498</v>
      </c>
      <c r="G528" s="131" t="s">
        <v>2499</v>
      </c>
      <c r="H528" s="131" t="s">
        <v>2500</v>
      </c>
      <c r="I528" s="131" t="s">
        <v>399</v>
      </c>
      <c r="J528" s="131" t="s">
        <v>747</v>
      </c>
      <c r="K528" s="139"/>
      <c r="L528" s="139"/>
      <c r="M528" s="131"/>
      <c r="N528" s="131"/>
      <c r="O528" s="133" t="s">
        <v>40</v>
      </c>
      <c r="P528" s="196">
        <v>45572.0</v>
      </c>
      <c r="Q528" s="134" t="s">
        <v>2501</v>
      </c>
      <c r="R528" s="139"/>
      <c r="S528" s="131"/>
      <c r="T528" s="131"/>
      <c r="U528" s="131"/>
      <c r="V528" s="138" t="s">
        <v>316</v>
      </c>
      <c r="W528" s="131"/>
      <c r="X528" s="131"/>
      <c r="Y528" s="131"/>
      <c r="Z528" s="131"/>
      <c r="AA528" s="131"/>
      <c r="AB528" s="139"/>
      <c r="AC528" s="131"/>
    </row>
    <row r="529">
      <c r="A529" s="107">
        <v>2020.0</v>
      </c>
      <c r="B529" s="131"/>
      <c r="C529" s="214">
        <v>45567.523846111115</v>
      </c>
      <c r="D529" s="131" t="s">
        <v>2502</v>
      </c>
      <c r="E529" s="315">
        <v>2.000016106E9</v>
      </c>
      <c r="F529" s="131" t="s">
        <v>2503</v>
      </c>
      <c r="G529" s="131" t="s">
        <v>2504</v>
      </c>
      <c r="H529" s="107" t="s">
        <v>2505</v>
      </c>
      <c r="I529" s="131" t="s">
        <v>399</v>
      </c>
      <c r="J529" s="131" t="s">
        <v>747</v>
      </c>
      <c r="K529" s="139"/>
      <c r="L529" s="139"/>
      <c r="M529" s="131"/>
      <c r="N529" s="131"/>
      <c r="O529" s="133" t="s">
        <v>28</v>
      </c>
      <c r="P529" s="196">
        <v>45572.0</v>
      </c>
      <c r="Q529" s="134" t="s">
        <v>689</v>
      </c>
      <c r="R529" s="139"/>
      <c r="S529" s="131"/>
      <c r="T529" s="131"/>
      <c r="U529" s="131"/>
      <c r="V529" s="138" t="s">
        <v>316</v>
      </c>
      <c r="W529" s="131"/>
      <c r="X529" s="131"/>
      <c r="Y529" s="131"/>
      <c r="Z529" s="131"/>
      <c r="AA529" s="131"/>
      <c r="AB529" s="139"/>
      <c r="AC529" s="131"/>
    </row>
    <row r="530">
      <c r="A530" s="107">
        <v>2019.0</v>
      </c>
      <c r="B530" s="131"/>
      <c r="C530" s="214">
        <v>45571.94011065973</v>
      </c>
      <c r="D530" s="131" t="s">
        <v>2166</v>
      </c>
      <c r="E530" s="315">
        <v>1.900016149E9</v>
      </c>
      <c r="F530" s="131" t="s">
        <v>2167</v>
      </c>
      <c r="G530" s="131" t="s">
        <v>2168</v>
      </c>
      <c r="H530" s="131" t="s">
        <v>2506</v>
      </c>
      <c r="I530" s="131" t="s">
        <v>399</v>
      </c>
      <c r="J530" s="107" t="s">
        <v>27</v>
      </c>
      <c r="K530" s="139"/>
      <c r="L530" s="139"/>
      <c r="M530" s="131"/>
      <c r="N530" s="131"/>
      <c r="O530" s="133" t="s">
        <v>123</v>
      </c>
      <c r="P530" s="196">
        <v>45574.0</v>
      </c>
      <c r="Q530" s="134" t="s">
        <v>2507</v>
      </c>
      <c r="R530" s="139"/>
      <c r="S530" s="131"/>
      <c r="T530" s="131"/>
      <c r="U530" s="131"/>
      <c r="V530" s="138" t="s">
        <v>316</v>
      </c>
      <c r="W530" s="131"/>
      <c r="X530" s="131"/>
      <c r="Y530" s="131"/>
      <c r="Z530" s="131"/>
      <c r="AA530" s="131"/>
      <c r="AB530" s="139"/>
      <c r="AC530" s="131"/>
    </row>
    <row r="531">
      <c r="A531" s="107">
        <v>2019.0</v>
      </c>
      <c r="B531" s="131"/>
      <c r="C531" s="214">
        <v>45581.03282530093</v>
      </c>
      <c r="D531" s="131" t="s">
        <v>2508</v>
      </c>
      <c r="E531" s="315">
        <v>1.900016104E9</v>
      </c>
      <c r="F531" s="131" t="s">
        <v>2509</v>
      </c>
      <c r="G531" s="131" t="s">
        <v>2510</v>
      </c>
      <c r="H531" s="131" t="s">
        <v>2511</v>
      </c>
      <c r="I531" s="131" t="s">
        <v>399</v>
      </c>
      <c r="J531" s="131" t="s">
        <v>183</v>
      </c>
      <c r="K531" s="139"/>
      <c r="L531" s="139"/>
      <c r="M531" s="131"/>
      <c r="N531" s="131"/>
      <c r="O531" s="133" t="s">
        <v>28</v>
      </c>
      <c r="P531" s="140">
        <v>45586.0</v>
      </c>
      <c r="Q531" s="134" t="s">
        <v>680</v>
      </c>
      <c r="R531" s="139"/>
      <c r="S531" s="131"/>
      <c r="T531" s="131"/>
      <c r="U531" s="131"/>
      <c r="V531" s="138" t="s">
        <v>316</v>
      </c>
      <c r="W531" s="131"/>
      <c r="X531" s="131"/>
      <c r="Y531" s="131"/>
      <c r="Z531" s="131"/>
      <c r="AA531" s="131"/>
      <c r="AB531" s="139"/>
      <c r="AC531" s="131"/>
    </row>
    <row r="532">
      <c r="A532" s="107">
        <v>2018.0</v>
      </c>
      <c r="B532" s="131"/>
      <c r="C532" s="214">
        <v>45596.733501296294</v>
      </c>
      <c r="D532" s="131" t="s">
        <v>2512</v>
      </c>
      <c r="E532" s="315">
        <v>1.800016044E9</v>
      </c>
      <c r="F532" s="131" t="s">
        <v>2513</v>
      </c>
      <c r="G532" s="131" t="s">
        <v>2514</v>
      </c>
      <c r="H532" s="131" t="s">
        <v>2515</v>
      </c>
      <c r="I532" s="131" t="s">
        <v>399</v>
      </c>
      <c r="J532" s="131" t="s">
        <v>241</v>
      </c>
      <c r="K532" s="139"/>
      <c r="L532" s="139"/>
      <c r="M532" s="131"/>
      <c r="N532" s="131"/>
      <c r="O532" s="133" t="s">
        <v>97</v>
      </c>
      <c r="P532" s="140">
        <v>45603.0</v>
      </c>
      <c r="Q532" s="134" t="s">
        <v>680</v>
      </c>
      <c r="R532" s="139"/>
      <c r="S532" s="131"/>
      <c r="T532" s="131"/>
      <c r="U532" s="131"/>
      <c r="V532" s="138" t="s">
        <v>316</v>
      </c>
      <c r="W532" s="131"/>
      <c r="X532" s="131"/>
      <c r="Y532" s="131"/>
      <c r="Z532" s="131"/>
      <c r="AA532" s="131"/>
      <c r="AB532" s="139"/>
      <c r="AC532" s="131"/>
    </row>
    <row r="533">
      <c r="A533" s="107">
        <v>2018.0</v>
      </c>
      <c r="B533" s="131"/>
      <c r="C533" s="214">
        <v>45606.55585482639</v>
      </c>
      <c r="D533" s="131" t="s">
        <v>2516</v>
      </c>
      <c r="E533" s="315">
        <v>1.800016032E9</v>
      </c>
      <c r="F533" s="131" t="s">
        <v>2517</v>
      </c>
      <c r="G533" s="131" t="s">
        <v>2518</v>
      </c>
      <c r="H533" s="131" t="s">
        <v>2519</v>
      </c>
      <c r="I533" s="131" t="s">
        <v>399</v>
      </c>
      <c r="J533" s="131" t="s">
        <v>241</v>
      </c>
      <c r="K533" s="139"/>
      <c r="L533" s="139"/>
      <c r="M533" s="131"/>
      <c r="N533" s="131"/>
      <c r="O533" s="133" t="s">
        <v>97</v>
      </c>
      <c r="P533" s="140">
        <v>45609.0</v>
      </c>
      <c r="Q533" s="134" t="s">
        <v>680</v>
      </c>
      <c r="R533" s="139"/>
      <c r="S533" s="131"/>
      <c r="T533" s="131"/>
      <c r="U533" s="131"/>
      <c r="V533" s="138" t="s">
        <v>316</v>
      </c>
      <c r="W533" s="131"/>
      <c r="X533" s="131"/>
      <c r="Y533" s="131"/>
      <c r="Z533" s="131"/>
      <c r="AA533" s="131"/>
      <c r="AB533" s="139"/>
      <c r="AC533" s="131"/>
    </row>
    <row r="534">
      <c r="A534" s="325" t="str">
        <f t="shared" ref="A534:A535" si="1">CONCATENATE("20",LEFT(E534,2))</f>
        <v>2018</v>
      </c>
      <c r="B534" s="131"/>
      <c r="C534" s="214">
        <v>45612.49762850694</v>
      </c>
      <c r="D534" s="131" t="s">
        <v>2520</v>
      </c>
      <c r="E534" s="315">
        <v>1.800016114E9</v>
      </c>
      <c r="F534" s="131" t="s">
        <v>2521</v>
      </c>
      <c r="G534" s="131" t="s">
        <v>2522</v>
      </c>
      <c r="H534" s="131" t="s">
        <v>2523</v>
      </c>
      <c r="I534" s="131" t="s">
        <v>399</v>
      </c>
      <c r="J534" s="131" t="s">
        <v>241</v>
      </c>
      <c r="K534" s="139"/>
      <c r="L534" s="139"/>
      <c r="M534" s="131"/>
      <c r="N534" s="131"/>
      <c r="O534" s="133" t="s">
        <v>28</v>
      </c>
      <c r="P534" s="140">
        <v>45616.0</v>
      </c>
      <c r="Q534" s="134" t="s">
        <v>680</v>
      </c>
      <c r="R534" s="139"/>
      <c r="S534" s="131"/>
      <c r="T534" s="131"/>
      <c r="U534" s="131"/>
      <c r="V534" s="138" t="s">
        <v>316</v>
      </c>
      <c r="W534" s="131"/>
      <c r="X534" s="131"/>
      <c r="Y534" s="131"/>
      <c r="Z534" s="131"/>
      <c r="AA534" s="131"/>
      <c r="AB534" s="139"/>
      <c r="AC534" s="131"/>
    </row>
    <row r="535">
      <c r="A535" s="325" t="str">
        <f t="shared" si="1"/>
        <v>2019</v>
      </c>
      <c r="B535" s="131"/>
      <c r="C535" s="214">
        <v>45615.452903275465</v>
      </c>
      <c r="D535" s="131" t="s">
        <v>2524</v>
      </c>
      <c r="E535" s="315">
        <v>1.900016007E9</v>
      </c>
      <c r="F535" s="131" t="s">
        <v>2525</v>
      </c>
      <c r="G535" s="131" t="s">
        <v>2526</v>
      </c>
      <c r="H535" s="131" t="s">
        <v>2527</v>
      </c>
      <c r="I535" s="131" t="s">
        <v>399</v>
      </c>
      <c r="J535" s="107" t="s">
        <v>27</v>
      </c>
      <c r="K535" s="139"/>
      <c r="L535" s="139"/>
      <c r="M535" s="131"/>
      <c r="N535" s="131"/>
      <c r="O535" s="133" t="s">
        <v>123</v>
      </c>
      <c r="P535" s="191"/>
      <c r="Q535" s="191"/>
      <c r="R535" s="139"/>
      <c r="S535" s="131"/>
      <c r="T535" s="131"/>
      <c r="U535" s="131"/>
      <c r="V535" s="138" t="s">
        <v>316</v>
      </c>
      <c r="W535" s="131"/>
      <c r="X535" s="131"/>
      <c r="Y535" s="131"/>
      <c r="Z535" s="131"/>
      <c r="AA535" s="131"/>
      <c r="AB535" s="139"/>
      <c r="AC535" s="131"/>
    </row>
    <row r="536">
      <c r="A536" s="107">
        <v>2018.0</v>
      </c>
      <c r="B536" s="131"/>
      <c r="C536" s="214">
        <v>45640.46884818287</v>
      </c>
      <c r="D536" s="131" t="s">
        <v>2528</v>
      </c>
      <c r="E536" s="315">
        <v>1.800016057E9</v>
      </c>
      <c r="F536" s="131" t="s">
        <v>2529</v>
      </c>
      <c r="G536" s="131" t="s">
        <v>2530</v>
      </c>
      <c r="H536" s="131" t="s">
        <v>2531</v>
      </c>
      <c r="I536" s="131" t="s">
        <v>399</v>
      </c>
      <c r="J536" s="131" t="s">
        <v>241</v>
      </c>
      <c r="K536" s="139"/>
      <c r="L536" s="139"/>
      <c r="M536" s="131"/>
      <c r="N536" s="131"/>
      <c r="O536" s="133" t="s">
        <v>39</v>
      </c>
      <c r="P536" s="140">
        <v>45646.0</v>
      </c>
      <c r="Q536" s="134" t="s">
        <v>2532</v>
      </c>
      <c r="R536" s="139"/>
      <c r="S536" s="131"/>
      <c r="T536" s="131"/>
      <c r="U536" s="131"/>
      <c r="V536" s="138" t="s">
        <v>316</v>
      </c>
      <c r="W536" s="131"/>
      <c r="X536" s="131"/>
      <c r="Y536" s="131"/>
      <c r="Z536" s="131"/>
      <c r="AA536" s="131"/>
      <c r="AB536" s="139"/>
      <c r="AC536" s="131"/>
    </row>
    <row r="537">
      <c r="A537" s="325" t="str">
        <f t="shared" ref="A537:A542" si="2">CONCATENATE("20",LEFT(E537,2))</f>
        <v>2019</v>
      </c>
      <c r="B537" s="131"/>
      <c r="C537" s="214">
        <v>45616.60363832176</v>
      </c>
      <c r="D537" s="131" t="s">
        <v>2533</v>
      </c>
      <c r="E537" s="315">
        <v>1.900016156E9</v>
      </c>
      <c r="F537" s="131" t="s">
        <v>2534</v>
      </c>
      <c r="G537" s="131" t="s">
        <v>2535</v>
      </c>
      <c r="H537" s="131" t="s">
        <v>2536</v>
      </c>
      <c r="I537" s="131" t="s">
        <v>399</v>
      </c>
      <c r="J537" s="131" t="s">
        <v>230</v>
      </c>
      <c r="K537" s="139"/>
      <c r="L537" s="139"/>
      <c r="M537" s="131"/>
      <c r="N537" s="131"/>
      <c r="O537" s="133" t="s">
        <v>703</v>
      </c>
      <c r="P537" s="140">
        <v>45621.0</v>
      </c>
      <c r="Q537" s="134" t="s">
        <v>895</v>
      </c>
      <c r="R537" s="139"/>
      <c r="S537" s="131"/>
      <c r="T537" s="131"/>
      <c r="U537" s="131"/>
      <c r="V537" s="138" t="s">
        <v>316</v>
      </c>
      <c r="W537" s="131"/>
      <c r="X537" s="131"/>
      <c r="Y537" s="131"/>
      <c r="Z537" s="131"/>
      <c r="AA537" s="131"/>
      <c r="AB537" s="139"/>
      <c r="AC537" s="131"/>
    </row>
    <row r="538">
      <c r="A538" s="325" t="str">
        <f t="shared" si="2"/>
        <v>2018</v>
      </c>
      <c r="B538" s="131"/>
      <c r="C538" s="214">
        <v>45618.08395961805</v>
      </c>
      <c r="D538" s="131" t="s">
        <v>2537</v>
      </c>
      <c r="E538" s="315">
        <v>1.80001605E9</v>
      </c>
      <c r="F538" s="131" t="s">
        <v>2538</v>
      </c>
      <c r="G538" s="131" t="s">
        <v>2539</v>
      </c>
      <c r="H538" s="107" t="s">
        <v>2540</v>
      </c>
      <c r="I538" s="131" t="s">
        <v>399</v>
      </c>
      <c r="J538" s="131" t="s">
        <v>241</v>
      </c>
      <c r="K538" s="139"/>
      <c r="L538" s="139"/>
      <c r="M538" s="131"/>
      <c r="N538" s="131"/>
      <c r="O538" s="133" t="s">
        <v>28</v>
      </c>
      <c r="P538" s="140">
        <v>45625.0</v>
      </c>
      <c r="Q538" s="134" t="s">
        <v>708</v>
      </c>
      <c r="R538" s="139"/>
      <c r="S538" s="131"/>
      <c r="T538" s="131"/>
      <c r="U538" s="131"/>
      <c r="V538" s="138" t="s">
        <v>316</v>
      </c>
      <c r="W538" s="131"/>
      <c r="X538" s="131"/>
      <c r="Y538" s="131"/>
      <c r="Z538" s="131"/>
      <c r="AA538" s="131"/>
      <c r="AB538" s="139"/>
      <c r="AC538" s="131"/>
    </row>
    <row r="539">
      <c r="A539" s="325" t="str">
        <f t="shared" si="2"/>
        <v>2018</v>
      </c>
      <c r="B539" s="131"/>
      <c r="C539" s="214">
        <v>45623.47141723379</v>
      </c>
      <c r="D539" s="131" t="s">
        <v>2541</v>
      </c>
      <c r="E539" s="315">
        <v>1.800016082E9</v>
      </c>
      <c r="F539" s="131" t="s">
        <v>2542</v>
      </c>
      <c r="G539" s="131" t="s">
        <v>2543</v>
      </c>
      <c r="H539" s="131" t="s">
        <v>2544</v>
      </c>
      <c r="I539" s="131" t="s">
        <v>399</v>
      </c>
      <c r="J539" s="131" t="s">
        <v>241</v>
      </c>
      <c r="K539" s="139"/>
      <c r="L539" s="139"/>
      <c r="M539" s="131"/>
      <c r="N539" s="131"/>
      <c r="O539" s="133" t="s">
        <v>97</v>
      </c>
      <c r="P539" s="140">
        <v>45628.0</v>
      </c>
      <c r="Q539" s="134" t="s">
        <v>767</v>
      </c>
      <c r="R539" s="139"/>
      <c r="S539" s="131"/>
      <c r="T539" s="131"/>
      <c r="U539" s="131"/>
      <c r="V539" s="138" t="s">
        <v>316</v>
      </c>
      <c r="W539" s="131"/>
      <c r="X539" s="131"/>
      <c r="Y539" s="131"/>
      <c r="Z539" s="131"/>
      <c r="AA539" s="131"/>
      <c r="AB539" s="139"/>
      <c r="AC539" s="131"/>
    </row>
    <row r="540">
      <c r="A540" s="325" t="str">
        <f t="shared" si="2"/>
        <v>2018</v>
      </c>
      <c r="B540" s="131"/>
      <c r="C540" s="214">
        <v>45622.892874212965</v>
      </c>
      <c r="D540" s="131" t="s">
        <v>2545</v>
      </c>
      <c r="E540" s="315">
        <v>1.800016051E9</v>
      </c>
      <c r="F540" s="131" t="s">
        <v>2546</v>
      </c>
      <c r="G540" s="131" t="s">
        <v>2547</v>
      </c>
      <c r="H540" s="131" t="s">
        <v>2548</v>
      </c>
      <c r="I540" s="131" t="s">
        <v>399</v>
      </c>
      <c r="J540" s="131" t="s">
        <v>241</v>
      </c>
      <c r="K540" s="139"/>
      <c r="L540" s="139"/>
      <c r="M540" s="131"/>
      <c r="N540" s="131"/>
      <c r="O540" s="133" t="s">
        <v>703</v>
      </c>
      <c r="P540" s="140">
        <v>45626.0</v>
      </c>
      <c r="Q540" s="134" t="s">
        <v>680</v>
      </c>
      <c r="R540" s="139"/>
      <c r="S540" s="131"/>
      <c r="T540" s="131"/>
      <c r="U540" s="131"/>
      <c r="V540" s="138" t="s">
        <v>316</v>
      </c>
      <c r="W540" s="131"/>
      <c r="X540" s="131"/>
      <c r="Y540" s="131"/>
      <c r="Z540" s="131"/>
      <c r="AA540" s="131"/>
      <c r="AB540" s="139"/>
      <c r="AC540" s="131"/>
    </row>
    <row r="541">
      <c r="A541" s="325" t="str">
        <f t="shared" si="2"/>
        <v>2020</v>
      </c>
      <c r="B541" s="131"/>
      <c r="C541" s="214">
        <v>45629.82251078703</v>
      </c>
      <c r="D541" s="131" t="s">
        <v>2549</v>
      </c>
      <c r="E541" s="315">
        <v>2.00001607E9</v>
      </c>
      <c r="F541" s="131" t="s">
        <v>2550</v>
      </c>
      <c r="G541" s="131" t="s">
        <v>2551</v>
      </c>
      <c r="H541" s="131" t="s">
        <v>2552</v>
      </c>
      <c r="I541" s="131" t="s">
        <v>399</v>
      </c>
      <c r="J541" s="107" t="s">
        <v>27</v>
      </c>
      <c r="K541" s="139"/>
      <c r="L541" s="139"/>
      <c r="M541" s="131"/>
      <c r="N541" s="131"/>
      <c r="O541" s="133" t="s">
        <v>2553</v>
      </c>
      <c r="P541" s="140">
        <v>45638.0</v>
      </c>
      <c r="Q541" s="134" t="s">
        <v>708</v>
      </c>
      <c r="R541" s="139"/>
      <c r="S541" s="131"/>
      <c r="T541" s="131"/>
      <c r="U541" s="131"/>
      <c r="V541" s="138" t="s">
        <v>316</v>
      </c>
      <c r="W541" s="131"/>
      <c r="X541" s="131"/>
      <c r="Y541" s="131"/>
      <c r="Z541" s="131"/>
      <c r="AA541" s="131"/>
      <c r="AB541" s="139"/>
      <c r="AC541" s="131"/>
    </row>
    <row r="542">
      <c r="A542" s="325" t="str">
        <f t="shared" si="2"/>
        <v>2020</v>
      </c>
      <c r="B542" s="191"/>
      <c r="C542" s="192">
        <v>45629.530635034724</v>
      </c>
      <c r="D542" s="191" t="s">
        <v>2554</v>
      </c>
      <c r="E542" s="193">
        <v>2.000016147E9</v>
      </c>
      <c r="F542" s="191" t="s">
        <v>2555</v>
      </c>
      <c r="G542" s="191" t="s">
        <v>2556</v>
      </c>
      <c r="H542" s="191" t="s">
        <v>2557</v>
      </c>
      <c r="I542" s="191" t="s">
        <v>399</v>
      </c>
      <c r="J542" s="134" t="s">
        <v>27</v>
      </c>
      <c r="K542" s="194"/>
      <c r="L542" s="194"/>
      <c r="M542" s="191"/>
      <c r="N542" s="191"/>
      <c r="O542" s="195" t="s">
        <v>2553</v>
      </c>
      <c r="P542" s="140">
        <v>45638.0</v>
      </c>
      <c r="Q542" s="134" t="s">
        <v>2558</v>
      </c>
      <c r="R542" s="194"/>
      <c r="S542" s="191"/>
      <c r="T542" s="191"/>
      <c r="U542" s="191"/>
      <c r="V542" s="198" t="s">
        <v>316</v>
      </c>
      <c r="W542" s="191"/>
      <c r="X542" s="191"/>
      <c r="Y542" s="191"/>
      <c r="Z542" s="191"/>
      <c r="AA542" s="191"/>
      <c r="AB542" s="194"/>
      <c r="AC542" s="191"/>
    </row>
    <row r="543">
      <c r="A543" s="122">
        <v>2020.0</v>
      </c>
      <c r="B543" s="131"/>
      <c r="C543" s="214">
        <v>45524.67002776621</v>
      </c>
      <c r="D543" s="131" t="s">
        <v>2559</v>
      </c>
      <c r="E543" s="315">
        <v>2.000016043E9</v>
      </c>
      <c r="F543" s="131" t="s">
        <v>2560</v>
      </c>
      <c r="G543" s="131" t="s">
        <v>2561</v>
      </c>
      <c r="H543" s="131" t="s">
        <v>2562</v>
      </c>
      <c r="I543" s="131" t="s">
        <v>399</v>
      </c>
      <c r="J543" s="107" t="s">
        <v>27</v>
      </c>
      <c r="K543" s="139"/>
      <c r="L543" s="139"/>
      <c r="M543" s="131"/>
      <c r="N543" s="131"/>
      <c r="O543" s="131" t="s">
        <v>183</v>
      </c>
      <c r="P543" s="127">
        <v>45528.0</v>
      </c>
      <c r="Q543" s="134" t="s">
        <v>2558</v>
      </c>
      <c r="R543" s="139"/>
      <c r="S543" s="131"/>
      <c r="T543" s="131"/>
      <c r="U543" s="131"/>
      <c r="V543" s="138" t="s">
        <v>316</v>
      </c>
      <c r="W543" s="131"/>
      <c r="X543" s="131"/>
      <c r="Y543" s="131"/>
      <c r="Z543" s="131"/>
      <c r="AA543" s="131"/>
      <c r="AB543" s="139"/>
      <c r="AC543" s="131"/>
    </row>
    <row r="544">
      <c r="A544" s="122">
        <v>2020.0</v>
      </c>
      <c r="B544" s="131"/>
      <c r="C544" s="214">
        <v>45524.91685859954</v>
      </c>
      <c r="D544" s="131" t="s">
        <v>2563</v>
      </c>
      <c r="E544" s="315">
        <v>2.000016036E9</v>
      </c>
      <c r="F544" s="131" t="s">
        <v>2564</v>
      </c>
      <c r="G544" s="131" t="s">
        <v>2565</v>
      </c>
      <c r="H544" s="131" t="s">
        <v>2566</v>
      </c>
      <c r="I544" s="131" t="s">
        <v>399</v>
      </c>
      <c r="J544" s="107" t="s">
        <v>27</v>
      </c>
      <c r="K544" s="139"/>
      <c r="L544" s="139"/>
      <c r="M544" s="131"/>
      <c r="N544" s="131"/>
      <c r="O544" s="131" t="s">
        <v>183</v>
      </c>
      <c r="P544" s="127">
        <v>45528.0</v>
      </c>
      <c r="Q544" s="134" t="s">
        <v>1033</v>
      </c>
      <c r="R544" s="139"/>
      <c r="S544" s="131"/>
      <c r="T544" s="131"/>
      <c r="U544" s="131"/>
      <c r="V544" s="138" t="s">
        <v>316</v>
      </c>
      <c r="W544" s="131"/>
      <c r="X544" s="131"/>
      <c r="Y544" s="131"/>
      <c r="Z544" s="131"/>
      <c r="AA544" s="131"/>
      <c r="AB544" s="139"/>
      <c r="AC544" s="131"/>
    </row>
    <row r="545">
      <c r="A545" s="325" t="str">
        <f>CONCATENATE("20",LEFT(E545,2))</f>
        <v>2020</v>
      </c>
      <c r="B545" s="131"/>
      <c r="C545" s="214">
        <v>45629.53136879629</v>
      </c>
      <c r="D545" s="131" t="s">
        <v>2567</v>
      </c>
      <c r="E545" s="315">
        <v>2.000016046E9</v>
      </c>
      <c r="F545" s="131" t="s">
        <v>2568</v>
      </c>
      <c r="G545" s="131" t="s">
        <v>2569</v>
      </c>
      <c r="H545" s="131" t="s">
        <v>2570</v>
      </c>
      <c r="I545" s="131" t="s">
        <v>399</v>
      </c>
      <c r="J545" s="107" t="s">
        <v>27</v>
      </c>
      <c r="K545" s="139"/>
      <c r="L545" s="139"/>
      <c r="M545" s="131"/>
      <c r="N545" s="131"/>
      <c r="O545" s="133" t="s">
        <v>2553</v>
      </c>
      <c r="P545" s="140">
        <v>45638.0</v>
      </c>
      <c r="Q545" s="134" t="s">
        <v>680</v>
      </c>
      <c r="R545" s="139"/>
      <c r="S545" s="131"/>
      <c r="T545" s="131"/>
      <c r="U545" s="131"/>
      <c r="V545" s="138" t="s">
        <v>316</v>
      </c>
      <c r="W545" s="131"/>
      <c r="X545" s="131"/>
      <c r="Y545" s="131"/>
      <c r="Z545" s="131"/>
      <c r="AA545" s="131"/>
      <c r="AB545" s="139"/>
      <c r="AC545" s="131"/>
    </row>
    <row r="546">
      <c r="A546" s="107">
        <v>2021.0</v>
      </c>
      <c r="B546" s="131"/>
      <c r="C546" s="214">
        <v>45633.666961400464</v>
      </c>
      <c r="D546" s="131" t="s">
        <v>2571</v>
      </c>
      <c r="E546" s="315">
        <v>2.115016108E9</v>
      </c>
      <c r="F546" s="131" t="s">
        <v>2572</v>
      </c>
      <c r="G546" s="131" t="s">
        <v>2573</v>
      </c>
      <c r="H546" s="131" t="s">
        <v>2574</v>
      </c>
      <c r="I546" s="131" t="s">
        <v>399</v>
      </c>
      <c r="J546" s="131" t="s">
        <v>747</v>
      </c>
      <c r="K546" s="139"/>
      <c r="L546" s="139"/>
      <c r="M546" s="131"/>
      <c r="N546" s="131"/>
      <c r="O546" s="133" t="s">
        <v>703</v>
      </c>
      <c r="P546" s="140">
        <v>45642.0</v>
      </c>
      <c r="Q546" s="134" t="s">
        <v>689</v>
      </c>
      <c r="R546" s="139"/>
      <c r="S546" s="131"/>
      <c r="T546" s="131"/>
      <c r="U546" s="131"/>
      <c r="V546" s="138" t="s">
        <v>316</v>
      </c>
      <c r="W546" s="131"/>
      <c r="X546" s="131"/>
      <c r="Y546" s="131"/>
      <c r="Z546" s="131"/>
      <c r="AA546" s="131"/>
      <c r="AB546" s="139"/>
      <c r="AC546" s="131"/>
    </row>
    <row r="547">
      <c r="A547" s="107">
        <v>2021.0</v>
      </c>
      <c r="B547" s="131"/>
      <c r="C547" s="214">
        <v>45635.78460491898</v>
      </c>
      <c r="D547" s="131" t="s">
        <v>2575</v>
      </c>
      <c r="E547" s="315">
        <v>2.100016009E9</v>
      </c>
      <c r="F547" s="131" t="s">
        <v>2576</v>
      </c>
      <c r="G547" s="131" t="s">
        <v>2577</v>
      </c>
      <c r="H547" s="131" t="s">
        <v>2578</v>
      </c>
      <c r="I547" s="131" t="s">
        <v>399</v>
      </c>
      <c r="J547" s="131" t="s">
        <v>747</v>
      </c>
      <c r="K547" s="139"/>
      <c r="L547" s="139"/>
      <c r="M547" s="131"/>
      <c r="N547" s="131"/>
      <c r="O547" s="139" t="s">
        <v>39</v>
      </c>
      <c r="P547" s="140">
        <v>45642.0</v>
      </c>
      <c r="Q547" s="134" t="s">
        <v>895</v>
      </c>
      <c r="R547" s="139"/>
      <c r="S547" s="131"/>
      <c r="T547" s="131"/>
      <c r="U547" s="131"/>
      <c r="V547" s="138" t="s">
        <v>316</v>
      </c>
      <c r="W547" s="131"/>
      <c r="X547" s="131"/>
      <c r="Y547" s="131"/>
      <c r="Z547" s="131"/>
      <c r="AA547" s="131"/>
      <c r="AB547" s="139"/>
      <c r="AC547" s="131"/>
    </row>
    <row r="548">
      <c r="A548" s="107">
        <v>2021.0</v>
      </c>
      <c r="B548" s="131"/>
      <c r="C548" s="214">
        <v>45635.78465519675</v>
      </c>
      <c r="D548" s="131" t="s">
        <v>2579</v>
      </c>
      <c r="E548" s="315">
        <v>2.100016042E9</v>
      </c>
      <c r="F548" s="131" t="s">
        <v>2580</v>
      </c>
      <c r="G548" s="131" t="s">
        <v>2581</v>
      </c>
      <c r="H548" s="131" t="s">
        <v>2582</v>
      </c>
      <c r="I548" s="131" t="s">
        <v>399</v>
      </c>
      <c r="J548" s="131" t="s">
        <v>747</v>
      </c>
      <c r="K548" s="139"/>
      <c r="L548" s="139"/>
      <c r="M548" s="131"/>
      <c r="N548" s="131"/>
      <c r="O548" s="139" t="s">
        <v>39</v>
      </c>
      <c r="P548" s="140">
        <v>45642.0</v>
      </c>
      <c r="Q548" s="134" t="s">
        <v>2583</v>
      </c>
      <c r="R548" s="139"/>
      <c r="S548" s="131"/>
      <c r="T548" s="131"/>
      <c r="U548" s="131"/>
      <c r="V548" s="138" t="s">
        <v>316</v>
      </c>
      <c r="W548" s="131"/>
      <c r="X548" s="131"/>
      <c r="Y548" s="131"/>
      <c r="Z548" s="131"/>
      <c r="AA548" s="131"/>
      <c r="AB548" s="139"/>
      <c r="AC548" s="131"/>
    </row>
    <row r="549">
      <c r="A549" s="107">
        <v>2021.0</v>
      </c>
      <c r="B549" s="131"/>
      <c r="C549" s="214">
        <v>45635.78470363426</v>
      </c>
      <c r="D549" s="131" t="s">
        <v>2584</v>
      </c>
      <c r="E549" s="315">
        <v>2.100016035E9</v>
      </c>
      <c r="F549" s="131" t="s">
        <v>2585</v>
      </c>
      <c r="G549" s="131" t="s">
        <v>2586</v>
      </c>
      <c r="H549" s="131" t="s">
        <v>2587</v>
      </c>
      <c r="I549" s="131" t="s">
        <v>399</v>
      </c>
      <c r="J549" s="131" t="s">
        <v>747</v>
      </c>
      <c r="K549" s="139"/>
      <c r="L549" s="139"/>
      <c r="M549" s="131"/>
      <c r="N549" s="131"/>
      <c r="O549" s="139" t="s">
        <v>39</v>
      </c>
      <c r="P549" s="140">
        <v>45642.0</v>
      </c>
      <c r="Q549" s="134" t="s">
        <v>772</v>
      </c>
      <c r="R549" s="139"/>
      <c r="S549" s="131"/>
      <c r="T549" s="131"/>
      <c r="U549" s="131"/>
      <c r="V549" s="138" t="s">
        <v>316</v>
      </c>
      <c r="W549" s="131"/>
      <c r="X549" s="131"/>
      <c r="Y549" s="131"/>
      <c r="Z549" s="131"/>
      <c r="AA549" s="131"/>
      <c r="AB549" s="139"/>
      <c r="AC549" s="131"/>
    </row>
    <row r="550">
      <c r="A550" s="107">
        <v>2021.0</v>
      </c>
      <c r="B550" s="131"/>
      <c r="C550" s="214">
        <v>45636.66630239583</v>
      </c>
      <c r="D550" s="131" t="s">
        <v>2588</v>
      </c>
      <c r="E550" s="315">
        <v>2.100016081E9</v>
      </c>
      <c r="F550" s="131" t="s">
        <v>2589</v>
      </c>
      <c r="G550" s="131" t="s">
        <v>2590</v>
      </c>
      <c r="H550" s="131" t="s">
        <v>2591</v>
      </c>
      <c r="I550" s="131" t="s">
        <v>399</v>
      </c>
      <c r="J550" s="131" t="s">
        <v>747</v>
      </c>
      <c r="K550" s="139"/>
      <c r="L550" s="139"/>
      <c r="M550" s="131"/>
      <c r="N550" s="131"/>
      <c r="O550" s="133" t="s">
        <v>703</v>
      </c>
      <c r="P550" s="140">
        <v>45643.0</v>
      </c>
      <c r="Q550" s="191"/>
      <c r="R550" s="139"/>
      <c r="S550" s="131"/>
      <c r="T550" s="131"/>
      <c r="U550" s="131"/>
      <c r="V550" s="138" t="s">
        <v>316</v>
      </c>
      <c r="W550" s="131"/>
      <c r="X550" s="131"/>
      <c r="Y550" s="131"/>
      <c r="Z550" s="131"/>
      <c r="AA550" s="131"/>
      <c r="AB550" s="139"/>
      <c r="AC550" s="131"/>
    </row>
    <row r="551">
      <c r="A551" s="107">
        <v>2021.0</v>
      </c>
      <c r="B551" s="131"/>
      <c r="C551" s="214">
        <v>45640.48578555555</v>
      </c>
      <c r="D551" s="131" t="s">
        <v>2592</v>
      </c>
      <c r="E551" s="315">
        <v>2.100016087E9</v>
      </c>
      <c r="F551" s="131" t="s">
        <v>2593</v>
      </c>
      <c r="G551" s="131" t="s">
        <v>2594</v>
      </c>
      <c r="H551" s="131" t="s">
        <v>2595</v>
      </c>
      <c r="I551" s="131" t="s">
        <v>399</v>
      </c>
      <c r="J551" s="107" t="s">
        <v>27</v>
      </c>
      <c r="K551" s="139"/>
      <c r="L551" s="139"/>
      <c r="M551" s="131"/>
      <c r="N551" s="131"/>
      <c r="O551" s="131" t="s">
        <v>183</v>
      </c>
      <c r="P551" s="140">
        <v>45645.0</v>
      </c>
      <c r="Q551" s="134" t="s">
        <v>895</v>
      </c>
      <c r="R551" s="139"/>
      <c r="S551" s="131"/>
      <c r="T551" s="131"/>
      <c r="U551" s="131"/>
      <c r="V551" s="138" t="s">
        <v>316</v>
      </c>
      <c r="W551" s="131"/>
      <c r="X551" s="131"/>
      <c r="Y551" s="131"/>
      <c r="Z551" s="131"/>
      <c r="AA551" s="131"/>
      <c r="AB551" s="139"/>
      <c r="AC551" s="131"/>
    </row>
    <row r="552" ht="21.75" customHeight="1">
      <c r="A552" s="107">
        <v>2021.0</v>
      </c>
      <c r="B552" s="131"/>
      <c r="C552" s="214">
        <v>45644.456135729175</v>
      </c>
      <c r="D552" s="131" t="s">
        <v>2596</v>
      </c>
      <c r="E552" s="315">
        <v>2.111016057E9</v>
      </c>
      <c r="F552" s="131" t="s">
        <v>2597</v>
      </c>
      <c r="G552" s="131" t="s">
        <v>2598</v>
      </c>
      <c r="H552" s="107" t="s">
        <v>2599</v>
      </c>
      <c r="I552" s="131" t="s">
        <v>399</v>
      </c>
      <c r="J552" s="131" t="s">
        <v>39</v>
      </c>
      <c r="K552" s="139"/>
      <c r="L552" s="139"/>
      <c r="M552" s="131"/>
      <c r="N552" s="131"/>
      <c r="O552" s="195" t="s">
        <v>703</v>
      </c>
      <c r="P552" s="140">
        <v>45663.0</v>
      </c>
      <c r="Q552" s="134" t="s">
        <v>680</v>
      </c>
      <c r="R552" s="139"/>
      <c r="S552" s="131"/>
      <c r="T552" s="131"/>
      <c r="U552" s="131"/>
      <c r="V552" s="138" t="s">
        <v>316</v>
      </c>
      <c r="W552" s="131"/>
      <c r="X552" s="194" t="str">
        <f t="shared" ref="X552:X583" si="3">CONCATENATE(TEXT(P552,"YYYY-MM-dd"),"T",Y552,":00")</f>
        <v>2025-01-06T08:00:00</v>
      </c>
      <c r="Y552" s="194" t="str">
        <f t="shared" ref="Y552:Y646" si="4">CONCAT(TEXT(SUBSTITUTE(LEFT(Q552,4),".",":"),"0"),"0")</f>
        <v>08:00</v>
      </c>
      <c r="Z552" s="194" t="str">
        <f t="shared" ref="Z552:Z553" si="5">CONCATENATE(TEXT(P552,"YYYY-MM-dd"),"T",,TEXT(Y552+TIME(0,60,0),"HH:mm"),":00")</f>
        <v>2025-01-06T09:00:00</v>
      </c>
      <c r="AA552" s="131"/>
      <c r="AB552" s="194" t="str">
        <f t="shared" ref="AB552:AB646" si="6">"Judul : " &amp;H552  &amp; CHAR(10) &amp; CHAR(10) &amp; "Pembimbing : " &amp;J552  &amp; CHAR(10) &amp; CHAR(10) &amp; "Penguji: " &amp; CHAR(10) &amp; "1. " &amp;O552  &amp; CHAR(10) &amp;  CHAR(10) &amp; "Waktu : " &amp;Q552 &amp; " WIB" &amp; CHAR(10) &amp; "Tempat : Lab Multimedia"  &amp; CHAR(10) &amp; CHAR(10) &amp;  "Naskah : " &amp; K552 &amp; CHAR(10) &amp; CHAR(10) &amp; CHAR(10) &amp; "Note : " &amp; CHAR(10) &amp; CHAR(10) &amp; "- Mengingatkan serta menyerahkan Naskah hardfile  ke dosen pembimbing dan penguji paling lambat 2 hari sebelum ujian" &amp; CHAR(10) &amp; "- Teknis Pelaksanaan Ujian dilakukan secara offline sesuai dengan lokasi yang tertera di undangan ini"</f>
        <v>Judul : Pengembangan Back End Aplikasi Pelaporan Kerusakan Fasilitas Umum Menggunakan Metode Rapid Application Development Studi Kasus di Biro Sarana Prasarana (BSP) UAD
Pembimbing : Dr. Arif Rahman, S.Kom., M.T.
Penguji: 
1. Farid Suryanto, S.Pd., M.T.
Waktu : 08.00 - 09.00 WIB
Tempat : Lab Multimedia
Naskah : 
Note : 
- Mengingatkan serta menyerahkan Naskah hardfile  ke dosen pembimbing dan penguji paling lambat 2 hari sebelum ujian
- Teknis Pelaksanaan Ujian dilakukan secara offline sesuai dengan lokasi yang tertera di undangan ini</v>
      </c>
      <c r="AC552" s="194"/>
    </row>
    <row r="553" ht="17.25" customHeight="1">
      <c r="A553" s="107">
        <v>2021.0</v>
      </c>
      <c r="B553" s="131"/>
      <c r="C553" s="214">
        <v>45646.443764027776</v>
      </c>
      <c r="D553" s="131" t="s">
        <v>2600</v>
      </c>
      <c r="E553" s="315">
        <v>2.100016012E9</v>
      </c>
      <c r="F553" s="131" t="s">
        <v>2601</v>
      </c>
      <c r="G553" s="131" t="s">
        <v>2602</v>
      </c>
      <c r="H553" s="131" t="s">
        <v>2603</v>
      </c>
      <c r="I553" s="131" t="s">
        <v>399</v>
      </c>
      <c r="J553" s="131" t="s">
        <v>39</v>
      </c>
      <c r="K553" s="139"/>
      <c r="L553" s="139"/>
      <c r="M553" s="131"/>
      <c r="N553" s="131"/>
      <c r="O553" s="195" t="s">
        <v>703</v>
      </c>
      <c r="P553" s="140">
        <v>45664.0</v>
      </c>
      <c r="Q553" s="134" t="s">
        <v>767</v>
      </c>
      <c r="R553" s="139"/>
      <c r="S553" s="131"/>
      <c r="T553" s="131"/>
      <c r="U553" s="131"/>
      <c r="V553" s="138" t="s">
        <v>316</v>
      </c>
      <c r="W553" s="131"/>
      <c r="X553" s="194" t="str">
        <f t="shared" si="3"/>
        <v>2025-01-07T09:00:00</v>
      </c>
      <c r="Y553" s="194" t="str">
        <f t="shared" si="4"/>
        <v>09:00</v>
      </c>
      <c r="Z553" s="194" t="str">
        <f t="shared" si="5"/>
        <v>2025-01-07T10:00:00</v>
      </c>
      <c r="AA553" s="131"/>
      <c r="AB553" s="194" t="str">
        <f t="shared" si="6"/>
        <v>Judul : Pengembangan Backend Sistem Penilaian Kinerja Karyawan di Bytelogic Menggunakan Metode Waterfall
Pembimbing : Dr. Arif Rahman, S.Kom., M.T.
Penguji: 
1. Farid Suryanto, S.Pd., M.T.
Waktu : 09.00 - 10.00 WIB
Tempat : Lab Multimedia
Naskah : 
Note : 
- Mengingatkan serta menyerahkan Naskah hardfile  ke dosen pembimbing dan penguji paling lambat 2 hari sebelum ujian
- Teknis Pelaksanaan Ujian dilakukan secara offline sesuai dengan lokasi yang tertera di undangan ini</v>
      </c>
      <c r="AC553" s="131"/>
    </row>
    <row r="554" ht="16.5" customHeight="1">
      <c r="A554" s="107">
        <v>2021.0</v>
      </c>
      <c r="B554" s="131"/>
      <c r="C554" s="214">
        <v>45646.55659521991</v>
      </c>
      <c r="D554" s="131" t="s">
        <v>2604</v>
      </c>
      <c r="E554" s="315">
        <v>2.100016017E9</v>
      </c>
      <c r="F554" s="131" t="s">
        <v>2605</v>
      </c>
      <c r="G554" s="131" t="s">
        <v>2606</v>
      </c>
      <c r="H554" s="131" t="s">
        <v>2607</v>
      </c>
      <c r="I554" s="131" t="s">
        <v>399</v>
      </c>
      <c r="J554" s="107" t="s">
        <v>27</v>
      </c>
      <c r="K554" s="139"/>
      <c r="L554" s="139"/>
      <c r="M554" s="131"/>
      <c r="N554" s="131"/>
      <c r="O554" s="195" t="s">
        <v>2553</v>
      </c>
      <c r="P554" s="140">
        <v>45656.0</v>
      </c>
      <c r="Q554" s="134" t="s">
        <v>1019</v>
      </c>
      <c r="R554" s="139"/>
      <c r="S554" s="131"/>
      <c r="T554" s="131"/>
      <c r="U554" s="131"/>
      <c r="V554" s="138" t="s">
        <v>316</v>
      </c>
      <c r="W554" s="131"/>
      <c r="X554" s="194" t="str">
        <f t="shared" si="3"/>
        <v>2024-12-30T11:00:00</v>
      </c>
      <c r="Y554" s="194" t="str">
        <f t="shared" si="4"/>
        <v>11:00</v>
      </c>
      <c r="Z554" s="194" t="str">
        <f>CONCATENATE(TEXT(P554,"YYYY-MM-dd"),"T",,TEXT(Y554+TIME(0,30,0),"HH:mm"),":00")</f>
        <v>2024-12-30T11:30:00</v>
      </c>
      <c r="AA554" s="131"/>
      <c r="AB554" s="194" t="str">
        <f t="shared" si="6"/>
        <v>Judul : Penilaian Risiko Pada Layanan Sistem Informasi Manajemen Ruangan Menggunakan OCTAVE Allegro
Pembimbing : Prof. Dr. Ir. H. Imam Riadi, S.Pd., M.Kom.
Penguji: 
1. Tawar, S.Si., M.Kom
Waktu : 11.00 - 11.30 WIB
Tempat : Lab Multimedia
Naskah : 
Note : 
- Mengingatkan serta menyerahkan Naskah hardfile  ke dosen pembimbing dan penguji paling lambat 2 hari sebelum ujian
- Teknis Pelaksanaan Ujian dilakukan secara offline sesuai dengan lokasi yang tertera di undangan ini</v>
      </c>
      <c r="AC554" s="131"/>
    </row>
    <row r="555" ht="21.0" customHeight="1">
      <c r="A555" s="107">
        <v>2019.0</v>
      </c>
      <c r="B555" s="131"/>
      <c r="C555" s="214">
        <v>45647.54971225694</v>
      </c>
      <c r="D555" s="131" t="s">
        <v>2608</v>
      </c>
      <c r="E555" s="315">
        <v>1.900016193E9</v>
      </c>
      <c r="F555" s="131" t="s">
        <v>2609</v>
      </c>
      <c r="G555" s="131" t="s">
        <v>2610</v>
      </c>
      <c r="H555" s="131" t="s">
        <v>2611</v>
      </c>
      <c r="I555" s="131" t="s">
        <v>399</v>
      </c>
      <c r="J555" s="131" t="s">
        <v>39</v>
      </c>
      <c r="K555" s="139"/>
      <c r="L555" s="139"/>
      <c r="M555" s="131"/>
      <c r="N555" s="131"/>
      <c r="O555" s="195" t="s">
        <v>2612</v>
      </c>
      <c r="P555" s="140">
        <v>45664.0</v>
      </c>
      <c r="Q555" s="134" t="s">
        <v>680</v>
      </c>
      <c r="R555" s="139"/>
      <c r="S555" s="131"/>
      <c r="T555" s="131"/>
      <c r="U555" s="131"/>
      <c r="V555" s="138" t="s">
        <v>316</v>
      </c>
      <c r="W555" s="131"/>
      <c r="X555" s="194" t="str">
        <f t="shared" si="3"/>
        <v>2025-01-07T08:00:00</v>
      </c>
      <c r="Y555" s="194" t="str">
        <f t="shared" si="4"/>
        <v>08:00</v>
      </c>
      <c r="Z555" s="194" t="str">
        <f>CONCATENATE(TEXT(P555,"YYYY-MM-dd"),"T",,TEXT(Y555+TIME(0,60,0),"HH:mm"),":00")</f>
        <v>2025-01-07T09:00:00</v>
      </c>
      <c r="AA555" s="131"/>
      <c r="AB555" s="194" t="str">
        <f t="shared" si="6"/>
        <v>Judul : Pengembangan Aplikasi Kamus Bahasa Daerah Gorom-Indonesia Berbasis Mobile
Pembimbing : Dr. Arif Rahman, S.Kom., M.T.
Penguji: 
1. H. Suprihatin, S.Si., M.Kom
Waktu : 08.00 - 09.00 WIB
Tempat : Lab Multimedia
Naskah : 
Note : 
- Mengingatkan serta menyerahkan Naskah hardfile  ke dosen pembimbing dan penguji paling lambat 2 hari sebelum ujian
- Teknis Pelaksanaan Ujian dilakukan secara offline sesuai dengan lokasi yang tertera di undangan ini</v>
      </c>
      <c r="AC555" s="131"/>
    </row>
    <row r="556" ht="22.5" customHeight="1">
      <c r="A556" s="107">
        <v>2021.0</v>
      </c>
      <c r="B556" s="131"/>
      <c r="C556" s="214">
        <v>45651.91653119213</v>
      </c>
      <c r="D556" s="131" t="s">
        <v>2613</v>
      </c>
      <c r="E556" s="315">
        <v>2.100016097E9</v>
      </c>
      <c r="F556" s="131" t="s">
        <v>2614</v>
      </c>
      <c r="G556" s="131" t="s">
        <v>2615</v>
      </c>
      <c r="H556" s="131" t="s">
        <v>2616</v>
      </c>
      <c r="I556" s="131" t="s">
        <v>399</v>
      </c>
      <c r="J556" s="131" t="s">
        <v>747</v>
      </c>
      <c r="K556" s="139"/>
      <c r="L556" s="139"/>
      <c r="M556" s="131"/>
      <c r="N556" s="131"/>
      <c r="O556" s="195" t="s">
        <v>2617</v>
      </c>
      <c r="P556" s="140">
        <v>45660.0</v>
      </c>
      <c r="Q556" s="134" t="s">
        <v>767</v>
      </c>
      <c r="R556" s="139"/>
      <c r="S556" s="131"/>
      <c r="T556" s="131"/>
      <c r="U556" s="131"/>
      <c r="V556" s="138" t="s">
        <v>316</v>
      </c>
      <c r="W556" s="131"/>
      <c r="X556" s="194" t="str">
        <f t="shared" si="3"/>
        <v>2025-01-03T09:00:00</v>
      </c>
      <c r="Y556" s="194" t="str">
        <f t="shared" si="4"/>
        <v>09:00</v>
      </c>
      <c r="Z556" s="194" t="str">
        <f>CONCATENATE(TEXT(P556,"YYYY-MM-dd"),"T",,TEXT(Y556+TIME(0,30,0),"HH:mm"),":00")</f>
        <v>2025-01-03T09:30:00</v>
      </c>
      <c r="AA556" s="131"/>
      <c r="AB556" s="194" t="str">
        <f t="shared" si="6"/>
        <v>Judul : Segmentasi Pelanggan pada Bisnis Ritel Menggunakan Model RFM Studi Kasus Coffee Shop Threeone Indonesia
Pembimbing : Iwan Tri Riyadi Yanto, S.Si., M.IT, Ph.D.
Penguji: 
1. Dr. Mursid Wahyu Hananto, S.Si., M.Kom.
Waktu : 09.00 - 10.00 WIB
Tempat : Lab Multimedia
Naskah : 
Note : 
- Mengingatkan serta menyerahkan Naskah hardfile  ke dosen pembimbing dan penguji paling lambat 2 hari sebelum ujian
- Teknis Pelaksanaan Ujian dilakukan secara offline sesuai dengan lokasi yang tertera di undangan ini</v>
      </c>
      <c r="AC556" s="131"/>
    </row>
    <row r="557" ht="21.75" customHeight="1">
      <c r="A557" s="107">
        <v>2021.0</v>
      </c>
      <c r="B557" s="131"/>
      <c r="C557" s="214">
        <v>45653.46323221065</v>
      </c>
      <c r="D557" s="131" t="s">
        <v>2618</v>
      </c>
      <c r="E557" s="315">
        <v>2.100016032E9</v>
      </c>
      <c r="F557" s="131" t="s">
        <v>2619</v>
      </c>
      <c r="G557" s="131" t="s">
        <v>2620</v>
      </c>
      <c r="H557" s="131" t="s">
        <v>2621</v>
      </c>
      <c r="I557" s="131" t="s">
        <v>399</v>
      </c>
      <c r="J557" s="131" t="s">
        <v>39</v>
      </c>
      <c r="K557" s="139"/>
      <c r="L557" s="139"/>
      <c r="M557" s="131"/>
      <c r="N557" s="131"/>
      <c r="O557" s="195" t="s">
        <v>703</v>
      </c>
      <c r="P557" s="140">
        <v>45666.0</v>
      </c>
      <c r="Q557" s="134" t="s">
        <v>680</v>
      </c>
      <c r="R557" s="139"/>
      <c r="S557" s="131"/>
      <c r="T557" s="131"/>
      <c r="U557" s="131"/>
      <c r="V557" s="138" t="s">
        <v>316</v>
      </c>
      <c r="W557" s="131"/>
      <c r="X557" s="194" t="str">
        <f t="shared" si="3"/>
        <v>2025-01-09T08:00:00</v>
      </c>
      <c r="Y557" s="194" t="str">
        <f t="shared" si="4"/>
        <v>08:00</v>
      </c>
      <c r="Z557" s="194" t="str">
        <f t="shared" ref="Z557:Z558" si="7">CONCATENATE(TEXT(P557,"YYYY-MM-dd"),"T",,TEXT(Y557+TIME(0,60,0),"HH:mm"),":00")</f>
        <v>2025-01-09T09:00:00</v>
      </c>
      <c r="AA557" s="131"/>
      <c r="AB557" s="194" t="str">
        <f t="shared" si="6"/>
        <v>Judul : Pengembangan Sistem Informasi Organisasi Kepemudaan Berbasis Web Menggunakan Metode Waterfall Studi Kasus: Pemuda-Pemudi Serba Guna (PPSG) Candisingo
Pembimbing : Dr. Arif Rahman, S.Kom., M.T.
Penguji: 
1. Farid Suryanto, S.Pd., M.T.
Waktu : 08.00 - 09.00 WIB
Tempat : Lab Multimedia
Naskah : 
Note : 
- Mengingatkan serta menyerahkan Naskah hardfile  ke dosen pembimbing dan penguji paling lambat 2 hari sebelum ujian
- Teknis Pelaksanaan Ujian dilakukan secara offline sesuai dengan lokasi yang tertera di undangan ini</v>
      </c>
      <c r="AC557" s="131"/>
    </row>
    <row r="558" ht="19.5" customHeight="1">
      <c r="A558" s="107">
        <v>2021.0</v>
      </c>
      <c r="B558" s="131"/>
      <c r="C558" s="214">
        <v>45653.46334853009</v>
      </c>
      <c r="D558" s="131" t="s">
        <v>2622</v>
      </c>
      <c r="E558" s="315">
        <v>2.100016062E9</v>
      </c>
      <c r="F558" s="131" t="s">
        <v>2623</v>
      </c>
      <c r="G558" s="131" t="s">
        <v>2624</v>
      </c>
      <c r="H558" s="131" t="s">
        <v>2625</v>
      </c>
      <c r="I558" s="131" t="s">
        <v>399</v>
      </c>
      <c r="J558" s="131" t="s">
        <v>39</v>
      </c>
      <c r="K558" s="139"/>
      <c r="L558" s="139"/>
      <c r="M558" s="131"/>
      <c r="N558" s="131"/>
      <c r="O558" s="195" t="s">
        <v>703</v>
      </c>
      <c r="P558" s="140">
        <v>45666.0</v>
      </c>
      <c r="Q558" s="134" t="s">
        <v>772</v>
      </c>
      <c r="R558" s="139"/>
      <c r="S558" s="131"/>
      <c r="T558" s="131"/>
      <c r="U558" s="131"/>
      <c r="V558" s="138" t="s">
        <v>316</v>
      </c>
      <c r="W558" s="131"/>
      <c r="X558" s="194" t="str">
        <f t="shared" si="3"/>
        <v>2025-01-09T10:00:00</v>
      </c>
      <c r="Y558" s="194" t="str">
        <f t="shared" si="4"/>
        <v>10:00</v>
      </c>
      <c r="Z558" s="194" t="str">
        <f t="shared" si="7"/>
        <v>2025-01-09T11:00:00</v>
      </c>
      <c r="AA558" s="131"/>
      <c r="AB558" s="194" t="str">
        <f t="shared" si="6"/>
        <v>Judul : Pengembangan Sistem Manajemen Tiket Online Terintegrasi dengan Payment Gateway Studi Kasus Taman Nasional Alas Purwo Banyuwangi
Pembimbing : Dr. Arif Rahman, S.Kom., M.T.
Penguji: 
1. Farid Suryanto, S.Pd., M.T.
Waktu : 10.00 - 11.00 WIB
Tempat : Lab Multimedia
Naskah : 
Note : 
- Mengingatkan serta menyerahkan Naskah hardfile  ke dosen pembimbing dan penguji paling lambat 2 hari sebelum ujian
- Teknis Pelaksanaan Ujian dilakukan secara offline sesuai dengan lokasi yang tertera di undangan ini</v>
      </c>
      <c r="AC558" s="131"/>
    </row>
    <row r="559" ht="20.25" customHeight="1">
      <c r="A559" s="107">
        <v>2021.0</v>
      </c>
      <c r="B559" s="131"/>
      <c r="C559" s="214">
        <v>45656.0441829051</v>
      </c>
      <c r="D559" s="131" t="s">
        <v>2626</v>
      </c>
      <c r="E559" s="315">
        <v>2.111016052E9</v>
      </c>
      <c r="F559" s="131" t="s">
        <v>2627</v>
      </c>
      <c r="G559" s="131" t="s">
        <v>2628</v>
      </c>
      <c r="H559" s="131" t="s">
        <v>2629</v>
      </c>
      <c r="I559" s="131" t="s">
        <v>399</v>
      </c>
      <c r="J559" s="131" t="s">
        <v>183</v>
      </c>
      <c r="K559" s="139"/>
      <c r="L559" s="139"/>
      <c r="M559" s="131"/>
      <c r="N559" s="131"/>
      <c r="O559" s="195" t="s">
        <v>2630</v>
      </c>
      <c r="P559" s="140">
        <v>45660.0</v>
      </c>
      <c r="Q559" s="134" t="s">
        <v>689</v>
      </c>
      <c r="R559" s="139"/>
      <c r="S559" s="131"/>
      <c r="T559" s="131"/>
      <c r="U559" s="131"/>
      <c r="V559" s="138" t="s">
        <v>316</v>
      </c>
      <c r="W559" s="131"/>
      <c r="X559" s="194" t="str">
        <f t="shared" si="3"/>
        <v>2025-01-03T13:00:00</v>
      </c>
      <c r="Y559" s="194" t="str">
        <f t="shared" si="4"/>
        <v>13:00</v>
      </c>
      <c r="Z559" s="194" t="str">
        <f t="shared" ref="Z559:Z560" si="8">CONCATENATE(TEXT(P559,"YYYY-MM-dd"),"T",,TEXT(Y559+TIME(0,30,0),"HH:mm"),":00")</f>
        <v>2025-01-03T13:30:00</v>
      </c>
      <c r="AA559" s="131"/>
      <c r="AB559" s="194" t="str">
        <f t="shared" si="6"/>
        <v>Judul : Redesign Sistem Informasi Manajemen Ruang (SIMERU) Universitas Ahmad Dahlan menggunakan metode Design Thinking
Pembimbing : Sri Handayaningsih, ST., MT.
Penguji: 
1. Imam Azhari, S.Si., M.CS
Waktu : 13.00 - 14.00 WIB
Tempat : Lab Multimedia
Naskah : 
Note : 
- Mengingatkan serta menyerahkan Naskah hardfile  ke dosen pembimbing dan penguji paling lambat 2 hari sebelum ujian
- Teknis Pelaksanaan Ujian dilakukan secara offline sesuai dengan lokasi yang tertera di undangan ini</v>
      </c>
      <c r="AC559" s="131"/>
    </row>
    <row r="560" ht="19.5" customHeight="1">
      <c r="A560" s="107">
        <v>2021.0</v>
      </c>
      <c r="B560" s="131"/>
      <c r="C560" s="214">
        <v>45653.702926527774</v>
      </c>
      <c r="D560" s="131" t="s">
        <v>2631</v>
      </c>
      <c r="E560" s="315">
        <v>2.100016086E9</v>
      </c>
      <c r="F560" s="131" t="s">
        <v>2632</v>
      </c>
      <c r="G560" s="131" t="s">
        <v>2633</v>
      </c>
      <c r="H560" s="131" t="s">
        <v>2634</v>
      </c>
      <c r="I560" s="131" t="s">
        <v>399</v>
      </c>
      <c r="J560" s="131" t="s">
        <v>39</v>
      </c>
      <c r="K560" s="139"/>
      <c r="L560" s="139"/>
      <c r="M560" s="131"/>
      <c r="N560" s="131"/>
      <c r="O560" s="195" t="s">
        <v>2635</v>
      </c>
      <c r="P560" s="140"/>
      <c r="Q560" s="134" t="s">
        <v>2558</v>
      </c>
      <c r="R560" s="139"/>
      <c r="S560" s="131"/>
      <c r="T560" s="131"/>
      <c r="U560" s="131"/>
      <c r="V560" s="138" t="s">
        <v>316</v>
      </c>
      <c r="W560" s="131"/>
      <c r="X560" s="194" t="str">
        <f t="shared" si="3"/>
        <v>1899-12-30T07:30:00</v>
      </c>
      <c r="Y560" s="194" t="str">
        <f t="shared" si="4"/>
        <v>07:30</v>
      </c>
      <c r="Z560" s="194" t="str">
        <f t="shared" si="8"/>
        <v>1899-12-30T08:00:00</v>
      </c>
      <c r="AA560" s="131"/>
      <c r="AB560" s="194" t="str">
        <f t="shared" si="6"/>
        <v>Judul : Pengembangan Aplikasi Pengelolaan
Sampah Berbasis Android
Studi Kasus Bank Sampah Kalurahan Caturharjo Bantul
Pembimbing : Dr. Arif Rahman, S.Kom., M.T.
Penguji: 
1. Prof. Dr. Ir. H. Imam Riadi, M.Kom
Waktu : 07.30 - 08.00 WIB
Tempat : Lab Multimedia
Naskah : 
Note : 
- Mengingatkan serta menyerahkan Naskah hardfile  ke dosen pembimbing dan penguji paling lambat 2 hari sebelum ujian
- Teknis Pelaksanaan Ujian dilakukan secara offline sesuai dengan lokasi yang tertera di undangan ini</v>
      </c>
      <c r="AC560" s="131"/>
    </row>
    <row r="561" ht="21.0" customHeight="1">
      <c r="A561" s="107">
        <v>2021.0</v>
      </c>
      <c r="B561" s="131"/>
      <c r="C561" s="214">
        <v>45653.796328634264</v>
      </c>
      <c r="D561" s="131" t="s">
        <v>2636</v>
      </c>
      <c r="E561" s="315">
        <v>2.100016094E9</v>
      </c>
      <c r="F561" s="131" t="s">
        <v>2637</v>
      </c>
      <c r="G561" s="131" t="s">
        <v>2638</v>
      </c>
      <c r="H561" s="131" t="s">
        <v>2639</v>
      </c>
      <c r="I561" s="131" t="s">
        <v>399</v>
      </c>
      <c r="J561" s="131" t="s">
        <v>747</v>
      </c>
      <c r="K561" s="139"/>
      <c r="L561" s="139"/>
      <c r="M561" s="131"/>
      <c r="N561" s="131"/>
      <c r="O561" s="195" t="s">
        <v>2630</v>
      </c>
      <c r="P561" s="140">
        <v>45663.0</v>
      </c>
      <c r="Q561" s="134" t="s">
        <v>680</v>
      </c>
      <c r="R561" s="139"/>
      <c r="S561" s="131"/>
      <c r="T561" s="131"/>
      <c r="U561" s="131"/>
      <c r="V561" s="138" t="s">
        <v>316</v>
      </c>
      <c r="W561" s="131"/>
      <c r="X561" s="194" t="str">
        <f t="shared" si="3"/>
        <v>2025-01-06T08:00:00</v>
      </c>
      <c r="Y561" s="194" t="str">
        <f t="shared" si="4"/>
        <v>08:00</v>
      </c>
      <c r="Z561" s="194" t="str">
        <f t="shared" ref="Z561:Z583" si="9">CONCATENATE(TEXT(P561,"YYYY-MM-dd"),"T",,TEXT(Y561+TIME(0,60,0),"HH:mm"),":00")</f>
        <v>2025-01-06T09:00:00</v>
      </c>
      <c r="AA561" s="131"/>
      <c r="AB561" s="194" t="str">
        <f t="shared" si="6"/>
        <v>Judul : Analisis Persepsi Masyarakat Melalui Media
Sosial X Terhadap Perpindahan Ibu Kota
Indonesia Menggunakan Text Mining
Pembimbing : Iwan Tri Riyadi Yanto, S.Si., M.IT, Ph.D.
Penguji: 
1. Imam Azhari, S.Si., M.CS
Waktu : 08.00 - 09.00 WIB
Tempat : Lab Multimedia
Naskah : 
Note : 
- Mengingatkan serta menyerahkan Naskah hardfile  ke dosen pembimbing dan penguji paling lambat 2 hari sebelum ujian
- Teknis Pelaksanaan Ujian dilakukan secara offline sesuai dengan lokasi yang tertera di undangan ini</v>
      </c>
      <c r="AC561" s="131"/>
    </row>
    <row r="562" ht="25.5" customHeight="1">
      <c r="A562" s="107">
        <v>2021.0</v>
      </c>
      <c r="B562" s="131"/>
      <c r="C562" s="214">
        <v>45653.796498773154</v>
      </c>
      <c r="D562" s="131" t="s">
        <v>2640</v>
      </c>
      <c r="E562" s="315">
        <v>2.100016113E9</v>
      </c>
      <c r="F562" s="131" t="s">
        <v>2641</v>
      </c>
      <c r="G562" s="131" t="s">
        <v>2642</v>
      </c>
      <c r="H562" s="131" t="s">
        <v>2643</v>
      </c>
      <c r="I562" s="131" t="s">
        <v>399</v>
      </c>
      <c r="J562" s="131" t="s">
        <v>747</v>
      </c>
      <c r="K562" s="139"/>
      <c r="L562" s="139"/>
      <c r="M562" s="131"/>
      <c r="N562" s="131"/>
      <c r="O562" s="195" t="s">
        <v>2630</v>
      </c>
      <c r="P562" s="140">
        <v>45663.0</v>
      </c>
      <c r="Q562" s="134" t="s">
        <v>767</v>
      </c>
      <c r="R562" s="139"/>
      <c r="S562" s="131"/>
      <c r="T562" s="131"/>
      <c r="U562" s="131"/>
      <c r="V562" s="138" t="s">
        <v>316</v>
      </c>
      <c r="W562" s="131"/>
      <c r="X562" s="194" t="str">
        <f t="shared" si="3"/>
        <v>2025-01-06T09:00:00</v>
      </c>
      <c r="Y562" s="194" t="str">
        <f t="shared" si="4"/>
        <v>09:00</v>
      </c>
      <c r="Z562" s="194" t="str">
        <f t="shared" si="9"/>
        <v>2025-01-06T10:00:00</v>
      </c>
      <c r="AA562" s="131"/>
      <c r="AB562" s="194" t="str">
        <f t="shared" si="6"/>
        <v>Judul : Literasi Masyarakat Terhadap Pinjaman Online ( PINJOL )
Studi Kasus Analisis Sentiment Masyarakat Terhadap Ketertarikan Pinjaman Online di Indonesia
Pembimbing : Iwan Tri Riyadi Yanto, S.Si., M.IT, Ph.D.
Penguji: 
1. Imam Azhari, S.Si., M.CS
Waktu : 09.00 - 10.00 WIB
Tempat : Lab Multimedia
Naskah : 
Note : 
- Mengingatkan serta menyerahkan Naskah hardfile  ke dosen pembimbing dan penguji paling lambat 2 hari sebelum ujian
- Teknis Pelaksanaan Ujian dilakukan secara offline sesuai dengan lokasi yang tertera di undangan ini</v>
      </c>
      <c r="AC562" s="131"/>
    </row>
    <row r="563" ht="30.75" customHeight="1">
      <c r="A563" s="107">
        <v>2021.0</v>
      </c>
      <c r="B563" s="131"/>
      <c r="C563" s="214">
        <v>45654.424988125</v>
      </c>
      <c r="D563" s="131" t="s">
        <v>2644</v>
      </c>
      <c r="E563" s="315">
        <v>2.10001606E9</v>
      </c>
      <c r="F563" s="131" t="s">
        <v>2645</v>
      </c>
      <c r="G563" s="131" t="s">
        <v>2646</v>
      </c>
      <c r="H563" s="131" t="s">
        <v>2647</v>
      </c>
      <c r="I563" s="131" t="s">
        <v>399</v>
      </c>
      <c r="J563" s="131" t="s">
        <v>747</v>
      </c>
      <c r="K563" s="139"/>
      <c r="L563" s="139"/>
      <c r="M563" s="131"/>
      <c r="N563" s="131"/>
      <c r="O563" s="195" t="s">
        <v>2612</v>
      </c>
      <c r="P563" s="140">
        <v>45660.0</v>
      </c>
      <c r="Q563" s="134" t="s">
        <v>772</v>
      </c>
      <c r="R563" s="139"/>
      <c r="S563" s="131"/>
      <c r="T563" s="131"/>
      <c r="U563" s="131"/>
      <c r="V563" s="138" t="s">
        <v>316</v>
      </c>
      <c r="W563" s="131"/>
      <c r="X563" s="194" t="str">
        <f t="shared" si="3"/>
        <v>2025-01-03T10:00:00</v>
      </c>
      <c r="Y563" s="194" t="str">
        <f t="shared" si="4"/>
        <v>10:00</v>
      </c>
      <c r="Z563" s="194" t="str">
        <f t="shared" si="9"/>
        <v>2025-01-03T11:00:00</v>
      </c>
      <c r="AA563" s="131"/>
      <c r="AB563" s="194" t="str">
        <f t="shared" si="6"/>
        <v>Judul : Analisis Sentimen Masyarakat Terhadap Kebijakan Pembatasan Pembelian BBM Bersubsidi di Media Sosial Menggunakan Metode Text Mining 
Pembimbing : Iwan Tri Riyadi Yanto, S.Si., M.IT, Ph.D.
Penguji: 
1. H. Suprihatin, S.Si., M.Kom
Waktu : 10.00 - 11.00 WIB
Tempat : Lab Multimedia
Naskah : 
Note : 
- Mengingatkan serta menyerahkan Naskah hardfile  ke dosen pembimbing dan penguji paling lambat 2 hari sebelum ujian
- Teknis Pelaksanaan Ujian dilakukan secara offline sesuai dengan lokasi yang tertera di undangan ini</v>
      </c>
      <c r="AC563" s="131"/>
    </row>
    <row r="564" ht="30.75" customHeight="1">
      <c r="A564" s="107">
        <v>2021.0</v>
      </c>
      <c r="B564" s="131"/>
      <c r="C564" s="214">
        <v>45654.45157503472</v>
      </c>
      <c r="D564" s="131" t="s">
        <v>2648</v>
      </c>
      <c r="E564" s="315">
        <v>2.100016107E9</v>
      </c>
      <c r="F564" s="131" t="s">
        <v>2649</v>
      </c>
      <c r="G564" s="131" t="s">
        <v>2650</v>
      </c>
      <c r="H564" s="131" t="s">
        <v>2651</v>
      </c>
      <c r="I564" s="131" t="s">
        <v>399</v>
      </c>
      <c r="J564" s="131" t="s">
        <v>747</v>
      </c>
      <c r="K564" s="139"/>
      <c r="L564" s="139"/>
      <c r="M564" s="131"/>
      <c r="N564" s="131"/>
      <c r="O564" s="195" t="s">
        <v>2630</v>
      </c>
      <c r="P564" s="140">
        <v>45663.0</v>
      </c>
      <c r="Q564" s="134" t="s">
        <v>772</v>
      </c>
      <c r="R564" s="139"/>
      <c r="S564" s="131"/>
      <c r="T564" s="131"/>
      <c r="U564" s="131"/>
      <c r="V564" s="138" t="s">
        <v>316</v>
      </c>
      <c r="W564" s="131"/>
      <c r="X564" s="194" t="str">
        <f t="shared" si="3"/>
        <v>2025-01-06T10:00:00</v>
      </c>
      <c r="Y564" s="194" t="str">
        <f t="shared" si="4"/>
        <v>10:00</v>
      </c>
      <c r="Z564" s="194" t="str">
        <f t="shared" si="9"/>
        <v>2025-01-06T11:00:00</v>
      </c>
      <c r="AA564" s="131"/>
      <c r="AB564" s="194" t="str">
        <f t="shared" si="6"/>
        <v>Judul : Analisis Persepsi Masyarakat terhadap
Penggunaan QRIS di Media Sosial X dengan
Pendekatan Text Mining: TextBlob dan Latent
Dirichlet Allocation (LDA)
Pembimbing : Iwan Tri Riyadi Yanto, S.Si., M.IT, Ph.D.
Penguji: 
1. Imam Azhari, S.Si., M.CS
Waktu : 10.00 - 11.00 WIB
Tempat : Lab Multimedia
Naskah : 
Note : 
- Mengingatkan serta menyerahkan Naskah hardfile  ke dosen pembimbing dan penguji paling lambat 2 hari sebelum ujian
- Teknis Pelaksanaan Ujian dilakukan secara offline sesuai dengan lokasi yang tertera di undangan ini</v>
      </c>
      <c r="AC564" s="131"/>
    </row>
    <row r="565" ht="23.25" customHeight="1">
      <c r="A565" s="107">
        <v>2021.0</v>
      </c>
      <c r="B565" s="131"/>
      <c r="C565" s="214">
        <v>45656.48075332176</v>
      </c>
      <c r="D565" s="131" t="s">
        <v>2652</v>
      </c>
      <c r="E565" s="315">
        <v>2.100016055E9</v>
      </c>
      <c r="F565" s="131" t="s">
        <v>2653</v>
      </c>
      <c r="G565" s="131" t="s">
        <v>2654</v>
      </c>
      <c r="H565" s="131" t="s">
        <v>2655</v>
      </c>
      <c r="I565" s="131" t="s">
        <v>399</v>
      </c>
      <c r="J565" s="131" t="s">
        <v>39</v>
      </c>
      <c r="K565" s="139"/>
      <c r="L565" s="139"/>
      <c r="M565" s="131"/>
      <c r="N565" s="131"/>
      <c r="O565" s="195" t="s">
        <v>2630</v>
      </c>
      <c r="P565" s="140">
        <v>45664.0</v>
      </c>
      <c r="Q565" s="134" t="s">
        <v>1552</v>
      </c>
      <c r="R565" s="139"/>
      <c r="S565" s="131"/>
      <c r="T565" s="131"/>
      <c r="U565" s="131"/>
      <c r="V565" s="138" t="s">
        <v>316</v>
      </c>
      <c r="W565" s="131"/>
      <c r="X565" s="194" t="str">
        <f t="shared" si="3"/>
        <v>2025-01-07T13:00:00</v>
      </c>
      <c r="Y565" s="194" t="str">
        <f t="shared" si="4"/>
        <v>13:00</v>
      </c>
      <c r="Z565" s="194" t="str">
        <f t="shared" si="9"/>
        <v>2025-01-07T14:00:00</v>
      </c>
      <c r="AA565" s="131"/>
      <c r="AB565" s="194" t="str">
        <f t="shared" si="6"/>
        <v>Judul : Perancangan Prototipe UI/UX Sistem 
Informasi Penagihan Retribusi Berbasis Web 
dengan Metode Design Thinking
Studi Kasus: PD Pasar Lapulu
Pembimbing : Dr. Arif Rahman, S.Kom., M.T.
Penguji: 
1. Imam Azhari, S.Si., M.CS
Waktu : 13.00 - 13.45 WIB
Tempat : Lab Multimedia
Naskah : 
Note : 
- Mengingatkan serta menyerahkan Naskah hardfile  ke dosen pembimbing dan penguji paling lambat 2 hari sebelum ujian
- Teknis Pelaksanaan Ujian dilakukan secara offline sesuai dengan lokasi yang tertera di undangan ini</v>
      </c>
      <c r="AC565" s="131"/>
    </row>
    <row r="566" ht="27.0" customHeight="1">
      <c r="A566" s="107">
        <v>2021.0</v>
      </c>
      <c r="B566" s="131"/>
      <c r="C566" s="214">
        <v>45657.446426874994</v>
      </c>
      <c r="D566" s="131" t="s">
        <v>2656</v>
      </c>
      <c r="E566" s="315">
        <v>2.100016099E9</v>
      </c>
      <c r="F566" s="131" t="s">
        <v>2657</v>
      </c>
      <c r="G566" s="131" t="s">
        <v>2658</v>
      </c>
      <c r="H566" s="131" t="s">
        <v>2659</v>
      </c>
      <c r="I566" s="131" t="s">
        <v>399</v>
      </c>
      <c r="J566" s="131" t="s">
        <v>117</v>
      </c>
      <c r="K566" s="139"/>
      <c r="L566" s="139"/>
      <c r="M566" s="131"/>
      <c r="N566" s="131"/>
      <c r="O566" s="195" t="s">
        <v>703</v>
      </c>
      <c r="P566" s="140">
        <v>45660.0</v>
      </c>
      <c r="Q566" s="134" t="s">
        <v>895</v>
      </c>
      <c r="R566" s="139"/>
      <c r="S566" s="131"/>
      <c r="T566" s="131"/>
      <c r="U566" s="131"/>
      <c r="V566" s="138" t="s">
        <v>316</v>
      </c>
      <c r="W566" s="131"/>
      <c r="X566" s="194" t="str">
        <f t="shared" si="3"/>
        <v>2025-01-03T14:00:00</v>
      </c>
      <c r="Y566" s="194" t="str">
        <f t="shared" si="4"/>
        <v>14:00</v>
      </c>
      <c r="Z566" s="194" t="str">
        <f t="shared" si="9"/>
        <v>2025-01-03T15:00:00</v>
      </c>
      <c r="AA566" s="131"/>
      <c r="AB566" s="194" t="str">
        <f t="shared" si="6"/>
        <v>Judul : Rancang Prototipe Aplikasi Repositori Tugas Akhir Berbasis Web Menggunakan Metode Design Thinking
Pembimbing : Imam Azhari, S.Si., M.Cs.
Penguji: 
1. Farid Suryanto, S.Pd., M.T.
Waktu : 14.00 - 15.00 WIB
Tempat : Lab Multimedia
Naskah : 
Note : 
- Mengingatkan serta menyerahkan Naskah hardfile  ke dosen pembimbing dan penguji paling lambat 2 hari sebelum ujian
- Teknis Pelaksanaan Ujian dilakukan secara offline sesuai dengan lokasi yang tertera di undangan ini</v>
      </c>
      <c r="AC566" s="131"/>
    </row>
    <row r="567" ht="27.0" customHeight="1">
      <c r="A567" s="107">
        <v>2021.0</v>
      </c>
      <c r="B567" s="131"/>
      <c r="C567" s="214">
        <v>45657.53574313658</v>
      </c>
      <c r="D567" s="131" t="s">
        <v>2660</v>
      </c>
      <c r="E567" s="315">
        <v>2.100016061E9</v>
      </c>
      <c r="F567" s="131" t="s">
        <v>2661</v>
      </c>
      <c r="G567" s="131" t="s">
        <v>2662</v>
      </c>
      <c r="H567" s="131" t="s">
        <v>2663</v>
      </c>
      <c r="I567" s="131" t="s">
        <v>399</v>
      </c>
      <c r="J567" s="107" t="s">
        <v>27</v>
      </c>
      <c r="K567" s="139"/>
      <c r="L567" s="139"/>
      <c r="M567" s="131"/>
      <c r="N567" s="131"/>
      <c r="O567" s="195" t="s">
        <v>703</v>
      </c>
      <c r="P567" s="140">
        <v>45665.0</v>
      </c>
      <c r="Q567" s="134" t="s">
        <v>1033</v>
      </c>
      <c r="R567" s="139"/>
      <c r="S567" s="131"/>
      <c r="T567" s="131"/>
      <c r="U567" s="131"/>
      <c r="V567" s="138" t="s">
        <v>316</v>
      </c>
      <c r="W567" s="131"/>
      <c r="X567" s="194" t="str">
        <f t="shared" si="3"/>
        <v>2025-01-08T08:00:00</v>
      </c>
      <c r="Y567" s="194" t="str">
        <f t="shared" si="4"/>
        <v>08:00</v>
      </c>
      <c r="Z567" s="194" t="str">
        <f t="shared" si="9"/>
        <v>2025-01-08T09:00:00</v>
      </c>
      <c r="AA567" s="131"/>
      <c r="AB567" s="194" t="str">
        <f t="shared" si="6"/>
        <v>Judul : Analisis Manajemen Risiko pada Back Office Hotel Garrya Bianti Menggunakan ISO 31000
Pembimbing : Prof. Dr. Ir. H. Imam Riadi, S.Pd., M.Kom.
Penguji: 
1. Farid Suryanto, S.Pd., M.T.
Waktu : 08.00 - 08.30 WIB
Tempat : Lab Multimedia
Naskah : 
Note : 
- Mengingatkan serta menyerahkan Naskah hardfile  ke dosen pembimbing dan penguji paling lambat 2 hari sebelum ujian
- Teknis Pelaksanaan Ujian dilakukan secara offline sesuai dengan lokasi yang tertera di undangan ini</v>
      </c>
      <c r="AC567" s="131"/>
    </row>
    <row r="568" ht="27.0" customHeight="1">
      <c r="A568" s="107">
        <v>2021.0</v>
      </c>
      <c r="B568" s="131"/>
      <c r="C568" s="214">
        <v>45657.668684282406</v>
      </c>
      <c r="D568" s="131" t="s">
        <v>2664</v>
      </c>
      <c r="E568" s="315">
        <v>2.100016051E9</v>
      </c>
      <c r="F568" s="131" t="s">
        <v>2665</v>
      </c>
      <c r="G568" s="131" t="s">
        <v>2666</v>
      </c>
      <c r="H568" s="131" t="s">
        <v>2667</v>
      </c>
      <c r="I568" s="131" t="s">
        <v>399</v>
      </c>
      <c r="J568" s="131" t="s">
        <v>39</v>
      </c>
      <c r="K568" s="139"/>
      <c r="L568" s="139"/>
      <c r="M568" s="131"/>
      <c r="N568" s="131"/>
      <c r="O568" s="195" t="s">
        <v>2612</v>
      </c>
      <c r="P568" s="140">
        <v>45667.0</v>
      </c>
      <c r="Q568" s="326" t="s">
        <v>680</v>
      </c>
      <c r="R568" s="139"/>
      <c r="S568" s="131"/>
      <c r="T568" s="131"/>
      <c r="U568" s="131"/>
      <c r="V568" s="138" t="s">
        <v>316</v>
      </c>
      <c r="W568" s="131"/>
      <c r="X568" s="194" t="str">
        <f t="shared" si="3"/>
        <v>2025-01-10T08:00:00</v>
      </c>
      <c r="Y568" s="194" t="str">
        <f t="shared" si="4"/>
        <v>08:00</v>
      </c>
      <c r="Z568" s="194" t="str">
        <f t="shared" si="9"/>
        <v>2025-01-10T09:00:00</v>
      </c>
      <c r="AA568" s="131"/>
      <c r="AB568" s="194" t="str">
        <f t="shared" si="6"/>
        <v>Judul : Pengembangan Frontend Sistem Penilaian Kinerja Karyawan di Perusahaan Bytelogic Menggunakan Metode Waterfall
Pembimbing : Dr. Arif Rahman, S.Kom., M.T.
Penguji: 
1. H. Suprihatin, S.Si., M.Kom
Waktu : 08.00 - 09.00 WIB
Tempat : Lab Multimedia
Naskah : 
Note : 
- Mengingatkan serta menyerahkan Naskah hardfile  ke dosen pembimbing dan penguji paling lambat 2 hari sebelum ujian
- Teknis Pelaksanaan Ujian dilakukan secara offline sesuai dengan lokasi yang tertera di undangan ini</v>
      </c>
      <c r="AC568" s="131"/>
    </row>
    <row r="569" ht="27.0" customHeight="1">
      <c r="A569" s="107">
        <v>2021.0</v>
      </c>
      <c r="B569" s="131"/>
      <c r="C569" s="214">
        <v>45659.900737662036</v>
      </c>
      <c r="D569" s="131" t="s">
        <v>2668</v>
      </c>
      <c r="E569" s="315">
        <v>2.100016033E9</v>
      </c>
      <c r="F569" s="131" t="s">
        <v>2669</v>
      </c>
      <c r="G569" s="131" t="s">
        <v>2670</v>
      </c>
      <c r="H569" s="131" t="s">
        <v>2671</v>
      </c>
      <c r="I569" s="131" t="s">
        <v>399</v>
      </c>
      <c r="J569" s="131" t="s">
        <v>117</v>
      </c>
      <c r="K569" s="139"/>
      <c r="L569" s="139"/>
      <c r="M569" s="131"/>
      <c r="N569" s="131"/>
      <c r="O569" s="195" t="s">
        <v>2672</v>
      </c>
      <c r="P569" s="140">
        <v>45667.0</v>
      </c>
      <c r="Q569" s="134" t="s">
        <v>689</v>
      </c>
      <c r="R569" s="139"/>
      <c r="S569" s="131"/>
      <c r="T569" s="131"/>
      <c r="U569" s="131"/>
      <c r="V569" s="138" t="s">
        <v>316</v>
      </c>
      <c r="W569" s="131"/>
      <c r="X569" s="194" t="str">
        <f t="shared" si="3"/>
        <v>2025-01-10T13:00:00</v>
      </c>
      <c r="Y569" s="194" t="str">
        <f t="shared" si="4"/>
        <v>13:00</v>
      </c>
      <c r="Z569" s="194" t="str">
        <f t="shared" si="9"/>
        <v>2025-01-10T14:00:00</v>
      </c>
      <c r="AA569" s="131"/>
      <c r="AB569" s="194" t="str">
        <f t="shared" si="6"/>
        <v>Judul : Analisis Penerimaan Pengguna dan Tingkat Kepuasan Masyarakat Terhadap Sistem Informasi Desa pada Website Daya Asri Menggunakan Technology Acceptance Model (TAM).
Pembimbing : Imam Azhari, S.Si., M.Cs.
Penguji: 
1. Iwan Tri Riyadi Yanto, S.Si., M.I.T., Ph.D
Waktu : 13.00 - 14.00 WIB
Tempat : Lab Multimedia
Naskah : 
Note : 
- Mengingatkan serta menyerahkan Naskah hardfile  ke dosen pembimbing dan penguji paling lambat 2 hari sebelum ujian
- Teknis Pelaksanaan Ujian dilakukan secara offline sesuai dengan lokasi yang tertera di undangan ini</v>
      </c>
      <c r="AC569" s="131"/>
    </row>
    <row r="570" ht="27.0" customHeight="1">
      <c r="A570" s="107">
        <v>2021.0</v>
      </c>
      <c r="B570" s="131"/>
      <c r="C570" s="214">
        <v>45659.93935642361</v>
      </c>
      <c r="D570" s="131" t="s">
        <v>2673</v>
      </c>
      <c r="E570" s="315">
        <v>2.100016126E9</v>
      </c>
      <c r="F570" s="131" t="s">
        <v>2674</v>
      </c>
      <c r="G570" s="131" t="s">
        <v>2675</v>
      </c>
      <c r="H570" s="107" t="s">
        <v>2676</v>
      </c>
      <c r="I570" s="131" t="s">
        <v>399</v>
      </c>
      <c r="J570" s="131" t="s">
        <v>183</v>
      </c>
      <c r="K570" s="139"/>
      <c r="L570" s="139"/>
      <c r="M570" s="131"/>
      <c r="N570" s="131"/>
      <c r="O570" s="195" t="s">
        <v>2612</v>
      </c>
      <c r="P570" s="140">
        <v>45667.0</v>
      </c>
      <c r="Q570" s="134" t="s">
        <v>772</v>
      </c>
      <c r="R570" s="139"/>
      <c r="S570" s="131"/>
      <c r="T570" s="131"/>
      <c r="U570" s="131"/>
      <c r="V570" s="138" t="s">
        <v>316</v>
      </c>
      <c r="W570" s="131"/>
      <c r="X570" s="194" t="str">
        <f t="shared" si="3"/>
        <v>2025-01-10T10:00:00</v>
      </c>
      <c r="Y570" s="194" t="str">
        <f t="shared" si="4"/>
        <v>10:00</v>
      </c>
      <c r="Z570" s="194" t="str">
        <f t="shared" si="9"/>
        <v>2025-01-10T11:00:00</v>
      </c>
      <c r="AA570" s="131"/>
      <c r="AB570" s="194" t="str">
        <f t="shared" si="6"/>
        <v>Judul : Rancangan Sistem Informasi Pengelolaan Peternakan Sapi Berbasis Object Oriented Analysis and Design (OOAD) Studi Kasus Peternakan Sapi Jagad Tani Barokah
Pembimbing : Sri Handayaningsih, ST., MT.
Penguji: 
1. H. Suprihatin, S.Si., M.Kom
Waktu : 10.00 - 11.00 WIB
Tempat : Lab Multimedia
Naskah : 
Note : 
- Mengingatkan serta menyerahkan Naskah hardfile  ke dosen pembimbing dan penguji paling lambat 2 hari sebelum ujian
- Teknis Pelaksanaan Ujian dilakukan secara offline sesuai dengan lokasi yang tertera di undangan ini</v>
      </c>
      <c r="AC570" s="131"/>
    </row>
    <row r="571" ht="27.0" customHeight="1">
      <c r="A571" s="107">
        <v>2021.0</v>
      </c>
      <c r="B571" s="131"/>
      <c r="C571" s="214">
        <v>45659.939614606476</v>
      </c>
      <c r="D571" s="131" t="s">
        <v>2677</v>
      </c>
      <c r="E571" s="315">
        <v>2.115016112E9</v>
      </c>
      <c r="F571" s="131" t="s">
        <v>2678</v>
      </c>
      <c r="G571" s="131" t="s">
        <v>2679</v>
      </c>
      <c r="H571" s="131" t="s">
        <v>2680</v>
      </c>
      <c r="I571" s="131" t="s">
        <v>399</v>
      </c>
      <c r="J571" s="131" t="s">
        <v>183</v>
      </c>
      <c r="K571" s="139"/>
      <c r="L571" s="139"/>
      <c r="M571" s="131"/>
      <c r="N571" s="131"/>
      <c r="O571" s="195" t="s">
        <v>2553</v>
      </c>
      <c r="P571" s="140">
        <v>45667.0</v>
      </c>
      <c r="Q571" s="134" t="s">
        <v>767</v>
      </c>
      <c r="R571" s="139"/>
      <c r="S571" s="131"/>
      <c r="T571" s="131"/>
      <c r="U571" s="131"/>
      <c r="V571" s="138" t="s">
        <v>316</v>
      </c>
      <c r="W571" s="131"/>
      <c r="X571" s="194" t="str">
        <f t="shared" si="3"/>
        <v>2025-01-10T09:00:00</v>
      </c>
      <c r="Y571" s="194" t="str">
        <f t="shared" si="4"/>
        <v>09:00</v>
      </c>
      <c r="Z571" s="194" t="str">
        <f t="shared" si="9"/>
        <v>2025-01-10T10:00:00</v>
      </c>
      <c r="AA571" s="131"/>
      <c r="AB571" s="194" t="str">
        <f t="shared" si="6"/>
        <v>Judul : Perbaikan Desain Proses Bisnis Manajemen Layanan Keuangan Fakultas Menggunakan Metode Business Process Improvement (BPI) Studi Kasus Fakultas Sains dan Teknologi Terapan-UAD
Pembimbing : Sri Handayaningsih, ST., MT.
Penguji: 
1. Tawar, S.Si., M.Kom
Waktu : 09.00 - 10.00 WIB
Tempat : Lab Multimedia
Naskah : 
Note : 
- Mengingatkan serta menyerahkan Naskah hardfile  ke dosen pembimbing dan penguji paling lambat 2 hari sebelum ujian
- Teknis Pelaksanaan Ujian dilakukan secara offline sesuai dengan lokasi yang tertera di undangan ini</v>
      </c>
      <c r="AC571" s="131"/>
    </row>
    <row r="572" ht="27.0" customHeight="1">
      <c r="A572" s="107">
        <v>2021.0</v>
      </c>
      <c r="B572" s="131"/>
      <c r="C572" s="214">
        <v>45660.96273939815</v>
      </c>
      <c r="D572" s="131" t="s">
        <v>2681</v>
      </c>
      <c r="E572" s="315">
        <v>2.10001601E9</v>
      </c>
      <c r="F572" s="131" t="s">
        <v>2682</v>
      </c>
      <c r="G572" s="131" t="s">
        <v>2683</v>
      </c>
      <c r="H572" s="131" t="s">
        <v>2684</v>
      </c>
      <c r="I572" s="131" t="s">
        <v>399</v>
      </c>
      <c r="J572" s="107" t="s">
        <v>703</v>
      </c>
      <c r="K572" s="139"/>
      <c r="L572" s="139"/>
      <c r="M572" s="131"/>
      <c r="N572" s="131"/>
      <c r="O572" s="195" t="s">
        <v>2617</v>
      </c>
      <c r="P572" s="140">
        <v>45670.0</v>
      </c>
      <c r="Q572" s="134" t="s">
        <v>698</v>
      </c>
      <c r="R572" s="139"/>
      <c r="S572" s="131"/>
      <c r="T572" s="131"/>
      <c r="U572" s="131"/>
      <c r="V572" s="138" t="s">
        <v>316</v>
      </c>
      <c r="W572" s="131"/>
      <c r="X572" s="194" t="str">
        <f t="shared" si="3"/>
        <v>2025-01-13T12:30:00</v>
      </c>
      <c r="Y572" s="194" t="str">
        <f t="shared" si="4"/>
        <v>12:30</v>
      </c>
      <c r="Z572" s="194" t="str">
        <f t="shared" si="9"/>
        <v>2025-01-13T13:30:00</v>
      </c>
      <c r="AA572" s="131"/>
      <c r="AB572" s="194" t="str">
        <f t="shared" si="6"/>
        <v>Judul : Perancangan UI/UX Aplikasi Rentalize Untuk Manajemen Persewaan Multiguna
Pembimbing : Farid Suryanto, S.Pd., M.T.
Penguji: 
1. Dr. Mursid Wahyu Hananto, S.Si., M.Kom.
Waktu : 12.30 - 13.30 WIB
Tempat : Lab Multimedia
Naskah : 
Note : 
- Mengingatkan serta menyerahkan Naskah hardfile  ke dosen pembimbing dan penguji paling lambat 2 hari sebelum ujian
- Teknis Pelaksanaan Ujian dilakukan secara offline sesuai dengan lokasi yang tertera di undangan ini</v>
      </c>
      <c r="AC572" s="131"/>
    </row>
    <row r="573" ht="27.0" customHeight="1">
      <c r="A573" s="107">
        <v>2021.0</v>
      </c>
      <c r="B573" s="131"/>
      <c r="C573" s="214">
        <v>45661.295048368054</v>
      </c>
      <c r="D573" s="131" t="s">
        <v>2685</v>
      </c>
      <c r="E573" s="315">
        <v>2.111016046E9</v>
      </c>
      <c r="F573" s="131" t="s">
        <v>2686</v>
      </c>
      <c r="G573" s="131" t="s">
        <v>2687</v>
      </c>
      <c r="H573" s="131" t="s">
        <v>2688</v>
      </c>
      <c r="I573" s="131" t="s">
        <v>399</v>
      </c>
      <c r="J573" s="131" t="s">
        <v>747</v>
      </c>
      <c r="K573" s="139"/>
      <c r="L573" s="139"/>
      <c r="M573" s="131"/>
      <c r="N573" s="131"/>
      <c r="O573" s="195" t="s">
        <v>703</v>
      </c>
      <c r="P573" s="140">
        <v>45670.0</v>
      </c>
      <c r="Q573" s="134" t="s">
        <v>1636</v>
      </c>
      <c r="R573" s="139"/>
      <c r="S573" s="131"/>
      <c r="T573" s="131"/>
      <c r="U573" s="131"/>
      <c r="V573" s="138" t="s">
        <v>316</v>
      </c>
      <c r="W573" s="131"/>
      <c r="X573" s="194" t="str">
        <f t="shared" si="3"/>
        <v>2025-01-13T10:00:00</v>
      </c>
      <c r="Y573" s="194" t="str">
        <f t="shared" si="4"/>
        <v>10:00</v>
      </c>
      <c r="Z573" s="194" t="str">
        <f t="shared" si="9"/>
        <v>2025-01-13T11:00:00</v>
      </c>
      <c r="AA573" s="131"/>
      <c r="AB573" s="194" t="str">
        <f t="shared" si="6"/>
        <v>Judul : Analisis Sentimen Ulasan Pengguna Aplikasi QuranMu dengan Pendekatan Text Mining Pada Sosial Media Muhammadiyah dan Google Play Store
Pembimbing : Iwan Tri Riyadi Yanto, S.Si., M.IT, Ph.D.
Penguji: 
1. Farid Suryanto, S.Pd., M.T.
Waktu : 10.00 - 11.00  WIB
Tempat : Lab Multimedia
Naskah : 
Note : 
- Mengingatkan serta menyerahkan Naskah hardfile  ke dosen pembimbing dan penguji paling lambat 2 hari sebelum ujian
- Teknis Pelaksanaan Ujian dilakukan secara offline sesuai dengan lokasi yang tertera di undangan ini</v>
      </c>
      <c r="AC573" s="131"/>
    </row>
    <row r="574" ht="27.0" customHeight="1">
      <c r="A574" s="107">
        <v>2021.0</v>
      </c>
      <c r="B574" s="131"/>
      <c r="C574" s="214">
        <v>45661.39337521991</v>
      </c>
      <c r="D574" s="131" t="s">
        <v>2689</v>
      </c>
      <c r="E574" s="315">
        <v>2.11101605E9</v>
      </c>
      <c r="F574" s="131" t="s">
        <v>2690</v>
      </c>
      <c r="G574" s="131" t="s">
        <v>2691</v>
      </c>
      <c r="H574" s="131" t="s">
        <v>2692</v>
      </c>
      <c r="I574" s="131" t="s">
        <v>399</v>
      </c>
      <c r="J574" s="107" t="s">
        <v>703</v>
      </c>
      <c r="K574" s="139"/>
      <c r="L574" s="139"/>
      <c r="M574" s="131"/>
      <c r="N574" s="131"/>
      <c r="O574" s="195" t="s">
        <v>2617</v>
      </c>
      <c r="P574" s="140">
        <v>45670.0</v>
      </c>
      <c r="Q574" s="134" t="s">
        <v>1341</v>
      </c>
      <c r="R574" s="139"/>
      <c r="S574" s="131"/>
      <c r="T574" s="131"/>
      <c r="U574" s="131"/>
      <c r="V574" s="138" t="s">
        <v>316</v>
      </c>
      <c r="W574" s="131"/>
      <c r="X574" s="194" t="str">
        <f t="shared" si="3"/>
        <v>2025-01-13T13:30:00</v>
      </c>
      <c r="Y574" s="194" t="str">
        <f t="shared" si="4"/>
        <v>13:30</v>
      </c>
      <c r="Z574" s="194" t="str">
        <f t="shared" si="9"/>
        <v>2025-01-13T14:30:00</v>
      </c>
      <c r="AA574" s="131"/>
      <c r="AB574" s="194" t="str">
        <f t="shared" si="6"/>
        <v>Judul : Perancangan Aplikasi Pembelajaran Adaptif Berbasis Large Language Model (LLM) 
Studi Kasus Pelajaran Bahasa Inggris Sekolah Menengah Pertama
Pembimbing : Farid Suryanto, S.Pd., M.T.
Penguji: 
1. Dr. Mursid Wahyu Hananto, S.Si., M.Kom.
Waktu : 13.30 - 14.30 WIB
Tempat : Lab Multimedia
Naskah : 
Note : 
- Mengingatkan serta menyerahkan Naskah hardfile  ke dosen pembimbing dan penguji paling lambat 2 hari sebelum ujian
- Teknis Pelaksanaan Ujian dilakukan secara offline sesuai dengan lokasi yang tertera di undangan ini</v>
      </c>
      <c r="AC574" s="131"/>
    </row>
    <row r="575" ht="27.0" customHeight="1">
      <c r="A575" s="107">
        <v>2021.0</v>
      </c>
      <c r="B575" s="131"/>
      <c r="C575" s="214">
        <v>45661.866383229164</v>
      </c>
      <c r="D575" s="131" t="s">
        <v>2693</v>
      </c>
      <c r="E575" s="315">
        <v>2.100016096E9</v>
      </c>
      <c r="F575" s="131" t="s">
        <v>2694</v>
      </c>
      <c r="G575" s="131" t="s">
        <v>2695</v>
      </c>
      <c r="H575" s="131" t="s">
        <v>2696</v>
      </c>
      <c r="I575" s="131" t="s">
        <v>399</v>
      </c>
      <c r="J575" s="131" t="s">
        <v>39</v>
      </c>
      <c r="K575" s="139"/>
      <c r="L575" s="139"/>
      <c r="M575" s="131"/>
      <c r="N575" s="131"/>
      <c r="O575" s="195" t="s">
        <v>703</v>
      </c>
      <c r="P575" s="140">
        <v>45671.0</v>
      </c>
      <c r="Q575" s="134" t="s">
        <v>767</v>
      </c>
      <c r="R575" s="239" t="s">
        <v>1948</v>
      </c>
      <c r="S575" s="131"/>
      <c r="T575" s="131"/>
      <c r="U575" s="131"/>
      <c r="V575" s="138" t="s">
        <v>316</v>
      </c>
      <c r="W575" s="131"/>
      <c r="X575" s="194" t="str">
        <f t="shared" si="3"/>
        <v>2025-01-14T09:00:00</v>
      </c>
      <c r="Y575" s="194" t="str">
        <f t="shared" si="4"/>
        <v>09:00</v>
      </c>
      <c r="Z575" s="194" t="str">
        <f t="shared" si="9"/>
        <v>2025-01-14T10:00:00</v>
      </c>
      <c r="AA575" s="131"/>
      <c r="AB575" s="194" t="str">
        <f t="shared" si="6"/>
        <v>Judul : Pengembangan Aplikasi Mobile untuk Deteksi Dini Anemia Berbasis Convolutional Neural Network dengan Input Citra Telapak Tangan
Pembimbing : Dr. Arif Rahman, S.Kom., M.T.
Penguji: 
1. Farid Suryanto, S.Pd., M.T.
Waktu : 09.00 - 10.00 WIB
Tempat : Lab Multimedia
Naskah : 
Note : 
- Mengingatkan serta menyerahkan Naskah hardfile  ke dosen pembimbing dan penguji paling lambat 2 hari sebelum ujian
- Teknis Pelaksanaan Ujian dilakukan secara offline sesuai dengan lokasi yang tertera di undangan ini</v>
      </c>
      <c r="AC575" s="131"/>
    </row>
    <row r="576" ht="27.0" customHeight="1">
      <c r="A576" s="107">
        <v>2021.0</v>
      </c>
      <c r="B576" s="131"/>
      <c r="C576" s="214">
        <v>45662.69097090278</v>
      </c>
      <c r="D576" s="131" t="s">
        <v>2697</v>
      </c>
      <c r="E576" s="315">
        <v>2.100016106E9</v>
      </c>
      <c r="F576" s="131" t="s">
        <v>2698</v>
      </c>
      <c r="G576" s="131" t="s">
        <v>2699</v>
      </c>
      <c r="H576" s="131" t="s">
        <v>2700</v>
      </c>
      <c r="I576" s="131" t="s">
        <v>399</v>
      </c>
      <c r="J576" s="131" t="s">
        <v>230</v>
      </c>
      <c r="K576" s="139"/>
      <c r="L576" s="139"/>
      <c r="M576" s="131"/>
      <c r="N576" s="131"/>
      <c r="O576" s="195" t="s">
        <v>2672</v>
      </c>
      <c r="P576" s="140">
        <v>45670.0</v>
      </c>
      <c r="Q576" s="134" t="s">
        <v>772</v>
      </c>
      <c r="R576" s="239" t="s">
        <v>1948</v>
      </c>
      <c r="S576" s="131"/>
      <c r="T576" s="131"/>
      <c r="U576" s="131"/>
      <c r="V576" s="138" t="s">
        <v>316</v>
      </c>
      <c r="W576" s="131"/>
      <c r="X576" s="194" t="str">
        <f t="shared" si="3"/>
        <v>2025-01-13T10:00:00</v>
      </c>
      <c r="Y576" s="194" t="str">
        <f t="shared" si="4"/>
        <v>10:00</v>
      </c>
      <c r="Z576" s="194" t="str">
        <f t="shared" si="9"/>
        <v>2025-01-13T11:00:00</v>
      </c>
      <c r="AA576" s="131"/>
      <c r="AB576" s="194" t="str">
        <f t="shared" si="6"/>
        <v>Judul : Sistem Pendukung Keputusan Untuk Pemilihan 
Strategi Pemasaran di Usaha Kecil dan 
Menengah
Pembimbing : H. Suprihatin, S.Si., M.Kom.
Penguji: 
1. Iwan Tri Riyadi Yanto, S.Si., M.I.T., Ph.D
Waktu : 10.00 - 11.00 WIB
Tempat : Lab Multimedia
Naskah : 
Note : 
- Mengingatkan serta menyerahkan Naskah hardfile  ke dosen pembimbing dan penguji paling lambat 2 hari sebelum ujian
- Teknis Pelaksanaan Ujian dilakukan secara offline sesuai dengan lokasi yang tertera di undangan ini</v>
      </c>
      <c r="AC576" s="131"/>
    </row>
    <row r="577" ht="27.0" customHeight="1">
      <c r="A577" s="107">
        <v>2021.0</v>
      </c>
      <c r="B577" s="131"/>
      <c r="C577" s="214">
        <v>45662.99588674768</v>
      </c>
      <c r="D577" s="131" t="s">
        <v>2701</v>
      </c>
      <c r="E577" s="315">
        <v>2.100016021E9</v>
      </c>
      <c r="F577" s="131" t="s">
        <v>2702</v>
      </c>
      <c r="G577" s="131" t="s">
        <v>2703</v>
      </c>
      <c r="H577" s="131" t="s">
        <v>2704</v>
      </c>
      <c r="I577" s="131" t="s">
        <v>399</v>
      </c>
      <c r="J577" s="131" t="s">
        <v>183</v>
      </c>
      <c r="K577" s="139"/>
      <c r="L577" s="139"/>
      <c r="M577" s="131"/>
      <c r="N577" s="131"/>
      <c r="O577" s="195" t="s">
        <v>39</v>
      </c>
      <c r="P577" s="140">
        <v>45670.0</v>
      </c>
      <c r="Q577" s="134" t="s">
        <v>767</v>
      </c>
      <c r="R577" s="239" t="s">
        <v>1165</v>
      </c>
      <c r="S577" s="131"/>
      <c r="T577" s="131"/>
      <c r="U577" s="131"/>
      <c r="V577" s="138" t="s">
        <v>316</v>
      </c>
      <c r="W577" s="131"/>
      <c r="X577" s="194" t="str">
        <f t="shared" si="3"/>
        <v>2025-01-13T09:00:00</v>
      </c>
      <c r="Y577" s="194" t="str">
        <f t="shared" si="4"/>
        <v>09:00</v>
      </c>
      <c r="Z577" s="194" t="str">
        <f t="shared" si="9"/>
        <v>2025-01-13T10:00:00</v>
      </c>
      <c r="AA577" s="131"/>
      <c r="AB577" s="194" t="str">
        <f t="shared" si="6"/>
        <v>Judul : Redesign Sistem Penerimaan Mahasiswa Baru dengan Pendekatan User-Centered Design
Pembimbing : Sri Handayaningsih, ST., MT.
Penguji: 
1. Dr. Arif Rahman, S.Kom., M.T.
Waktu : 09.00 - 10.00 WIB
Tempat : Lab Multimedia
Naskah : 
Note : 
- Mengingatkan serta menyerahkan Naskah hardfile  ke dosen pembimbing dan penguji paling lambat 2 hari sebelum ujian
- Teknis Pelaksanaan Ujian dilakukan secara offline sesuai dengan lokasi yang tertera di undangan ini</v>
      </c>
      <c r="AC577" s="131"/>
    </row>
    <row r="578" ht="27.0" customHeight="1">
      <c r="A578" s="107">
        <v>2021.0</v>
      </c>
      <c r="B578" s="131"/>
      <c r="C578" s="214">
        <v>45663.297333124996</v>
      </c>
      <c r="D578" s="131" t="s">
        <v>2705</v>
      </c>
      <c r="E578" s="315">
        <v>2.111016048E9</v>
      </c>
      <c r="F578" s="131" t="s">
        <v>2706</v>
      </c>
      <c r="G578" s="131" t="s">
        <v>2707</v>
      </c>
      <c r="H578" s="131" t="s">
        <v>2708</v>
      </c>
      <c r="I578" s="131" t="s">
        <v>399</v>
      </c>
      <c r="J578" s="131" t="s">
        <v>39</v>
      </c>
      <c r="K578" s="139"/>
      <c r="L578" s="139"/>
      <c r="M578" s="131"/>
      <c r="N578" s="131"/>
      <c r="O578" s="195" t="s">
        <v>2553</v>
      </c>
      <c r="P578" s="140">
        <v>45671.0</v>
      </c>
      <c r="Q578" s="134" t="s">
        <v>680</v>
      </c>
      <c r="R578" s="239" t="s">
        <v>1948</v>
      </c>
      <c r="S578" s="131"/>
      <c r="T578" s="131"/>
      <c r="U578" s="131"/>
      <c r="V578" s="138" t="s">
        <v>316</v>
      </c>
      <c r="W578" s="131"/>
      <c r="X578" s="194" t="str">
        <f t="shared" si="3"/>
        <v>2025-01-14T08:00:00</v>
      </c>
      <c r="Y578" s="194" t="str">
        <f t="shared" si="4"/>
        <v>08:00</v>
      </c>
      <c r="Z578" s="194" t="str">
        <f t="shared" si="9"/>
        <v>2025-01-14T09:00:00</v>
      </c>
      <c r="AA578" s="131"/>
      <c r="AB578" s="194" t="str">
        <f t="shared" si="6"/>
        <v>Judul : Pengembangan Sistem Informasi Pelayanan Administratif Berbasis Web Studi Kasus Desa Keji
Pembimbing : Dr. Arif Rahman, S.Kom., M.T.
Penguji: 
1. Tawar, S.Si., M.Kom
Waktu : 08.00 - 09.00 WIB
Tempat : Lab Multimedia
Naskah : 
Note : 
- Mengingatkan serta menyerahkan Naskah hardfile  ke dosen pembimbing dan penguji paling lambat 2 hari sebelum ujian
- Teknis Pelaksanaan Ujian dilakukan secara offline sesuai dengan lokasi yang tertera di undangan ini</v>
      </c>
      <c r="AC578" s="131"/>
    </row>
    <row r="579" ht="27.0" customHeight="1">
      <c r="A579" s="107">
        <v>2021.0</v>
      </c>
      <c r="B579" s="131"/>
      <c r="C579" s="214">
        <v>45663.50853349537</v>
      </c>
      <c r="D579" s="131" t="s">
        <v>2709</v>
      </c>
      <c r="E579" s="315">
        <v>2.100016044E9</v>
      </c>
      <c r="F579" s="131" t="s">
        <v>2710</v>
      </c>
      <c r="G579" s="131" t="s">
        <v>2711</v>
      </c>
      <c r="H579" s="131" t="s">
        <v>2712</v>
      </c>
      <c r="I579" s="131" t="s">
        <v>399</v>
      </c>
      <c r="J579" s="131" t="s">
        <v>39</v>
      </c>
      <c r="K579" s="139"/>
      <c r="L579" s="139"/>
      <c r="M579" s="131"/>
      <c r="N579" s="131"/>
      <c r="O579" s="195" t="s">
        <v>2612</v>
      </c>
      <c r="P579" s="140">
        <v>45671.0</v>
      </c>
      <c r="Q579" s="134" t="s">
        <v>698</v>
      </c>
      <c r="R579" s="239" t="s">
        <v>1948</v>
      </c>
      <c r="S579" s="131"/>
      <c r="T579" s="131"/>
      <c r="U579" s="131"/>
      <c r="V579" s="138" t="s">
        <v>316</v>
      </c>
      <c r="W579" s="131"/>
      <c r="X579" s="194" t="str">
        <f t="shared" si="3"/>
        <v>2025-01-14T12:30:00</v>
      </c>
      <c r="Y579" s="194" t="str">
        <f t="shared" si="4"/>
        <v>12:30</v>
      </c>
      <c r="Z579" s="194" t="str">
        <f t="shared" si="9"/>
        <v>2025-01-14T13:30:00</v>
      </c>
      <c r="AA579" s="131"/>
      <c r="AB579" s="194" t="str">
        <f t="shared" si="6"/>
        <v>Judul : Pengembangan Sistem Informasi Manajemen
Laundry Sepatu
Pembimbing : Dr. Arif Rahman, S.Kom., M.T.
Penguji: 
1. H. Suprihatin, S.Si., M.Kom
Waktu : 12.30 - 13.30 WIB
Tempat : Lab Multimedia
Naskah : 
Note : 
- Mengingatkan serta menyerahkan Naskah hardfile  ke dosen pembimbing dan penguji paling lambat 2 hari sebelum ujian
- Teknis Pelaksanaan Ujian dilakukan secara offline sesuai dengan lokasi yang tertera di undangan ini</v>
      </c>
      <c r="AC579" s="131"/>
    </row>
    <row r="580" ht="27.0" customHeight="1">
      <c r="A580" s="107">
        <v>2020.0</v>
      </c>
      <c r="B580" s="131"/>
      <c r="C580" s="214">
        <v>45663.547504918984</v>
      </c>
      <c r="D580" s="131" t="s">
        <v>2713</v>
      </c>
      <c r="E580" s="315">
        <v>2.000016034E9</v>
      </c>
      <c r="F580" s="131" t="s">
        <v>2714</v>
      </c>
      <c r="G580" s="131" t="s">
        <v>2715</v>
      </c>
      <c r="H580" s="131" t="s">
        <v>2716</v>
      </c>
      <c r="I580" s="131" t="s">
        <v>399</v>
      </c>
      <c r="J580" s="131" t="s">
        <v>230</v>
      </c>
      <c r="K580" s="139"/>
      <c r="L580" s="139"/>
      <c r="M580" s="131"/>
      <c r="N580" s="131"/>
      <c r="O580" s="195" t="s">
        <v>703</v>
      </c>
      <c r="P580" s="140">
        <v>45671.0</v>
      </c>
      <c r="Q580" s="134" t="s">
        <v>772</v>
      </c>
      <c r="R580" s="239" t="s">
        <v>1948</v>
      </c>
      <c r="S580" s="131"/>
      <c r="T580" s="131"/>
      <c r="U580" s="131"/>
      <c r="V580" s="138" t="s">
        <v>316</v>
      </c>
      <c r="W580" s="131"/>
      <c r="X580" s="194" t="str">
        <f t="shared" si="3"/>
        <v>2025-01-14T10:00:00</v>
      </c>
      <c r="Y580" s="194" t="str">
        <f t="shared" si="4"/>
        <v>10:00</v>
      </c>
      <c r="Z580" s="194" t="str">
        <f t="shared" si="9"/>
        <v>2025-01-14T11:00:00</v>
      </c>
      <c r="AA580" s="131"/>
      <c r="AB580" s="194" t="str">
        <f t="shared" si="6"/>
        <v>Judul : Sistem Informasi Geografis untuk Pemetaan
Potensi Wisata Di Kabupaten Alor
Berbasis Web
Pembimbing : H. Suprihatin, S.Si., M.Kom.
Penguji: 
1. Farid Suryanto, S.Pd., M.T.
Waktu : 10.00 - 11.00 WIB
Tempat : Lab Multimedia
Naskah : 
Note : 
- Mengingatkan serta menyerahkan Naskah hardfile  ke dosen pembimbing dan penguji paling lambat 2 hari sebelum ujian
- Teknis Pelaksanaan Ujian dilakukan secara offline sesuai dengan lokasi yang tertera di undangan ini</v>
      </c>
      <c r="AC580" s="131"/>
    </row>
    <row r="581" ht="27.0" customHeight="1">
      <c r="A581" s="107">
        <v>2021.0</v>
      </c>
      <c r="B581" s="131"/>
      <c r="C581" s="214">
        <v>45664.48208570602</v>
      </c>
      <c r="D581" s="131" t="s">
        <v>2717</v>
      </c>
      <c r="E581" s="315">
        <v>2.100016067E9</v>
      </c>
      <c r="F581" s="131" t="s">
        <v>2718</v>
      </c>
      <c r="G581" s="131" t="s">
        <v>2719</v>
      </c>
      <c r="H581" s="131" t="s">
        <v>2720</v>
      </c>
      <c r="I581" s="131" t="s">
        <v>399</v>
      </c>
      <c r="J581" s="131" t="s">
        <v>117</v>
      </c>
      <c r="K581" s="139"/>
      <c r="L581" s="139"/>
      <c r="M581" s="131"/>
      <c r="N581" s="131"/>
      <c r="O581" s="195" t="s">
        <v>703</v>
      </c>
      <c r="P581" s="140">
        <v>45672.0</v>
      </c>
      <c r="Q581" s="134" t="s">
        <v>1341</v>
      </c>
      <c r="R581" s="131"/>
      <c r="S581" s="131"/>
      <c r="T581" s="131"/>
      <c r="U581" s="131"/>
      <c r="V581" s="107" t="s">
        <v>316</v>
      </c>
      <c r="W581" s="131"/>
      <c r="X581" s="194" t="str">
        <f t="shared" si="3"/>
        <v>2025-01-15T13:30:00</v>
      </c>
      <c r="Y581" s="194" t="str">
        <f t="shared" si="4"/>
        <v>13:30</v>
      </c>
      <c r="Z581" s="194" t="str">
        <f t="shared" si="9"/>
        <v>2025-01-15T14:30:00</v>
      </c>
      <c r="AA581" s="131"/>
      <c r="AB581" s="194" t="str">
        <f t="shared" si="6"/>
        <v>Judul : Pengembangan Aplikasi Virtual Art Therapy and Counseling Menggunakan Metode Prototyping 
Pembimbing : Imam Azhari, S.Si., M.Cs.
Penguji: 
1. Farid Suryanto, S.Pd., M.T.
Waktu : 13.30 - 14.30 WIB
Tempat : Lab Multimedia
Naskah : 
Note : 
- Mengingatkan serta menyerahkan Naskah hardfile  ke dosen pembimbing dan penguji paling lambat 2 hari sebelum ujian
- Teknis Pelaksanaan Ujian dilakukan secara offline sesuai dengan lokasi yang tertera di undangan ini</v>
      </c>
      <c r="AC581" s="131"/>
    </row>
    <row r="582" ht="27.0" customHeight="1">
      <c r="A582" s="107">
        <v>2021.0</v>
      </c>
      <c r="B582" s="131"/>
      <c r="C582" s="214">
        <v>45664.63464005786</v>
      </c>
      <c r="D582" s="131" t="s">
        <v>2721</v>
      </c>
      <c r="E582" s="315">
        <v>2.100016041E9</v>
      </c>
      <c r="F582" s="131" t="s">
        <v>2722</v>
      </c>
      <c r="G582" s="131" t="s">
        <v>2723</v>
      </c>
      <c r="H582" s="131" t="s">
        <v>2724</v>
      </c>
      <c r="I582" s="131" t="s">
        <v>399</v>
      </c>
      <c r="J582" s="131" t="s">
        <v>39</v>
      </c>
      <c r="K582" s="139"/>
      <c r="L582" s="139"/>
      <c r="M582" s="131"/>
      <c r="N582" s="131"/>
      <c r="O582" s="195" t="s">
        <v>2630</v>
      </c>
      <c r="P582" s="140">
        <v>45672.0</v>
      </c>
      <c r="Q582" s="134" t="s">
        <v>698</v>
      </c>
      <c r="R582" s="131"/>
      <c r="S582" s="131"/>
      <c r="T582" s="131"/>
      <c r="U582" s="131"/>
      <c r="V582" s="107" t="s">
        <v>316</v>
      </c>
      <c r="W582" s="131"/>
      <c r="X582" s="194" t="str">
        <f t="shared" si="3"/>
        <v>2025-01-15T12:30:00</v>
      </c>
      <c r="Y582" s="194" t="str">
        <f t="shared" si="4"/>
        <v>12:30</v>
      </c>
      <c r="Z582" s="194" t="str">
        <f t="shared" si="9"/>
        <v>2025-01-15T13:30:00</v>
      </c>
      <c r="AA582" s="131"/>
      <c r="AB582" s="194" t="str">
        <f t="shared" si="6"/>
        <v>Judul : Pengembangan Sistem Informasi Manajemen 
Stok Berbasis Web Menggunakan Metode 
Waterfall 
Pembimbing : Dr. Arif Rahman, S.Kom., M.T.
Penguji: 
1. Imam Azhari, S.Si., M.CS
Waktu : 12.30 - 13.30 WIB
Tempat : Lab Multimedia
Naskah : 
Note : 
- Mengingatkan serta menyerahkan Naskah hardfile  ke dosen pembimbing dan penguji paling lambat 2 hari sebelum ujian
- Teknis Pelaksanaan Ujian dilakukan secara offline sesuai dengan lokasi yang tertera di undangan ini</v>
      </c>
      <c r="AC582" s="131"/>
    </row>
    <row r="583" ht="27.0" customHeight="1">
      <c r="A583" s="107">
        <v>2021.0</v>
      </c>
      <c r="B583" s="131"/>
      <c r="C583" s="214">
        <v>45665.14430564815</v>
      </c>
      <c r="D583" s="131" t="s">
        <v>2725</v>
      </c>
      <c r="E583" s="315">
        <v>2.100016016E9</v>
      </c>
      <c r="F583" s="131" t="s">
        <v>2726</v>
      </c>
      <c r="G583" s="131" t="s">
        <v>2727</v>
      </c>
      <c r="H583" s="131" t="s">
        <v>2728</v>
      </c>
      <c r="I583" s="131" t="s">
        <v>399</v>
      </c>
      <c r="J583" s="107" t="s">
        <v>27</v>
      </c>
      <c r="K583" s="139"/>
      <c r="L583" s="139"/>
      <c r="M583" s="131"/>
      <c r="N583" s="131"/>
      <c r="O583" s="195" t="s">
        <v>2553</v>
      </c>
      <c r="P583" s="140">
        <v>45673.0</v>
      </c>
      <c r="Q583" s="134" t="s">
        <v>2532</v>
      </c>
      <c r="R583" s="131"/>
      <c r="S583" s="131"/>
      <c r="T583" s="131"/>
      <c r="U583" s="131"/>
      <c r="V583" s="107" t="s">
        <v>316</v>
      </c>
      <c r="W583" s="131"/>
      <c r="X583" s="194" t="str">
        <f t="shared" si="3"/>
        <v>2025-01-16T07:00:00</v>
      </c>
      <c r="Y583" s="194" t="str">
        <f t="shared" si="4"/>
        <v>07:00</v>
      </c>
      <c r="Z583" s="194" t="str">
        <f t="shared" si="9"/>
        <v>2025-01-16T08:00:00</v>
      </c>
      <c r="AA583" s="131"/>
      <c r="AB583" s="194" t="str">
        <f t="shared" si="6"/>
        <v>Judul : Analisis Penilaian Risiko Sistem Bebas Pustaka Menggunakan Framework ISO 31000 Studi Kasus Balai Layanan Perpustakaan DI Yogyakarta
Pembimbing : Prof. Dr. Ir. H. Imam Riadi, S.Pd., M.Kom.
Penguji: 
1. Tawar, S.Si., M.Kom
Waktu : 07.00 - 08.00 WIB
Tempat : Lab Multimedia
Naskah : 
Note : 
- Mengingatkan serta menyerahkan Naskah hardfile  ke dosen pembimbing dan penguji paling lambat 2 hari sebelum ujian
- Teknis Pelaksanaan Ujian dilakukan secara offline sesuai dengan lokasi yang tertera di undangan ini</v>
      </c>
      <c r="AC583" s="131"/>
    </row>
    <row r="584" ht="18.0" customHeight="1">
      <c r="A584" s="107">
        <v>2021.0</v>
      </c>
      <c r="B584" s="131"/>
      <c r="C584" s="214">
        <v>45665.91276064815</v>
      </c>
      <c r="D584" s="131" t="s">
        <v>2729</v>
      </c>
      <c r="E584" s="315">
        <v>2.100016058E9</v>
      </c>
      <c r="F584" s="131" t="s">
        <v>2730</v>
      </c>
      <c r="G584" s="131" t="s">
        <v>2731</v>
      </c>
      <c r="H584" s="131" t="s">
        <v>2732</v>
      </c>
      <c r="I584" s="131" t="s">
        <v>399</v>
      </c>
      <c r="J584" s="131" t="s">
        <v>2352</v>
      </c>
      <c r="K584" s="139"/>
      <c r="L584" s="139"/>
      <c r="M584" s="131"/>
      <c r="N584" s="131"/>
      <c r="O584" s="195" t="s">
        <v>703</v>
      </c>
      <c r="P584" s="140">
        <v>45673.0</v>
      </c>
      <c r="Q584" s="134" t="s">
        <v>698</v>
      </c>
      <c r="R584" s="139"/>
      <c r="S584" s="131"/>
      <c r="T584" s="131"/>
      <c r="U584" s="131"/>
      <c r="V584" s="138" t="s">
        <v>316</v>
      </c>
      <c r="W584" s="131"/>
      <c r="X584" s="194" t="str">
        <f>CONCATENATE(TEXT(P586,"YYYY-MM-dd"),"T",Y584,":00")</f>
        <v>2025-01-20T12:30:00</v>
      </c>
      <c r="Y584" s="194" t="str">
        <f t="shared" si="4"/>
        <v>12:30</v>
      </c>
      <c r="Z584" s="194" t="str">
        <f>CONCATENATE(TEXT(P586,"YYYY-MM-dd"),"T",,TEXT(Y584+TIME(0,60,0),"HH:mm"),":00")</f>
        <v>2025-01-20T13:30:00</v>
      </c>
      <c r="AA584" s="131"/>
      <c r="AB584" s="194" t="str">
        <f t="shared" si="6"/>
        <v>Judul : Komparasi Metode Penyediaan dan Optimalisasi Model 3D Menggunakan Metode Fotogrametri Untuk Media Penjualan Online UMKMKomparasi Metode Penyediaan dan Optimalisasi Model 3D Menggunakan Metode Fotogrametri Untuk Media Penjualan Online UMKM
Pembimbing : Mursid Wahyu Hananto, S.Si., M.Kom.
Penguji: 
1. Farid Suryanto, S.Pd., M.T.
Waktu : 12.30 - 13.30 WIB
Tempat : Lab Multimedia
Naskah : 
Note : 
- Mengingatkan serta menyerahkan Naskah hardfile  ke dosen pembimbing dan penguji paling lambat 2 hari sebelum ujian
- Teknis Pelaksanaan Ujian dilakukan secara offline sesuai dengan lokasi yang tertera di undangan ini</v>
      </c>
      <c r="AC584" s="131"/>
    </row>
    <row r="585" ht="24.0" customHeight="1">
      <c r="A585" s="107">
        <v>2021.0</v>
      </c>
      <c r="B585" s="131"/>
      <c r="C585" s="214">
        <v>45665.97735692129</v>
      </c>
      <c r="D585" s="131" t="s">
        <v>2733</v>
      </c>
      <c r="E585" s="315">
        <v>2.100016066E9</v>
      </c>
      <c r="F585" s="131" t="s">
        <v>2734</v>
      </c>
      <c r="G585" s="131" t="s">
        <v>2735</v>
      </c>
      <c r="H585" s="131" t="s">
        <v>2736</v>
      </c>
      <c r="I585" s="131" t="s">
        <v>399</v>
      </c>
      <c r="J585" s="131" t="s">
        <v>747</v>
      </c>
      <c r="K585" s="139"/>
      <c r="L585" s="139"/>
      <c r="M585" s="131"/>
      <c r="N585" s="131"/>
      <c r="O585" s="195" t="s">
        <v>39</v>
      </c>
      <c r="P585" s="140">
        <v>45673.0</v>
      </c>
      <c r="Q585" s="134" t="s">
        <v>680</v>
      </c>
      <c r="R585" s="131"/>
      <c r="S585" s="131"/>
      <c r="T585" s="131"/>
      <c r="U585" s="131"/>
      <c r="V585" s="107" t="s">
        <v>316</v>
      </c>
      <c r="W585" s="131"/>
      <c r="X585" s="194" t="str">
        <f t="shared" ref="X585:X646" si="10">CONCATENATE(TEXT(P585,"YYYY-MM-dd"),"T",Y585,":00")</f>
        <v>2025-01-16T08:00:00</v>
      </c>
      <c r="Y585" s="194" t="str">
        <f t="shared" si="4"/>
        <v>08:00</v>
      </c>
      <c r="Z585" s="194" t="str">
        <f t="shared" ref="Z585:Z646" si="11">CONCATENATE(TEXT(P585,"YYYY-MM-dd"),"T",,TEXT(Y585+TIME(0,60,0),"HH:mm"),":00")</f>
        <v>2025-01-16T09:00:00</v>
      </c>
      <c r="AA585" s="131"/>
      <c r="AB585" s="194" t="str">
        <f t="shared" si="6"/>
        <v>Judul : Persepsi Masyarakat Terhadap Dukungan
Boikot Produk Israel Menggunakan Metode
Latent Dirichlet Allocation
Pembimbing : Iwan Tri Riyadi Yanto, S.Si., M.IT, Ph.D.
Penguji: 
1. Dr. Arif Rahman, S.Kom., M.T.
Waktu : 08.00 - 09.00 WIB
Tempat : Lab Multimedia
Naskah : 
Note : 
- Mengingatkan serta menyerahkan Naskah hardfile  ke dosen pembimbing dan penguji paling lambat 2 hari sebelum ujian
- Teknis Pelaksanaan Ujian dilakukan secara offline sesuai dengan lokasi yang tertera di undangan ini</v>
      </c>
      <c r="AC585" s="131"/>
    </row>
    <row r="586" ht="20.25" customHeight="1">
      <c r="A586" s="107">
        <v>2021.0</v>
      </c>
      <c r="B586" s="131"/>
      <c r="C586" s="214">
        <v>45666.2716321875</v>
      </c>
      <c r="D586" s="131" t="s">
        <v>2737</v>
      </c>
      <c r="E586" s="315">
        <v>2.100016069E9</v>
      </c>
      <c r="F586" s="131" t="s">
        <v>2738</v>
      </c>
      <c r="G586" s="131" t="s">
        <v>2739</v>
      </c>
      <c r="H586" s="131" t="s">
        <v>2740</v>
      </c>
      <c r="I586" s="131" t="s">
        <v>399</v>
      </c>
      <c r="J586" s="131" t="s">
        <v>39</v>
      </c>
      <c r="K586" s="139"/>
      <c r="L586" s="139"/>
      <c r="M586" s="131"/>
      <c r="N586" s="131"/>
      <c r="O586" s="195" t="s">
        <v>2630</v>
      </c>
      <c r="P586" s="140">
        <v>45677.0</v>
      </c>
      <c r="Q586" s="134" t="s">
        <v>698</v>
      </c>
      <c r="R586" s="131"/>
      <c r="S586" s="131"/>
      <c r="T586" s="131"/>
      <c r="U586" s="131"/>
      <c r="V586" s="107" t="s">
        <v>316</v>
      </c>
      <c r="W586" s="131"/>
      <c r="X586" s="194" t="str">
        <f t="shared" si="10"/>
        <v>2025-01-20T12:30:00</v>
      </c>
      <c r="Y586" s="194" t="str">
        <f t="shared" si="4"/>
        <v>12:30</v>
      </c>
      <c r="Z586" s="194" t="str">
        <f t="shared" si="11"/>
        <v>2025-01-20T13:30:00</v>
      </c>
      <c r="AA586" s="131"/>
      <c r="AB586" s="194" t="str">
        <f t="shared" si="6"/>
        <v>Judul : Perancangan UI/UX Website Penilaian Kinerja Karyawan Menggunakan Metode Design Thinking
Pembimbing : Dr. Arif Rahman, S.Kom., M.T.
Penguji: 
1. Imam Azhari, S.Si., M.CS
Waktu : 12.30 - 13.30 WIB
Tempat : Lab Multimedia
Naskah : 
Note : 
- Mengingatkan serta menyerahkan Naskah hardfile  ke dosen pembimbing dan penguji paling lambat 2 hari sebelum ujian
- Teknis Pelaksanaan Ujian dilakukan secara offline sesuai dengan lokasi yang tertera di undangan ini</v>
      </c>
      <c r="AC586" s="131"/>
    </row>
    <row r="587" ht="15.75" customHeight="1">
      <c r="A587" s="107">
        <v>2021.0</v>
      </c>
      <c r="B587" s="131"/>
      <c r="C587" s="214">
        <v>45666.623404606486</v>
      </c>
      <c r="D587" s="131" t="s">
        <v>2741</v>
      </c>
      <c r="E587" s="315">
        <v>2.100016045E9</v>
      </c>
      <c r="F587" s="131" t="s">
        <v>2742</v>
      </c>
      <c r="G587" s="131" t="s">
        <v>2743</v>
      </c>
      <c r="H587" s="131" t="s">
        <v>2744</v>
      </c>
      <c r="I587" s="131" t="s">
        <v>399</v>
      </c>
      <c r="J587" s="131" t="s">
        <v>2352</v>
      </c>
      <c r="K587" s="139"/>
      <c r="L587" s="139"/>
      <c r="M587" s="131"/>
      <c r="N587" s="131"/>
      <c r="O587" s="195" t="s">
        <v>2630</v>
      </c>
      <c r="P587" s="140">
        <v>45677.0</v>
      </c>
      <c r="Q587" s="134" t="s">
        <v>1895</v>
      </c>
      <c r="R587" s="131"/>
      <c r="S587" s="131"/>
      <c r="T587" s="131"/>
      <c r="U587" s="131"/>
      <c r="V587" s="107" t="s">
        <v>316</v>
      </c>
      <c r="W587" s="131"/>
      <c r="X587" s="194" t="str">
        <f t="shared" si="10"/>
        <v>2025-01-20T13:10:00</v>
      </c>
      <c r="Y587" s="194" t="str">
        <f t="shared" si="4"/>
        <v>13:10</v>
      </c>
      <c r="Z587" s="194" t="str">
        <f t="shared" si="11"/>
        <v>2025-01-20T14:10:00</v>
      </c>
      <c r="AA587" s="131"/>
      <c r="AB587" s="194" t="str">
        <f t="shared" si="6"/>
        <v>Judul : Komparasi Metode Penyediaan dan Optimalisasi Model 3D Menggunakan Metode 3D Scanner Untuk Media Penjualan Online UMKM
Pembimbing : Mursid Wahyu Hananto, S.Si., M.Kom.
Penguji: 
1. Imam Azhari, S.Si., M.CS
Waktu : 13.15 - 14.00 WIB
Tempat : Lab Multimedia
Naskah : 
Note : 
- Mengingatkan serta menyerahkan Naskah hardfile  ke dosen pembimbing dan penguji paling lambat 2 hari sebelum ujian
- Teknis Pelaksanaan Ujian dilakukan secara offline sesuai dengan lokasi yang tertera di undangan ini</v>
      </c>
      <c r="AC587" s="131"/>
    </row>
    <row r="588" ht="15.75" customHeight="1">
      <c r="A588" s="107">
        <v>2021.0</v>
      </c>
      <c r="B588" s="131"/>
      <c r="C588" s="214">
        <v>45666.650330833334</v>
      </c>
      <c r="D588" s="131" t="s">
        <v>2745</v>
      </c>
      <c r="E588" s="315">
        <v>2.000016138E9</v>
      </c>
      <c r="F588" s="131" t="s">
        <v>2746</v>
      </c>
      <c r="G588" s="131" t="s">
        <v>2747</v>
      </c>
      <c r="H588" s="131" t="s">
        <v>2748</v>
      </c>
      <c r="I588" s="131" t="s">
        <v>399</v>
      </c>
      <c r="J588" s="107" t="s">
        <v>27</v>
      </c>
      <c r="K588" s="139"/>
      <c r="L588" s="139"/>
      <c r="M588" s="131"/>
      <c r="N588" s="131"/>
      <c r="O588" s="195" t="s">
        <v>39</v>
      </c>
      <c r="P588" s="140">
        <v>45673.0</v>
      </c>
      <c r="Q588" s="134" t="s">
        <v>680</v>
      </c>
      <c r="R588" s="131"/>
      <c r="S588" s="131"/>
      <c r="T588" s="131"/>
      <c r="U588" s="131"/>
      <c r="V588" s="107" t="s">
        <v>316</v>
      </c>
      <c r="W588" s="131"/>
      <c r="X588" s="194" t="str">
        <f t="shared" si="10"/>
        <v>2025-01-16T08:00:00</v>
      </c>
      <c r="Y588" s="194" t="str">
        <f t="shared" si="4"/>
        <v>08:00</v>
      </c>
      <c r="Z588" s="194" t="str">
        <f t="shared" si="11"/>
        <v>2025-01-16T09:00:00</v>
      </c>
      <c r="AA588" s="131"/>
      <c r="AB588" s="194" t="str">
        <f t="shared" si="6"/>
        <v>Judul : Analisis Keamanan Informasi Terhadap Serangan SQL Injection Pada Layanan Website
Pembimbing : Prof. Dr. Ir. H. Imam Riadi, S.Pd., M.Kom.
Penguji: 
1. Dr. Arif Rahman, S.Kom., M.T.
Waktu : 08.00 - 09.00 WIB
Tempat : Lab Multimedia
Naskah : 
Note : 
- Mengingatkan serta menyerahkan Naskah hardfile  ke dosen pembimbing dan penguji paling lambat 2 hari sebelum ujian
- Teknis Pelaksanaan Ujian dilakukan secara offline sesuai dengan lokasi yang tertera di undangan ini</v>
      </c>
      <c r="AC588" s="131"/>
    </row>
    <row r="589" ht="27.0" customHeight="1">
      <c r="A589" s="107">
        <v>2021.0</v>
      </c>
      <c r="B589" s="131"/>
      <c r="C589" s="214">
        <v>45666.82842694444</v>
      </c>
      <c r="D589" s="131" t="s">
        <v>2749</v>
      </c>
      <c r="E589" s="315">
        <v>2.100016082E9</v>
      </c>
      <c r="F589" s="131" t="s">
        <v>2750</v>
      </c>
      <c r="G589" s="131" t="s">
        <v>2751</v>
      </c>
      <c r="H589" s="131" t="s">
        <v>2752</v>
      </c>
      <c r="I589" s="131" t="s">
        <v>399</v>
      </c>
      <c r="J589" s="131" t="s">
        <v>747</v>
      </c>
      <c r="K589" s="139"/>
      <c r="L589" s="139"/>
      <c r="M589" s="131"/>
      <c r="N589" s="131"/>
      <c r="O589" s="195" t="s">
        <v>39</v>
      </c>
      <c r="P589" s="140">
        <v>45678.0</v>
      </c>
      <c r="Q589" s="134" t="s">
        <v>2753</v>
      </c>
      <c r="R589" s="131"/>
      <c r="S589" s="131"/>
      <c r="T589" s="131"/>
      <c r="U589" s="131"/>
      <c r="V589" s="107" t="s">
        <v>316</v>
      </c>
      <c r="W589" s="131"/>
      <c r="X589" s="194" t="str">
        <f t="shared" si="10"/>
        <v>2025-01-21T07:00:00</v>
      </c>
      <c r="Y589" s="194" t="str">
        <f t="shared" si="4"/>
        <v>07:00</v>
      </c>
      <c r="Z589" s="194" t="str">
        <f t="shared" si="11"/>
        <v>2025-01-21T08:00:00</v>
      </c>
      <c r="AA589" s="131"/>
      <c r="AB589" s="194" t="str">
        <f t="shared" si="6"/>
        <v>Judul : Analisis Pengelompokan Gempa Bumi Menggunakan Metode Clustering K-Means 
(Studi Kasus Wilayah Jawa Barat dan Banten)
Pembimbing : Iwan Tri Riyadi Yanto, S.Si., M.IT, Ph.D.
Penguji: 
1. Dr. Arif Rahman, S.Kom., M.T.
Waktu : 07.00 - 07.45 WIB
Tempat : Lab Multimedia
Naskah : 
Note : 
- Mengingatkan serta menyerahkan Naskah hardfile  ke dosen pembimbing dan penguji paling lambat 2 hari sebelum ujian
- Teknis Pelaksanaan Ujian dilakukan secara offline sesuai dengan lokasi yang tertera di undangan ini</v>
      </c>
      <c r="AC589" s="131"/>
    </row>
    <row r="590" ht="21.75" customHeight="1">
      <c r="A590" s="107">
        <v>2021.0</v>
      </c>
      <c r="B590" s="131"/>
      <c r="C590" s="214">
        <v>45666.98393657407</v>
      </c>
      <c r="D590" s="131" t="s">
        <v>2754</v>
      </c>
      <c r="E590" s="315">
        <v>2.100016014E9</v>
      </c>
      <c r="F590" s="131" t="s">
        <v>2755</v>
      </c>
      <c r="G590" s="131" t="s">
        <v>2756</v>
      </c>
      <c r="H590" s="131" t="s">
        <v>2757</v>
      </c>
      <c r="I590" s="131" t="s">
        <v>399</v>
      </c>
      <c r="J590" s="131" t="s">
        <v>747</v>
      </c>
      <c r="K590" s="139"/>
      <c r="L590" s="139"/>
      <c r="M590" s="131"/>
      <c r="N590" s="131"/>
      <c r="O590" s="195" t="s">
        <v>39</v>
      </c>
      <c r="P590" s="140">
        <v>45678.0</v>
      </c>
      <c r="Q590" s="134" t="s">
        <v>2758</v>
      </c>
      <c r="R590" s="131"/>
      <c r="S590" s="131"/>
      <c r="T590" s="131"/>
      <c r="U590" s="131"/>
      <c r="V590" s="107" t="s">
        <v>316</v>
      </c>
      <c r="W590" s="131"/>
      <c r="X590" s="194" t="str">
        <f t="shared" si="10"/>
        <v>2025-01-21T07:40:00</v>
      </c>
      <c r="Y590" s="194" t="str">
        <f t="shared" si="4"/>
        <v>07:40</v>
      </c>
      <c r="Z590" s="194" t="str">
        <f t="shared" si="11"/>
        <v>2025-01-21T08:40:00</v>
      </c>
      <c r="AA590" s="131"/>
      <c r="AB590" s="194" t="str">
        <f t="shared" si="6"/>
        <v>Judul : Analisis Preferensi Metode Pembayaran Shopee Menggunakan Metode Additive Ratio Assessment (ARAS)
Pembimbing : Iwan Tri Riyadi Yanto, S.Si., M.IT, Ph.D.
Penguji: 
1. Dr. Arif Rahman, S.Kom., M.T.
Waktu : 07.45 - 08.30 WIB
Tempat : Lab Multimedia
Naskah : 
Note : 
- Mengingatkan serta menyerahkan Naskah hardfile  ke dosen pembimbing dan penguji paling lambat 2 hari sebelum ujian
- Teknis Pelaksanaan Ujian dilakukan secara offline sesuai dengan lokasi yang tertera di undangan ini</v>
      </c>
      <c r="AC590" s="131"/>
    </row>
    <row r="591" ht="17.25" customHeight="1">
      <c r="A591" s="107">
        <v>2021.0</v>
      </c>
      <c r="B591" s="131"/>
      <c r="C591" s="214">
        <v>45667.78854327546</v>
      </c>
      <c r="D591" s="131" t="s">
        <v>2759</v>
      </c>
      <c r="E591" s="315">
        <v>2.100016088E9</v>
      </c>
      <c r="F591" s="131" t="s">
        <v>2760</v>
      </c>
      <c r="G591" s="131" t="s">
        <v>2761</v>
      </c>
      <c r="H591" s="131" t="s">
        <v>2762</v>
      </c>
      <c r="I591" s="131" t="s">
        <v>399</v>
      </c>
      <c r="J591" s="131" t="s">
        <v>747</v>
      </c>
      <c r="K591" s="139"/>
      <c r="L591" s="139"/>
      <c r="M591" s="131"/>
      <c r="N591" s="131"/>
      <c r="O591" s="195" t="s">
        <v>39</v>
      </c>
      <c r="P591" s="140">
        <v>45678.0</v>
      </c>
      <c r="Q591" s="134" t="s">
        <v>2763</v>
      </c>
      <c r="R591" s="131"/>
      <c r="S591" s="131"/>
      <c r="T591" s="131"/>
      <c r="U591" s="131"/>
      <c r="V591" s="107" t="s">
        <v>316</v>
      </c>
      <c r="W591" s="131"/>
      <c r="X591" s="194" t="str">
        <f t="shared" si="10"/>
        <v>2025-01-21T08:30:00</v>
      </c>
      <c r="Y591" s="194" t="str">
        <f t="shared" si="4"/>
        <v>08:30</v>
      </c>
      <c r="Z591" s="194" t="str">
        <f t="shared" si="11"/>
        <v>2025-01-21T09:30:00</v>
      </c>
      <c r="AA591" s="131"/>
      <c r="AB591" s="194" t="str">
        <f t="shared" si="6"/>
        <v>Judul : Penerapan Latent Dirichlet Allocation pada Opinion Mining Pengguna X terhadap Program Makan Bergizi Gratis
Pembimbing : Iwan Tri Riyadi Yanto, S.Si., M.IT, Ph.D.
Penguji: 
1. Dr. Arif Rahman, S.Kom., M.T.
Waktu : 08.30 - 09.15 WIB
Tempat : Lab Multimedia
Naskah : 
Note : 
- Mengingatkan serta menyerahkan Naskah hardfile  ke dosen pembimbing dan penguji paling lambat 2 hari sebelum ujian
- Teknis Pelaksanaan Ujian dilakukan secara offline sesuai dengan lokasi yang tertera di undangan ini</v>
      </c>
      <c r="AC591" s="131"/>
    </row>
    <row r="592" ht="17.25" customHeight="1">
      <c r="A592" s="107">
        <v>2021.0</v>
      </c>
      <c r="B592" s="131"/>
      <c r="C592" s="214">
        <v>45668.394331111114</v>
      </c>
      <c r="D592" s="131" t="s">
        <v>2764</v>
      </c>
      <c r="E592" s="315">
        <v>2.100016008E9</v>
      </c>
      <c r="F592" s="131" t="s">
        <v>2765</v>
      </c>
      <c r="G592" s="131" t="s">
        <v>2766</v>
      </c>
      <c r="H592" s="131" t="s">
        <v>2767</v>
      </c>
      <c r="I592" s="131" t="s">
        <v>399</v>
      </c>
      <c r="J592" s="131" t="s">
        <v>39</v>
      </c>
      <c r="K592" s="139"/>
      <c r="L592" s="139"/>
      <c r="M592" s="131"/>
      <c r="N592" s="131"/>
      <c r="O592" s="195" t="s">
        <v>703</v>
      </c>
      <c r="P592" s="140">
        <v>45677.0</v>
      </c>
      <c r="Q592" s="134" t="s">
        <v>1895</v>
      </c>
      <c r="R592" s="131"/>
      <c r="S592" s="131"/>
      <c r="T592" s="131"/>
      <c r="U592" s="131"/>
      <c r="V592" s="107" t="s">
        <v>316</v>
      </c>
      <c r="W592" s="131"/>
      <c r="X592" s="194" t="str">
        <f t="shared" si="10"/>
        <v>2025-01-20T13:10:00</v>
      </c>
      <c r="Y592" s="194" t="str">
        <f t="shared" si="4"/>
        <v>13:10</v>
      </c>
      <c r="Z592" s="194" t="str">
        <f t="shared" si="11"/>
        <v>2025-01-20T14:10:00</v>
      </c>
      <c r="AA592" s="131"/>
      <c r="AB592" s="194" t="str">
        <f t="shared" si="6"/>
        <v>Judul : Pengembangan Aplikasi Diskusi Berbasis Kutipan Buku dengan Teknologi MERN Stack
Pembimbing : Dr. Arif Rahman, S.Kom., M.T.
Penguji: 
1. Farid Suryanto, S.Pd., M.T.
Waktu : 13.15 - 14.00 WIB
Tempat : Lab Multimedia
Naskah : 
Note : 
- Mengingatkan serta menyerahkan Naskah hardfile  ke dosen pembimbing dan penguji paling lambat 2 hari sebelum ujian
- Teknis Pelaksanaan Ujian dilakukan secara offline sesuai dengan lokasi yang tertera di undangan ini</v>
      </c>
      <c r="AC592" s="131"/>
    </row>
    <row r="593" ht="15.75" customHeight="1">
      <c r="A593" s="107">
        <v>2021.0</v>
      </c>
      <c r="B593" s="131"/>
      <c r="C593" s="108">
        <v>45668.59979291667</v>
      </c>
      <c r="D593" s="109" t="s">
        <v>2768</v>
      </c>
      <c r="E593" s="327">
        <v>2.10001612E9</v>
      </c>
      <c r="F593" s="109" t="s">
        <v>2769</v>
      </c>
      <c r="G593" s="109" t="s">
        <v>2770</v>
      </c>
      <c r="H593" s="109" t="s">
        <v>2771</v>
      </c>
      <c r="I593" s="109" t="s">
        <v>399</v>
      </c>
      <c r="J593" s="109" t="s">
        <v>747</v>
      </c>
      <c r="K593" s="141"/>
      <c r="L593" s="141"/>
      <c r="M593" s="131"/>
      <c r="N593" s="131"/>
      <c r="O593" s="195" t="s">
        <v>2630</v>
      </c>
      <c r="P593" s="140">
        <v>45679.0</v>
      </c>
      <c r="Q593" s="134" t="s">
        <v>1858</v>
      </c>
      <c r="R593" s="107" t="s">
        <v>1948</v>
      </c>
      <c r="S593" s="131"/>
      <c r="T593" s="131"/>
      <c r="U593" s="131"/>
      <c r="V593" s="107" t="s">
        <v>316</v>
      </c>
      <c r="W593" s="131"/>
      <c r="X593" s="194" t="str">
        <f t="shared" si="10"/>
        <v>2025-01-22T12:30:00</v>
      </c>
      <c r="Y593" s="194" t="str">
        <f t="shared" si="4"/>
        <v>12:30</v>
      </c>
      <c r="Z593" s="194" t="str">
        <f t="shared" si="11"/>
        <v>2025-01-22T13:30:00</v>
      </c>
      <c r="AA593" s="131"/>
      <c r="AB593" s="194" t="str">
        <f t="shared" si="6"/>
        <v>Judul : Analisis Prioritas Redesain Fitur Aplikasi M-Banking Berdasarkan Ulasan dengan TF-IDF
Pembimbing : Iwan Tri Riyadi Yanto, S.Si., M.IT, Ph.D.
Penguji: 
1. Imam Azhari, S.Si., M.CS
Waktu : 12.30 - 13.15 WIB
Tempat : Lab Multimedia
Naskah : 
Note : 
- Mengingatkan serta menyerahkan Naskah hardfile  ke dosen pembimbing dan penguji paling lambat 2 hari sebelum ujian
- Teknis Pelaksanaan Ujian dilakukan secara offline sesuai dengan lokasi yang tertera di undangan ini</v>
      </c>
      <c r="AC593" s="131"/>
    </row>
    <row r="594" ht="15.0" customHeight="1">
      <c r="A594" s="107">
        <v>2021.0</v>
      </c>
      <c r="B594" s="131"/>
      <c r="C594" s="108">
        <v>45668.69088939815</v>
      </c>
      <c r="D594" s="109" t="s">
        <v>2772</v>
      </c>
      <c r="E594" s="327">
        <v>2.00001614E9</v>
      </c>
      <c r="F594" s="109" t="s">
        <v>2773</v>
      </c>
      <c r="G594" s="109" t="s">
        <v>2774</v>
      </c>
      <c r="H594" s="109" t="s">
        <v>2775</v>
      </c>
      <c r="I594" s="109" t="s">
        <v>399</v>
      </c>
      <c r="J594" s="109" t="s">
        <v>230</v>
      </c>
      <c r="K594" s="141"/>
      <c r="L594" s="141"/>
      <c r="M594" s="131"/>
      <c r="N594" s="131"/>
      <c r="O594" s="195" t="s">
        <v>2630</v>
      </c>
      <c r="P594" s="140">
        <v>45679.0</v>
      </c>
      <c r="Q594" s="134" t="s">
        <v>1895</v>
      </c>
      <c r="R594" s="107" t="s">
        <v>1948</v>
      </c>
      <c r="S594" s="131"/>
      <c r="T594" s="131"/>
      <c r="U594" s="131"/>
      <c r="V594" s="107" t="s">
        <v>316</v>
      </c>
      <c r="W594" s="131"/>
      <c r="X594" s="194" t="str">
        <f t="shared" si="10"/>
        <v>2025-01-22T13:10:00</v>
      </c>
      <c r="Y594" s="194" t="str">
        <f t="shared" si="4"/>
        <v>13:10</v>
      </c>
      <c r="Z594" s="194" t="str">
        <f t="shared" si="11"/>
        <v>2025-01-22T14:10:00</v>
      </c>
      <c r="AA594" s="131"/>
      <c r="AB594" s="194" t="str">
        <f t="shared" si="6"/>
        <v>Judul : Redesign User Interface dan User Experience Aplikasi E-Coklit 
Pembimbing : H. Suprihatin, S.Si., M.Kom.
Penguji: 
1. Imam Azhari, S.Si., M.CS
Waktu : 13.15 - 14.00 WIB
Tempat : Lab Multimedia
Naskah : 
Note : 
- Mengingatkan serta menyerahkan Naskah hardfile  ke dosen pembimbing dan penguji paling lambat 2 hari sebelum ujian
- Teknis Pelaksanaan Ujian dilakukan secara offline sesuai dengan lokasi yang tertera di undangan ini</v>
      </c>
      <c r="AC594" s="131"/>
    </row>
    <row r="595" ht="16.5" customHeight="1">
      <c r="A595" s="107">
        <v>2021.0</v>
      </c>
      <c r="B595" s="131"/>
      <c r="C595" s="108">
        <v>45668.69698822917</v>
      </c>
      <c r="D595" s="109" t="s">
        <v>2776</v>
      </c>
      <c r="E595" s="327">
        <v>2.100016039E9</v>
      </c>
      <c r="F595" s="109" t="s">
        <v>2777</v>
      </c>
      <c r="G595" s="109" t="s">
        <v>2778</v>
      </c>
      <c r="H595" s="109" t="s">
        <v>2779</v>
      </c>
      <c r="I595" s="109" t="s">
        <v>399</v>
      </c>
      <c r="J595" s="109" t="s">
        <v>183</v>
      </c>
      <c r="K595" s="141"/>
      <c r="L595" s="141"/>
      <c r="M595" s="131"/>
      <c r="N595" s="131"/>
      <c r="O595" s="195" t="s">
        <v>2553</v>
      </c>
      <c r="P595" s="140">
        <v>45677.0</v>
      </c>
      <c r="Q595" s="134" t="s">
        <v>2780</v>
      </c>
      <c r="R595" s="131"/>
      <c r="S595" s="131"/>
      <c r="T595" s="131"/>
      <c r="U595" s="131"/>
      <c r="V595" s="107" t="s">
        <v>316</v>
      </c>
      <c r="W595" s="131"/>
      <c r="X595" s="194" t="str">
        <f t="shared" si="10"/>
        <v>2025-01-20T07:10:00</v>
      </c>
      <c r="Y595" s="194" t="str">
        <f t="shared" si="4"/>
        <v>07:10</v>
      </c>
      <c r="Z595" s="194" t="str">
        <f t="shared" si="11"/>
        <v>2025-01-20T08:10:00</v>
      </c>
      <c r="AA595" s="131"/>
      <c r="AB595" s="194" t="str">
        <f t="shared" si="6"/>
        <v>Judul : Rancangan Sumber Daya TI pada Layanan Rawat Jalan Rumah Sakit dengan Metode Information Technology Infrastructure Library (ITIL) V4
Pembimbing : Sri Handayaningsih, ST., MT.
Penguji: 
1. Tawar, S.Si., M.Kom
Waktu : 07.15 - 08.00 WIB
Tempat : Lab Multimedia
Naskah : 
Note : 
- Mengingatkan serta menyerahkan Naskah hardfile  ke dosen pembimbing dan penguji paling lambat 2 hari sebelum ujian
- Teknis Pelaksanaan Ujian dilakukan secara offline sesuai dengan lokasi yang tertera di undangan ini</v>
      </c>
      <c r="AC595" s="131"/>
    </row>
    <row r="596" ht="15.0" customHeight="1">
      <c r="A596" s="107">
        <v>2021.0</v>
      </c>
      <c r="B596" s="131"/>
      <c r="C596" s="108">
        <v>45668.710546898146</v>
      </c>
      <c r="D596" s="109" t="s">
        <v>2781</v>
      </c>
      <c r="E596" s="327">
        <v>2.100016001E9</v>
      </c>
      <c r="F596" s="109" t="s">
        <v>2782</v>
      </c>
      <c r="G596" s="109" t="s">
        <v>2783</v>
      </c>
      <c r="H596" s="109" t="s">
        <v>2784</v>
      </c>
      <c r="I596" s="109" t="s">
        <v>399</v>
      </c>
      <c r="J596" s="109" t="s">
        <v>183</v>
      </c>
      <c r="K596" s="141"/>
      <c r="L596" s="141"/>
      <c r="M596" s="131"/>
      <c r="N596" s="131"/>
      <c r="O596" s="195" t="s">
        <v>2553</v>
      </c>
      <c r="P596" s="140">
        <v>45677.0</v>
      </c>
      <c r="Q596" s="134" t="s">
        <v>1793</v>
      </c>
      <c r="R596" s="131"/>
      <c r="S596" s="131"/>
      <c r="T596" s="131"/>
      <c r="U596" s="131"/>
      <c r="V596" s="107" t="s">
        <v>316</v>
      </c>
      <c r="W596" s="131"/>
      <c r="X596" s="194" t="str">
        <f t="shared" si="10"/>
        <v>2025-01-20T08:00:00</v>
      </c>
      <c r="Y596" s="194" t="str">
        <f t="shared" si="4"/>
        <v>08:00</v>
      </c>
      <c r="Z596" s="194" t="str">
        <f t="shared" si="11"/>
        <v>2025-01-20T09:00:00</v>
      </c>
      <c r="AA596" s="131"/>
      <c r="AB596" s="194" t="str">
        <f t="shared" si="6"/>
        <v>Judul : Perancangan Kebutuhan Sumber Daya Teknologi Informasi Menggunakan Metode  Information Technology Infrastructure Library (ITIL) V4
Studi Kasus Rawat Inap di Rumah Sakit Umum Rajawali Citra
Pembimbing : Sri Handayaningsih, ST., MT.
Penguji: 
1. Tawar, S.Si., M.Kom
Waktu : 08.00 - 08.45 WIB
Tempat : Lab Multimedia
Naskah : 
Note : 
- Mengingatkan serta menyerahkan Naskah hardfile  ke dosen pembimbing dan penguji paling lambat 2 hari sebelum ujian
- Teknis Pelaksanaan Ujian dilakukan secara offline sesuai dengan lokasi yang tertera di undangan ini</v>
      </c>
      <c r="AC596" s="131"/>
    </row>
    <row r="597" ht="17.25" customHeight="1">
      <c r="A597" s="107">
        <v>2021.0</v>
      </c>
      <c r="B597" s="131"/>
      <c r="C597" s="108">
        <v>45668.74637474537</v>
      </c>
      <c r="D597" s="109" t="s">
        <v>2785</v>
      </c>
      <c r="E597" s="327">
        <v>2.100016074E9</v>
      </c>
      <c r="F597" s="109" t="s">
        <v>2786</v>
      </c>
      <c r="G597" s="109" t="s">
        <v>2787</v>
      </c>
      <c r="H597" s="109" t="s">
        <v>2788</v>
      </c>
      <c r="I597" s="109" t="s">
        <v>399</v>
      </c>
      <c r="J597" s="109" t="s">
        <v>2352</v>
      </c>
      <c r="K597" s="141"/>
      <c r="L597" s="141"/>
      <c r="M597" s="131"/>
      <c r="N597" s="131"/>
      <c r="O597" s="195" t="s">
        <v>2635</v>
      </c>
      <c r="P597" s="140">
        <v>45673.0</v>
      </c>
      <c r="Q597" s="134" t="s">
        <v>2789</v>
      </c>
      <c r="R597" s="131"/>
      <c r="S597" s="131"/>
      <c r="T597" s="131"/>
      <c r="U597" s="131"/>
      <c r="V597" s="107" t="s">
        <v>316</v>
      </c>
      <c r="W597" s="131"/>
      <c r="X597" s="194" t="str">
        <f t="shared" si="10"/>
        <v>2025-01-16T08:40:00</v>
      </c>
      <c r="Y597" s="194" t="str">
        <f t="shared" si="4"/>
        <v>08:40</v>
      </c>
      <c r="Z597" s="194" t="str">
        <f t="shared" si="11"/>
        <v>2025-01-16T09:40:00</v>
      </c>
      <c r="AA597" s="131"/>
      <c r="AB597" s="194" t="str">
        <f t="shared" si="6"/>
        <v>Judul : Komparasi Metode Penyediaan Model 3D Menggunakan Alat Bantu Pemodelan 3D Untuk Media Penjualan Online UMKM
Pembimbing : Mursid Wahyu Hananto, S.Si., M.Kom.
Penguji: 
1. Prof. Dr. Ir. H. Imam Riadi, M.Kom
Waktu : 08.45 - 09.30 WIB
Tempat : Lab Multimedia
Naskah : 
Note : 
- Mengingatkan serta menyerahkan Naskah hardfile  ke dosen pembimbing dan penguji paling lambat 2 hari sebelum ujian
- Teknis Pelaksanaan Ujian dilakukan secara offline sesuai dengan lokasi yang tertera di undangan ini</v>
      </c>
      <c r="AC597" s="131"/>
    </row>
    <row r="598" ht="16.5" customHeight="1">
      <c r="A598" s="107">
        <v>2021.0</v>
      </c>
      <c r="B598" s="131"/>
      <c r="C598" s="108">
        <v>45668.77907613426</v>
      </c>
      <c r="D598" s="109" t="s">
        <v>2790</v>
      </c>
      <c r="E598" s="327">
        <v>2.100016071E9</v>
      </c>
      <c r="F598" s="109" t="s">
        <v>2791</v>
      </c>
      <c r="G598" s="109" t="s">
        <v>2792</v>
      </c>
      <c r="H598" s="109" t="s">
        <v>2793</v>
      </c>
      <c r="I598" s="109" t="s">
        <v>399</v>
      </c>
      <c r="J598" s="109" t="s">
        <v>2352</v>
      </c>
      <c r="K598" s="141"/>
      <c r="L598" s="141"/>
      <c r="M598" s="131"/>
      <c r="N598" s="131"/>
      <c r="O598" s="195" t="s">
        <v>2630</v>
      </c>
      <c r="P598" s="140">
        <v>45677.0</v>
      </c>
      <c r="Q598" s="134" t="s">
        <v>1558</v>
      </c>
      <c r="R598" s="131"/>
      <c r="S598" s="131"/>
      <c r="T598" s="131"/>
      <c r="U598" s="131"/>
      <c r="V598" s="107" t="s">
        <v>316</v>
      </c>
      <c r="W598" s="131"/>
      <c r="X598" s="194" t="str">
        <f t="shared" si="10"/>
        <v>2025-01-20T14:00:00</v>
      </c>
      <c r="Y598" s="194" t="str">
        <f t="shared" si="4"/>
        <v>14:00</v>
      </c>
      <c r="Z598" s="194" t="str">
        <f t="shared" si="11"/>
        <v>2025-01-20T15:00:00</v>
      </c>
      <c r="AA598" s="131"/>
      <c r="AB598" s="194" t="str">
        <f t="shared" si="6"/>
        <v>Judul : Perancangan UI/UX Situs Web Wisata Religi Menggunakan Metode User Centered Design
Studi Kasus Lereng Sentono Pleret Bantul
Pembimbing : Mursid Wahyu Hananto, S.Si., M.Kom.
Penguji: 
1. Imam Azhari, S.Si., M.CS
Waktu : 14.00 - 14.45 WIB
Tempat : Lab Multimedia
Naskah : 
Note : 
- Mengingatkan serta menyerahkan Naskah hardfile  ke dosen pembimbing dan penguji paling lambat 2 hari sebelum ujian
- Teknis Pelaksanaan Ujian dilakukan secara offline sesuai dengan lokasi yang tertera di undangan ini</v>
      </c>
      <c r="AC598" s="131"/>
    </row>
    <row r="599" ht="17.25" customHeight="1">
      <c r="A599" s="107">
        <v>2021.0</v>
      </c>
      <c r="B599" s="131"/>
      <c r="C599" s="108">
        <v>45669.85615266203</v>
      </c>
      <c r="D599" s="109" t="s">
        <v>2794</v>
      </c>
      <c r="E599" s="327">
        <v>2.100016028E9</v>
      </c>
      <c r="F599" s="109" t="s">
        <v>2795</v>
      </c>
      <c r="G599" s="109" t="s">
        <v>2796</v>
      </c>
      <c r="H599" s="109" t="s">
        <v>2797</v>
      </c>
      <c r="I599" s="109" t="s">
        <v>399</v>
      </c>
      <c r="J599" s="109" t="s">
        <v>747</v>
      </c>
      <c r="K599" s="141"/>
      <c r="L599" s="141"/>
      <c r="M599" s="131"/>
      <c r="N599" s="131"/>
      <c r="O599" s="195" t="s">
        <v>703</v>
      </c>
      <c r="P599" s="140">
        <v>45677.0</v>
      </c>
      <c r="Q599" s="134" t="s">
        <v>2789</v>
      </c>
      <c r="R599" s="131"/>
      <c r="S599" s="131"/>
      <c r="T599" s="131"/>
      <c r="U599" s="131"/>
      <c r="V599" s="107" t="s">
        <v>316</v>
      </c>
      <c r="W599" s="131"/>
      <c r="X599" s="194" t="str">
        <f t="shared" si="10"/>
        <v>2025-01-20T08:40:00</v>
      </c>
      <c r="Y599" s="194" t="str">
        <f t="shared" si="4"/>
        <v>08:40</v>
      </c>
      <c r="Z599" s="194" t="str">
        <f t="shared" si="11"/>
        <v>2025-01-20T09:40:00</v>
      </c>
      <c r="AA599" s="131"/>
      <c r="AB599" s="194" t="str">
        <f t="shared" si="6"/>
        <v>Judul : Eksplorasi Moodle Global Log Learning Management System Universitas Ahmad Dahlan Menggunakan Pendekatan Process Mining
Pembimbing : Iwan Tri Riyadi Yanto, S.Si., M.IT, Ph.D.
Penguji: 
1. Farid Suryanto, S.Pd., M.T.
Waktu : 08.45 - 09.30 WIB
Tempat : Lab Multimedia
Naskah : 
Note : 
- Mengingatkan serta menyerahkan Naskah hardfile  ke dosen pembimbing dan penguji paling lambat 2 hari sebelum ujian
- Teknis Pelaksanaan Ujian dilakukan secara offline sesuai dengan lokasi yang tertera di undangan ini</v>
      </c>
      <c r="AC599" s="131"/>
    </row>
    <row r="600" ht="19.5" customHeight="1">
      <c r="A600" s="107">
        <v>2021.0</v>
      </c>
      <c r="B600" s="131"/>
      <c r="C600" s="108">
        <v>45669.96359501158</v>
      </c>
      <c r="D600" s="109" t="s">
        <v>2798</v>
      </c>
      <c r="E600" s="327">
        <v>2.10001607E9</v>
      </c>
      <c r="F600" s="109" t="s">
        <v>2799</v>
      </c>
      <c r="G600" s="109" t="s">
        <v>2800</v>
      </c>
      <c r="H600" s="109" t="s">
        <v>2801</v>
      </c>
      <c r="I600" s="109" t="s">
        <v>399</v>
      </c>
      <c r="J600" s="109" t="s">
        <v>183</v>
      </c>
      <c r="K600" s="141"/>
      <c r="L600" s="141"/>
      <c r="M600" s="131"/>
      <c r="N600" s="131"/>
      <c r="O600" s="195" t="s">
        <v>2553</v>
      </c>
      <c r="P600" s="140">
        <v>45678.0</v>
      </c>
      <c r="Q600" s="134" t="s">
        <v>1534</v>
      </c>
      <c r="R600" s="131"/>
      <c r="S600" s="131"/>
      <c r="T600" s="131"/>
      <c r="U600" s="131"/>
      <c r="V600" s="107" t="s">
        <v>316</v>
      </c>
      <c r="W600" s="131"/>
      <c r="X600" s="194" t="str">
        <f t="shared" si="10"/>
        <v>2025-01-21T09:30:00</v>
      </c>
      <c r="Y600" s="194" t="str">
        <f t="shared" si="4"/>
        <v>09:30</v>
      </c>
      <c r="Z600" s="194" t="str">
        <f t="shared" si="11"/>
        <v>2025-01-21T10:30:00</v>
      </c>
      <c r="AA600" s="131"/>
      <c r="AB600" s="194" t="str">
        <f t="shared" si="6"/>
        <v>Judul : Rancangan Strategi SI/TI untuk Mendukung Bisnis Perusahaan Menggunakan Metode Ward and Peppard pada PT. Krisna
Pembimbing : Sri Handayaningsih, ST., MT.
Penguji: 
1. Tawar, S.Si., M.Kom
Waktu : 09.30 - 10.15 WIB
Tempat : Lab Multimedia
Naskah : 
Note : 
- Mengingatkan serta menyerahkan Naskah hardfile  ke dosen pembimbing dan penguji paling lambat 2 hari sebelum ujian
- Teknis Pelaksanaan Ujian dilakukan secara offline sesuai dengan lokasi yang tertera di undangan ini</v>
      </c>
      <c r="AC600" s="131"/>
    </row>
    <row r="601" ht="22.5" customHeight="1">
      <c r="A601" s="107">
        <v>2021.0</v>
      </c>
      <c r="B601" s="131"/>
      <c r="C601" s="108">
        <v>45669.97809451389</v>
      </c>
      <c r="D601" s="109" t="s">
        <v>2802</v>
      </c>
      <c r="E601" s="327">
        <v>2.100016114E9</v>
      </c>
      <c r="F601" s="109" t="s">
        <v>2803</v>
      </c>
      <c r="G601" s="109" t="s">
        <v>2804</v>
      </c>
      <c r="H601" s="109" t="s">
        <v>2805</v>
      </c>
      <c r="I601" s="109" t="s">
        <v>399</v>
      </c>
      <c r="J601" s="109" t="s">
        <v>183</v>
      </c>
      <c r="K601" s="141"/>
      <c r="L601" s="141"/>
      <c r="M601" s="131"/>
      <c r="N601" s="131"/>
      <c r="O601" s="195" t="s">
        <v>2553</v>
      </c>
      <c r="P601" s="140">
        <v>45678.0</v>
      </c>
      <c r="Q601" s="134" t="s">
        <v>1540</v>
      </c>
      <c r="R601" s="131"/>
      <c r="S601" s="131"/>
      <c r="T601" s="131"/>
      <c r="U601" s="131"/>
      <c r="V601" s="107" t="s">
        <v>316</v>
      </c>
      <c r="W601" s="131"/>
      <c r="X601" s="194" t="str">
        <f t="shared" si="10"/>
        <v>2025-01-21T10:10:00</v>
      </c>
      <c r="Y601" s="194" t="str">
        <f t="shared" si="4"/>
        <v>10:10</v>
      </c>
      <c r="Z601" s="194" t="str">
        <f t="shared" si="11"/>
        <v>2025-01-21T11:10:00</v>
      </c>
      <c r="AA601" s="131"/>
      <c r="AB601" s="194" t="str">
        <f t="shared" si="6"/>
        <v>Judul : Rancangan Tata Kelola TI Pemberdayaan Kampung Wisata di Kelurahan Prenggan menggunakan Pendekatan COBIT 5
Pembimbing : Sri Handayaningsih, ST., MT.
Penguji: 
1. Tawar, S.Si., M.Kom
Waktu : 10.15 - 11.00 WIB
Tempat : Lab Multimedia
Naskah : 
Note : 
- Mengingatkan serta menyerahkan Naskah hardfile  ke dosen pembimbing dan penguji paling lambat 2 hari sebelum ujian
- Teknis Pelaksanaan Ujian dilakukan secara offline sesuai dengan lokasi yang tertera di undangan ini</v>
      </c>
      <c r="AC601" s="131"/>
    </row>
    <row r="602" ht="14.25" customHeight="1">
      <c r="A602" s="107">
        <v>2021.0</v>
      </c>
      <c r="B602" s="131"/>
      <c r="C602" s="108">
        <v>45670.01453997685</v>
      </c>
      <c r="D602" s="109" t="s">
        <v>2806</v>
      </c>
      <c r="E602" s="327">
        <v>2.111016054E9</v>
      </c>
      <c r="F602" s="109" t="s">
        <v>2807</v>
      </c>
      <c r="G602" s="109" t="s">
        <v>2808</v>
      </c>
      <c r="H602" s="109" t="s">
        <v>2809</v>
      </c>
      <c r="I602" s="109" t="s">
        <v>399</v>
      </c>
      <c r="J602" s="109" t="s">
        <v>241</v>
      </c>
      <c r="K602" s="141"/>
      <c r="L602" s="141"/>
      <c r="M602" s="131"/>
      <c r="N602" s="131"/>
      <c r="O602" s="195" t="s">
        <v>2810</v>
      </c>
      <c r="P602" s="140">
        <v>45680.0</v>
      </c>
      <c r="Q602" s="134" t="s">
        <v>2753</v>
      </c>
      <c r="R602" s="131"/>
      <c r="S602" s="131"/>
      <c r="T602" s="131"/>
      <c r="U602" s="131"/>
      <c r="V602" s="107" t="s">
        <v>316</v>
      </c>
      <c r="W602" s="131"/>
      <c r="X602" s="194" t="str">
        <f t="shared" si="10"/>
        <v>2025-01-23T07:00:00</v>
      </c>
      <c r="Y602" s="194" t="str">
        <f t="shared" si="4"/>
        <v>07:00</v>
      </c>
      <c r="Z602" s="194" t="str">
        <f t="shared" si="11"/>
        <v>2025-01-23T08:00:00</v>
      </c>
      <c r="AA602" s="131"/>
      <c r="AB602" s="194" t="str">
        <f t="shared" si="6"/>
        <v>Judul : Analisis dan Perancangan Proses Bisnis pada Lembaga Bimbingan Ibadah Haji dan Umroh
Studi Kasus pada Lembaga Pembinaan Haji dan Umroh (LPHU) PDM Kota Yogyakarta
Pembimbing : Tawar, S.Si., M.Kom.
Penguji: 
1. Sri Handayaningsih, S.T., M.T.
Waktu : 07.00 - 07.45 WIB
Tempat : Lab Multimedia
Naskah : 
Note : 
- Mengingatkan serta menyerahkan Naskah hardfile  ke dosen pembimbing dan penguji paling lambat 2 hari sebelum ujian
- Teknis Pelaksanaan Ujian dilakukan secara offline sesuai dengan lokasi yang tertera di undangan ini</v>
      </c>
      <c r="AC602" s="131"/>
    </row>
    <row r="603" ht="16.5" customHeight="1">
      <c r="A603" s="107">
        <v>2021.0</v>
      </c>
      <c r="B603" s="131"/>
      <c r="C603" s="108">
        <v>45670.01458732639</v>
      </c>
      <c r="D603" s="109" t="s">
        <v>2811</v>
      </c>
      <c r="E603" s="327">
        <v>2.100016101E9</v>
      </c>
      <c r="F603" s="109" t="s">
        <v>2812</v>
      </c>
      <c r="G603" s="109" t="s">
        <v>2813</v>
      </c>
      <c r="H603" s="109" t="s">
        <v>2814</v>
      </c>
      <c r="I603" s="109" t="s">
        <v>399</v>
      </c>
      <c r="J603" s="109" t="s">
        <v>117</v>
      </c>
      <c r="K603" s="141"/>
      <c r="L603" s="141"/>
      <c r="M603" s="131"/>
      <c r="N603" s="131"/>
      <c r="O603" s="195" t="s">
        <v>2617</v>
      </c>
      <c r="P603" s="140">
        <v>45680.0</v>
      </c>
      <c r="Q603" s="134" t="s">
        <v>1858</v>
      </c>
      <c r="R603" s="131"/>
      <c r="S603" s="131"/>
      <c r="T603" s="131"/>
      <c r="U603" s="131"/>
      <c r="V603" s="107" t="s">
        <v>316</v>
      </c>
      <c r="W603" s="131"/>
      <c r="X603" s="194" t="str">
        <f t="shared" si="10"/>
        <v>2025-01-23T12:30:00</v>
      </c>
      <c r="Y603" s="194" t="str">
        <f t="shared" si="4"/>
        <v>12:30</v>
      </c>
      <c r="Z603" s="194" t="str">
        <f t="shared" si="11"/>
        <v>2025-01-23T13:30:00</v>
      </c>
      <c r="AA603" s="131"/>
      <c r="AB603" s="194" t="str">
        <f t="shared" si="6"/>
        <v>Judul : Pengembangan Aplikasi Mobile Pharmacogenetic Card (PgCard) untuk Mendukung Pengobatan Presisi pada Pasien Diabetes Melitus Tipe 2
Pembimbing : Imam Azhari, S.Si., M.Cs.
Penguji: 
1. Dr. Mursid Wahyu Hananto, S.Si., M.Kom.
Waktu : 12.30 - 13.15 WIB
Tempat : Lab Multimedia
Naskah : 
Note : 
- Mengingatkan serta menyerahkan Naskah hardfile  ke dosen pembimbing dan penguji paling lambat 2 hari sebelum ujian
- Teknis Pelaksanaan Ujian dilakukan secara offline sesuai dengan lokasi yang tertera di undangan ini</v>
      </c>
      <c r="AC603" s="131"/>
    </row>
    <row r="604" ht="15.0" customHeight="1">
      <c r="A604" s="107">
        <v>2021.0</v>
      </c>
      <c r="B604" s="131"/>
      <c r="C604" s="108">
        <v>45670.19798119213</v>
      </c>
      <c r="D604" s="109" t="s">
        <v>2815</v>
      </c>
      <c r="E604" s="327">
        <v>2.111016053E9</v>
      </c>
      <c r="F604" s="109" t="s">
        <v>2816</v>
      </c>
      <c r="G604" s="109" t="s">
        <v>2817</v>
      </c>
      <c r="H604" s="109" t="s">
        <v>2818</v>
      </c>
      <c r="I604" s="109" t="s">
        <v>399</v>
      </c>
      <c r="J604" s="109" t="s">
        <v>183</v>
      </c>
      <c r="K604" s="141"/>
      <c r="L604" s="141"/>
      <c r="M604" s="131"/>
      <c r="N604" s="131"/>
      <c r="O604" s="195" t="s">
        <v>39</v>
      </c>
      <c r="P604" s="140">
        <v>45679.0</v>
      </c>
      <c r="Q604" s="134" t="s">
        <v>2780</v>
      </c>
      <c r="R604" s="131"/>
      <c r="S604" s="131"/>
      <c r="T604" s="131"/>
      <c r="U604" s="131"/>
      <c r="V604" s="107" t="s">
        <v>316</v>
      </c>
      <c r="W604" s="131"/>
      <c r="X604" s="194" t="str">
        <f t="shared" si="10"/>
        <v>2025-01-22T07:10:00</v>
      </c>
      <c r="Y604" s="194" t="str">
        <f t="shared" si="4"/>
        <v>07:10</v>
      </c>
      <c r="Z604" s="194" t="str">
        <f t="shared" si="11"/>
        <v>2025-01-22T08:10:00</v>
      </c>
      <c r="AA604" s="131"/>
      <c r="AB604" s="194" t="str">
        <f t="shared" si="6"/>
        <v>Judul : Desain User Interface dari Sistem Customer Relationships Management (CRM) pada kegiatan KKN UAD menggunakan Metode User Centered Design (UCD)
Studi Kasus Portal Akademik Mahasiswa UAD
Pembimbing : Sri Handayaningsih, ST., MT.
Penguji: 
1. Dr. Arif Rahman, S.Kom., M.T.
Waktu : 07.15 - 08.00 WIB
Tempat : Lab Multimedia
Naskah : 
Note : 
- Mengingatkan serta menyerahkan Naskah hardfile  ke dosen pembimbing dan penguji paling lambat 2 hari sebelum ujian
- Teknis Pelaksanaan Ujian dilakukan secara offline sesuai dengan lokasi yang tertera di undangan ini</v>
      </c>
      <c r="AC604" s="131"/>
    </row>
    <row r="605" ht="15.0" customHeight="1">
      <c r="A605" s="107">
        <v>2021.0</v>
      </c>
      <c r="B605" s="131"/>
      <c r="C605" s="108">
        <v>45670.4077024537</v>
      </c>
      <c r="D605" s="109" t="s">
        <v>2819</v>
      </c>
      <c r="E605" s="327">
        <v>2.111016049E9</v>
      </c>
      <c r="F605" s="109" t="s">
        <v>2820</v>
      </c>
      <c r="G605" s="109" t="s">
        <v>2821</v>
      </c>
      <c r="H605" s="109" t="s">
        <v>2822</v>
      </c>
      <c r="I605" s="109" t="s">
        <v>399</v>
      </c>
      <c r="J605" s="109" t="s">
        <v>117</v>
      </c>
      <c r="K605" s="141"/>
      <c r="L605" s="141"/>
      <c r="M605" s="131"/>
      <c r="N605" s="131"/>
      <c r="O605" s="195" t="s">
        <v>2617</v>
      </c>
      <c r="P605" s="140">
        <v>45680.0</v>
      </c>
      <c r="Q605" s="134" t="s">
        <v>1895</v>
      </c>
      <c r="R605" s="131"/>
      <c r="S605" s="131"/>
      <c r="T605" s="131"/>
      <c r="U605" s="131"/>
      <c r="V605" s="107" t="s">
        <v>316</v>
      </c>
      <c r="W605" s="131"/>
      <c r="X605" s="194" t="str">
        <f t="shared" si="10"/>
        <v>2025-01-23T13:10:00</v>
      </c>
      <c r="Y605" s="194" t="str">
        <f t="shared" si="4"/>
        <v>13:10</v>
      </c>
      <c r="Z605" s="194" t="str">
        <f t="shared" si="11"/>
        <v>2025-01-23T14:10:00</v>
      </c>
      <c r="AA605" s="131"/>
      <c r="AB605" s="194" t="str">
        <f t="shared" si="6"/>
        <v>Judul : Analisis Pengaruh Sistem Informasi terhadap Tingkat Kepuasan Pengunjung Museum Muhammadiyah menggunakan metode Servqual (Service Quality)
Studi Kasus Museum Muhammadiyah 
Pembimbing : Imam Azhari, S.Si., M.Cs.
Penguji: 
1. Dr. Mursid Wahyu Hananto, S.Si., M.Kom.
Waktu : 13.15 - 14.00 WIB
Tempat : Lab Multimedia
Naskah : 
Note : 
- Mengingatkan serta menyerahkan Naskah hardfile  ke dosen pembimbing dan penguji paling lambat 2 hari sebelum ujian
- Teknis Pelaksanaan Ujian dilakukan secara offline sesuai dengan lokasi yang tertera di undangan ini</v>
      </c>
      <c r="AC605" s="131"/>
    </row>
    <row r="606" ht="20.25" customHeight="1">
      <c r="A606" s="107">
        <v>2021.0</v>
      </c>
      <c r="B606" s="131"/>
      <c r="C606" s="108">
        <v>45670.42869719907</v>
      </c>
      <c r="D606" s="109" t="s">
        <v>2823</v>
      </c>
      <c r="E606" s="327">
        <v>2.100016084E9</v>
      </c>
      <c r="F606" s="109" t="s">
        <v>2824</v>
      </c>
      <c r="G606" s="109" t="s">
        <v>2825</v>
      </c>
      <c r="H606" s="109" t="s">
        <v>2826</v>
      </c>
      <c r="I606" s="109" t="s">
        <v>399</v>
      </c>
      <c r="J606" s="109" t="s">
        <v>117</v>
      </c>
      <c r="K606" s="141"/>
      <c r="L606" s="141"/>
      <c r="M606" s="131"/>
      <c r="N606" s="131"/>
      <c r="O606" s="195" t="s">
        <v>2672</v>
      </c>
      <c r="P606" s="140">
        <v>45679.0</v>
      </c>
      <c r="Q606" s="134" t="s">
        <v>1558</v>
      </c>
      <c r="R606" s="131"/>
      <c r="S606" s="131"/>
      <c r="T606" s="131"/>
      <c r="U606" s="131"/>
      <c r="V606" s="107" t="s">
        <v>316</v>
      </c>
      <c r="W606" s="131"/>
      <c r="X606" s="194" t="str">
        <f t="shared" si="10"/>
        <v>2025-01-22T14:00:00</v>
      </c>
      <c r="Y606" s="194" t="str">
        <f t="shared" si="4"/>
        <v>14:00</v>
      </c>
      <c r="Z606" s="194" t="str">
        <f t="shared" si="11"/>
        <v>2025-01-22T15:00:00</v>
      </c>
      <c r="AA606" s="131"/>
      <c r="AB606" s="194" t="str">
        <f t="shared" si="6"/>
        <v>Judul : Analisis Persepsi Pasien terhadap Sistem Pendaftaran Online di RSKIA PKU Kotagede: Pendekatan Model TAM
Pembimbing : Imam Azhari, S.Si., M.Cs.
Penguji: 
1. Iwan Tri Riyadi Yanto, S.Si., M.I.T., Ph.D
Waktu : 14.00 - 14.45 WIB
Tempat : Lab Multimedia
Naskah : 
Note : 
- Mengingatkan serta menyerahkan Naskah hardfile  ke dosen pembimbing dan penguji paling lambat 2 hari sebelum ujian
- Teknis Pelaksanaan Ujian dilakukan secara offline sesuai dengan lokasi yang tertera di undangan ini</v>
      </c>
      <c r="AC606" s="131"/>
    </row>
    <row r="607" ht="20.25" customHeight="1">
      <c r="A607" s="107">
        <v>2021.0</v>
      </c>
      <c r="B607" s="131"/>
      <c r="C607" s="214">
        <v>45670.477341666665</v>
      </c>
      <c r="D607" s="131" t="s">
        <v>2827</v>
      </c>
      <c r="E607" s="315">
        <v>2.100016116E9</v>
      </c>
      <c r="F607" s="131" t="s">
        <v>2828</v>
      </c>
      <c r="G607" s="131" t="s">
        <v>2829</v>
      </c>
      <c r="H607" s="131" t="s">
        <v>2830</v>
      </c>
      <c r="I607" s="131" t="s">
        <v>399</v>
      </c>
      <c r="J607" s="131" t="s">
        <v>183</v>
      </c>
      <c r="K607" s="139"/>
      <c r="L607" s="139"/>
      <c r="M607" s="131"/>
      <c r="N607" s="131"/>
      <c r="O607" s="195" t="s">
        <v>2630</v>
      </c>
      <c r="P607" s="140">
        <v>45681.0</v>
      </c>
      <c r="Q607" s="134" t="s">
        <v>1858</v>
      </c>
      <c r="R607" s="131"/>
      <c r="S607" s="131"/>
      <c r="T607" s="131"/>
      <c r="U607" s="131"/>
      <c r="V607" s="107" t="s">
        <v>316</v>
      </c>
      <c r="W607" s="131"/>
      <c r="X607" s="194" t="str">
        <f t="shared" si="10"/>
        <v>2025-01-24T12:30:00</v>
      </c>
      <c r="Y607" s="194" t="str">
        <f t="shared" si="4"/>
        <v>12:30</v>
      </c>
      <c r="Z607" s="194" t="str">
        <f t="shared" si="11"/>
        <v>2025-01-24T13:30:00</v>
      </c>
      <c r="AA607" s="131"/>
      <c r="AB607" s="194" t="str">
        <f t="shared" si="6"/>
        <v>Judul : Perancangan UI/UX Sistem Layanan Rumah Singgah Pasien Muhammadiyah (RSPM) DIY Menggunakan Metode Design Thinking
Pembimbing : Sri Handayaningsih, ST., MT.
Penguji: 
1. Imam Azhari, S.Si., M.CS
Waktu : 12.30 - 13.15 WIB
Tempat : Lab Multimedia
Naskah : 
Note : 
- Mengingatkan serta menyerahkan Naskah hardfile  ke dosen pembimbing dan penguji paling lambat 2 hari sebelum ujian
- Teknis Pelaksanaan Ujian dilakukan secara offline sesuai dengan lokasi yang tertera di undangan ini</v>
      </c>
      <c r="AC607" s="131"/>
    </row>
    <row r="608" ht="20.25" customHeight="1">
      <c r="A608" s="107">
        <v>2021.0</v>
      </c>
      <c r="B608" s="131"/>
      <c r="C608" s="214">
        <v>45670.48828628472</v>
      </c>
      <c r="D608" s="131" t="s">
        <v>2831</v>
      </c>
      <c r="E608" s="315">
        <v>2.10001602E9</v>
      </c>
      <c r="F608" s="131" t="s">
        <v>2832</v>
      </c>
      <c r="G608" s="131" t="s">
        <v>2833</v>
      </c>
      <c r="H608" s="131" t="s">
        <v>2834</v>
      </c>
      <c r="I608" s="131" t="s">
        <v>399</v>
      </c>
      <c r="J608" s="131" t="s">
        <v>39</v>
      </c>
      <c r="K608" s="139"/>
      <c r="L608" s="139"/>
      <c r="M608" s="131"/>
      <c r="N608" s="131"/>
      <c r="O608" s="195" t="s">
        <v>2672</v>
      </c>
      <c r="P608" s="140">
        <v>45680.0</v>
      </c>
      <c r="Q608" s="134" t="s">
        <v>2835</v>
      </c>
      <c r="R608" s="131"/>
      <c r="S608" s="131"/>
      <c r="T608" s="131"/>
      <c r="U608" s="131"/>
      <c r="V608" s="107" t="s">
        <v>316</v>
      </c>
      <c r="W608" s="131"/>
      <c r="X608" s="194" t="str">
        <f t="shared" si="10"/>
        <v>2025-01-23T09:10:00</v>
      </c>
      <c r="Y608" s="194" t="str">
        <f t="shared" si="4"/>
        <v>09:10</v>
      </c>
      <c r="Z608" s="194" t="str">
        <f t="shared" si="11"/>
        <v>2025-01-23T10:10:00</v>
      </c>
      <c r="AA608" s="131"/>
      <c r="AB608" s="194" t="str">
        <f t="shared" si="6"/>
        <v>Judul : Perbandingan Algoritma Neural Collaborative, Content-Based dan Hybrid Filtering untuk Sistem Rekomendasi Bantuan Sosial Desa
Pembimbing : Dr. Arif Rahman, S.Kom., M.T.
Penguji: 
1. Iwan Tri Riyadi Yanto, S.Si., M.I.T., Ph.D
Waktu : 09.15 -10.00 WIB
Tempat : Lab Multimedia
Naskah : 
Note : 
- Mengingatkan serta menyerahkan Naskah hardfile  ke dosen pembimbing dan penguji paling lambat 2 hari sebelum ujian
- Teknis Pelaksanaan Ujian dilakukan secara offline sesuai dengan lokasi yang tertera di undangan ini</v>
      </c>
      <c r="AC608" s="131"/>
    </row>
    <row r="609" ht="20.25" customHeight="1">
      <c r="A609" s="107">
        <v>2021.0</v>
      </c>
      <c r="B609" s="131"/>
      <c r="C609" s="214">
        <v>45670.48953420139</v>
      </c>
      <c r="D609" s="131" t="s">
        <v>2836</v>
      </c>
      <c r="E609" s="315">
        <v>2.100016103E9</v>
      </c>
      <c r="F609" s="131" t="s">
        <v>2837</v>
      </c>
      <c r="G609" s="131" t="s">
        <v>2838</v>
      </c>
      <c r="H609" s="131" t="s">
        <v>2839</v>
      </c>
      <c r="I609" s="131" t="s">
        <v>399</v>
      </c>
      <c r="J609" s="131" t="s">
        <v>39</v>
      </c>
      <c r="K609" s="139"/>
      <c r="L609" s="139"/>
      <c r="M609" s="131"/>
      <c r="N609" s="131"/>
      <c r="O609" s="195" t="s">
        <v>2672</v>
      </c>
      <c r="P609" s="140">
        <v>45680.0</v>
      </c>
      <c r="Q609" s="134" t="s">
        <v>1836</v>
      </c>
      <c r="R609" s="131"/>
      <c r="S609" s="131"/>
      <c r="T609" s="131"/>
      <c r="U609" s="131"/>
      <c r="V609" s="107" t="s">
        <v>316</v>
      </c>
      <c r="W609" s="131"/>
      <c r="X609" s="194" t="str">
        <f t="shared" si="10"/>
        <v>2025-01-23T10:00:00</v>
      </c>
      <c r="Y609" s="194" t="str">
        <f t="shared" si="4"/>
        <v>10:00</v>
      </c>
      <c r="Z609" s="194" t="str">
        <f t="shared" si="11"/>
        <v>2025-01-23T11:00:00</v>
      </c>
      <c r="AA609" s="131"/>
      <c r="AB609" s="194" t="str">
        <f t="shared" si="6"/>
        <v>Judul : Pengembangan Dashboard Interaktif untuk Klasifikasi Kelulusan Tepat Waktu dengan Algoritma Support Vector Machine
Pembimbing : Dr. Arif Rahman, S.Kom., M.T.
Penguji: 
1. Iwan Tri Riyadi Yanto, S.Si., M.I.T., Ph.D
Waktu : 10.00 - 10.45 WIB
Tempat : Lab Multimedia
Naskah : 
Note : 
- Mengingatkan serta menyerahkan Naskah hardfile  ke dosen pembimbing dan penguji paling lambat 2 hari sebelum ujian
- Teknis Pelaksanaan Ujian dilakukan secara offline sesuai dengan lokasi yang tertera di undangan ini</v>
      </c>
      <c r="AC609" s="131"/>
    </row>
    <row r="610" ht="20.25" customHeight="1">
      <c r="A610" s="107">
        <v>2021.0</v>
      </c>
      <c r="B610" s="131"/>
      <c r="C610" s="214">
        <v>45670.50189466435</v>
      </c>
      <c r="D610" s="131" t="s">
        <v>2840</v>
      </c>
      <c r="E610" s="315">
        <v>2.10001603E9</v>
      </c>
      <c r="F610" s="131" t="s">
        <v>2841</v>
      </c>
      <c r="G610" s="131" t="s">
        <v>2842</v>
      </c>
      <c r="H610" s="131" t="s">
        <v>2843</v>
      </c>
      <c r="I610" s="131" t="s">
        <v>399</v>
      </c>
      <c r="J610" s="131" t="s">
        <v>183</v>
      </c>
      <c r="K610" s="139"/>
      <c r="L610" s="139"/>
      <c r="M610" s="131"/>
      <c r="N610" s="131"/>
      <c r="O610" s="195" t="s">
        <v>2553</v>
      </c>
      <c r="P610" s="140">
        <v>45680.0</v>
      </c>
      <c r="Q610" s="134" t="s">
        <v>2758</v>
      </c>
      <c r="R610" s="131"/>
      <c r="S610" s="131"/>
      <c r="T610" s="131"/>
      <c r="U610" s="131"/>
      <c r="V610" s="107" t="s">
        <v>316</v>
      </c>
      <c r="W610" s="131"/>
      <c r="X610" s="194" t="str">
        <f t="shared" si="10"/>
        <v>2025-01-23T07:40:00</v>
      </c>
      <c r="Y610" s="194" t="str">
        <f t="shared" si="4"/>
        <v>07:40</v>
      </c>
      <c r="Z610" s="194" t="str">
        <f t="shared" si="11"/>
        <v>2025-01-23T08:40:00</v>
      </c>
      <c r="AA610" s="131"/>
      <c r="AB610" s="194" t="str">
        <f t="shared" si="6"/>
        <v>Judul : Perancangan Tata Kelola TI Menggunakan COBIT 5 pada Museum Muhammadiyah
Pembimbing : Sri Handayaningsih, ST., MT.
Penguji: 
1. Tawar, S.Si., M.Kom
Waktu : 07.45 - 08.30 WIB
Tempat : Lab Multimedia
Naskah : 
Note : 
- Mengingatkan serta menyerahkan Naskah hardfile  ke dosen pembimbing dan penguji paling lambat 2 hari sebelum ujian
- Teknis Pelaksanaan Ujian dilakukan secara offline sesuai dengan lokasi yang tertera di undangan ini</v>
      </c>
      <c r="AC610" s="131"/>
    </row>
    <row r="611" ht="20.25" customHeight="1">
      <c r="A611" s="107">
        <v>2021.0</v>
      </c>
      <c r="B611" s="131"/>
      <c r="C611" s="214">
        <v>45670.50445289352</v>
      </c>
      <c r="D611" s="131" t="s">
        <v>2844</v>
      </c>
      <c r="E611" s="315">
        <v>2.100016119E9</v>
      </c>
      <c r="F611" s="131" t="s">
        <v>2845</v>
      </c>
      <c r="G611" s="131" t="s">
        <v>2846</v>
      </c>
      <c r="H611" s="131" t="s">
        <v>2847</v>
      </c>
      <c r="I611" s="131" t="s">
        <v>399</v>
      </c>
      <c r="J611" s="131" t="s">
        <v>183</v>
      </c>
      <c r="K611" s="139"/>
      <c r="L611" s="139"/>
      <c r="M611" s="131"/>
      <c r="N611" s="131"/>
      <c r="O611" s="195" t="s">
        <v>39</v>
      </c>
      <c r="P611" s="140">
        <v>45681.0</v>
      </c>
      <c r="Q611" s="134" t="s">
        <v>2753</v>
      </c>
      <c r="R611" s="131"/>
      <c r="S611" s="131"/>
      <c r="T611" s="131"/>
      <c r="U611" s="131"/>
      <c r="V611" s="107" t="s">
        <v>316</v>
      </c>
      <c r="W611" s="131"/>
      <c r="X611" s="194" t="str">
        <f t="shared" si="10"/>
        <v>2025-01-24T07:00:00</v>
      </c>
      <c r="Y611" s="194" t="str">
        <f t="shared" si="4"/>
        <v>07:00</v>
      </c>
      <c r="Z611" s="194" t="str">
        <f t="shared" si="11"/>
        <v>2025-01-24T08:00:00</v>
      </c>
      <c r="AA611" s="131"/>
      <c r="AB611" s="194" t="str">
        <f t="shared" si="6"/>
        <v>Judul : Perancangan Aplikasi Mobile Sistem Informasi Pesantren Mahasiswa Kyai Haji Ahmad Dahlan menggunakan metode Design Thinking
Pembimbing : Sri Handayaningsih, ST., MT.
Penguji: 
1. Dr. Arif Rahman, S.Kom., M.T.
Waktu : 07.00 - 07.45 WIB
Tempat : Lab Multimedia
Naskah : 
Note : 
- Mengingatkan serta menyerahkan Naskah hardfile  ke dosen pembimbing dan penguji paling lambat 2 hari sebelum ujian
- Teknis Pelaksanaan Ujian dilakukan secara offline sesuai dengan lokasi yang tertera di undangan ini</v>
      </c>
      <c r="AC611" s="131"/>
    </row>
    <row r="612" ht="20.25" customHeight="1">
      <c r="A612" s="107">
        <v>2021.0</v>
      </c>
      <c r="B612" s="131"/>
      <c r="C612" s="214">
        <v>45670.535590659725</v>
      </c>
      <c r="D612" s="131" t="s">
        <v>2848</v>
      </c>
      <c r="E612" s="315">
        <v>2.100016091E9</v>
      </c>
      <c r="F612" s="131" t="s">
        <v>2849</v>
      </c>
      <c r="G612" s="131" t="s">
        <v>2850</v>
      </c>
      <c r="H612" s="131" t="s">
        <v>2851</v>
      </c>
      <c r="I612" s="131" t="s">
        <v>399</v>
      </c>
      <c r="J612" s="131" t="s">
        <v>117</v>
      </c>
      <c r="K612" s="139"/>
      <c r="L612" s="139"/>
      <c r="M612" s="131"/>
      <c r="N612" s="131"/>
      <c r="O612" s="195" t="s">
        <v>2810</v>
      </c>
      <c r="P612" s="140">
        <v>45681.0</v>
      </c>
      <c r="Q612" s="134" t="s">
        <v>1895</v>
      </c>
      <c r="R612" s="131"/>
      <c r="S612" s="131"/>
      <c r="T612" s="131"/>
      <c r="U612" s="131"/>
      <c r="V612" s="107" t="s">
        <v>316</v>
      </c>
      <c r="W612" s="131"/>
      <c r="X612" s="194" t="str">
        <f t="shared" si="10"/>
        <v>2025-01-24T13:10:00</v>
      </c>
      <c r="Y612" s="194" t="str">
        <f t="shared" si="4"/>
        <v>13:10</v>
      </c>
      <c r="Z612" s="194" t="str">
        <f t="shared" si="11"/>
        <v>2025-01-24T14:10:00</v>
      </c>
      <c r="AA612" s="131"/>
      <c r="AB612" s="194" t="str">
        <f t="shared" si="6"/>
        <v>Judul : Analisis Penerimaan dan Evaluasi Aplikasi Si-KPT Menggunakan Technology Acceptance Model (TAM) untuk Peningkatan Layanan di Kantor Pemerintah Terpadu Pemkab Brebes
Pembimbing : Imam Azhari, S.Si., M.Cs.
Penguji: 
1. Sri Handayaningsih, S.T., M.T.
Waktu : 13.15 - 14.00 WIB
Tempat : Lab Multimedia
Naskah : 
Note : 
- Mengingatkan serta menyerahkan Naskah hardfile  ke dosen pembimbing dan penguji paling lambat 2 hari sebelum ujian
- Teknis Pelaksanaan Ujian dilakukan secara offline sesuai dengan lokasi yang tertera di undangan ini</v>
      </c>
      <c r="AC612" s="131"/>
    </row>
    <row r="613" ht="22.5" customHeight="1">
      <c r="A613" s="107">
        <v>2021.0</v>
      </c>
      <c r="B613" s="131"/>
      <c r="C613" s="214">
        <v>45670.535865590275</v>
      </c>
      <c r="D613" s="131" t="s">
        <v>2852</v>
      </c>
      <c r="E613" s="315">
        <v>2.100016076E9</v>
      </c>
      <c r="F613" s="131" t="s">
        <v>2853</v>
      </c>
      <c r="G613" s="131" t="s">
        <v>2854</v>
      </c>
      <c r="H613" s="131" t="s">
        <v>2855</v>
      </c>
      <c r="I613" s="131" t="s">
        <v>399</v>
      </c>
      <c r="J613" s="131" t="s">
        <v>117</v>
      </c>
      <c r="K613" s="139"/>
      <c r="L613" s="139"/>
      <c r="M613" s="131"/>
      <c r="N613" s="131"/>
      <c r="O613" s="195" t="s">
        <v>2553</v>
      </c>
      <c r="P613" s="140">
        <v>45681.0</v>
      </c>
      <c r="Q613" s="134" t="s">
        <v>1558</v>
      </c>
      <c r="R613" s="131"/>
      <c r="S613" s="131"/>
      <c r="T613" s="131"/>
      <c r="U613" s="131"/>
      <c r="V613" s="107" t="s">
        <v>316</v>
      </c>
      <c r="W613" s="131"/>
      <c r="X613" s="194" t="str">
        <f t="shared" si="10"/>
        <v>2025-01-24T14:00:00</v>
      </c>
      <c r="Y613" s="194" t="str">
        <f t="shared" si="4"/>
        <v>14:00</v>
      </c>
      <c r="Z613" s="194" t="str">
        <f t="shared" si="11"/>
        <v>2025-01-24T15:00:00</v>
      </c>
      <c r="AA613" s="131"/>
      <c r="AB613" s="194" t="str">
        <f t="shared" si="6"/>
        <v>Judul : Analisis Penerimaan Teknologi Aksesibilitas Talkback dalam Pendidikan Tunanetra Menggunakan Technology Acceptance Model (TAM)
Pembimbing : Imam Azhari, S.Si., M.Cs.
Penguji: 
1. Tawar, S.Si., M.Kom
Waktu : 14.00 - 14.45 WIB
Tempat : Lab Multimedia
Naskah : 
Note : 
- Mengingatkan serta menyerahkan Naskah hardfile  ke dosen pembimbing dan penguji paling lambat 2 hari sebelum ujian
- Teknis Pelaksanaan Ujian dilakukan secara offline sesuai dengan lokasi yang tertera di undangan ini</v>
      </c>
      <c r="AC613" s="131"/>
    </row>
    <row r="614" ht="16.5" customHeight="1">
      <c r="A614" s="107">
        <v>2021.0</v>
      </c>
      <c r="B614" s="131"/>
      <c r="C614" s="214">
        <v>45670.55034743055</v>
      </c>
      <c r="D614" s="131" t="s">
        <v>2856</v>
      </c>
      <c r="E614" s="315">
        <v>2.100016075E9</v>
      </c>
      <c r="F614" s="131" t="s">
        <v>2857</v>
      </c>
      <c r="G614" s="131" t="s">
        <v>2858</v>
      </c>
      <c r="H614" s="131" t="s">
        <v>2859</v>
      </c>
      <c r="I614" s="131" t="s">
        <v>399</v>
      </c>
      <c r="J614" s="131" t="s">
        <v>747</v>
      </c>
      <c r="K614" s="139"/>
      <c r="L614" s="139"/>
      <c r="M614" s="131"/>
      <c r="N614" s="131"/>
      <c r="O614" s="195" t="s">
        <v>2810</v>
      </c>
      <c r="P614" s="140">
        <v>45679.0</v>
      </c>
      <c r="Q614" s="134" t="s">
        <v>2763</v>
      </c>
      <c r="R614" s="131"/>
      <c r="S614" s="131"/>
      <c r="T614" s="131"/>
      <c r="U614" s="131"/>
      <c r="V614" s="107" t="s">
        <v>316</v>
      </c>
      <c r="W614" s="131"/>
      <c r="X614" s="194" t="str">
        <f t="shared" si="10"/>
        <v>2025-01-22T08:30:00</v>
      </c>
      <c r="Y614" s="194" t="str">
        <f t="shared" si="4"/>
        <v>08:30</v>
      </c>
      <c r="Z614" s="194" t="str">
        <f t="shared" si="11"/>
        <v>2025-01-22T09:30:00</v>
      </c>
      <c r="AA614" s="131"/>
      <c r="AB614" s="194" t="str">
        <f t="shared" si="6"/>
        <v>Judul : Analisis Penerimaan Teknologi Aplikasi Point of Sale (POS) pada Restoran Cepat Saji XYZ Menggunakan Metode Technology Acceptance Model (TAM)
Pembimbing : Iwan Tri Riyadi Yanto, S.Si., M.IT, Ph.D.
Penguji: 
1. Sri Handayaningsih, S.T., M.T.
Waktu : 08.30 - 09.15 WIB
Tempat : Lab Multimedia
Naskah : 
Note : 
- Mengingatkan serta menyerahkan Naskah hardfile  ke dosen pembimbing dan penguji paling lambat 2 hari sebelum ujian
- Teknis Pelaksanaan Ujian dilakukan secara offline sesuai dengan lokasi yang tertera di undangan ini</v>
      </c>
      <c r="AC614" s="131"/>
    </row>
    <row r="615" ht="16.5" customHeight="1">
      <c r="A615" s="107">
        <v>2021.0</v>
      </c>
      <c r="B615" s="131"/>
      <c r="C615" s="214">
        <v>45671.45372469907</v>
      </c>
      <c r="D615" s="131" t="s">
        <v>2860</v>
      </c>
      <c r="E615" s="315">
        <v>2.100016127E9</v>
      </c>
      <c r="F615" s="131" t="s">
        <v>2861</v>
      </c>
      <c r="G615" s="131" t="s">
        <v>2862</v>
      </c>
      <c r="H615" s="131" t="s">
        <v>2863</v>
      </c>
      <c r="I615" s="131" t="s">
        <v>399</v>
      </c>
      <c r="J615" s="131" t="s">
        <v>183</v>
      </c>
      <c r="K615" s="139"/>
      <c r="L615" s="139"/>
      <c r="M615" s="131"/>
      <c r="N615" s="131"/>
      <c r="O615" s="195" t="s">
        <v>703</v>
      </c>
      <c r="P615" s="140">
        <v>45681.0</v>
      </c>
      <c r="Q615" s="134" t="s">
        <v>2758</v>
      </c>
      <c r="R615" s="131"/>
      <c r="S615" s="131"/>
      <c r="T615" s="131"/>
      <c r="U615" s="131"/>
      <c r="V615" s="107" t="s">
        <v>316</v>
      </c>
      <c r="W615" s="131"/>
      <c r="X615" s="194" t="str">
        <f t="shared" si="10"/>
        <v>2025-01-24T07:40:00</v>
      </c>
      <c r="Y615" s="194" t="str">
        <f t="shared" si="4"/>
        <v>07:40</v>
      </c>
      <c r="Z615" s="194" t="str">
        <f t="shared" si="11"/>
        <v>2025-01-24T08:40:00</v>
      </c>
      <c r="AA615" s="131"/>
      <c r="AB615" s="194" t="str">
        <f t="shared" si="6"/>
        <v>Judul : perancangan sistem e-ticketing pada teater wejang dengan metode user centered design (ucd)
Pembimbing : Sri Handayaningsih, ST., MT.
Penguji: 
1. Farid Suryanto, S.Pd., M.T.
Waktu : 07.45 - 08.30 WIB
Tempat : Lab Multimedia
Naskah : 
Note : 
- Mengingatkan serta menyerahkan Naskah hardfile  ke dosen pembimbing dan penguji paling lambat 2 hari sebelum ujian
- Teknis Pelaksanaan Ujian dilakukan secara offline sesuai dengan lokasi yang tertera di undangan ini</v>
      </c>
      <c r="AC615" s="131"/>
    </row>
    <row r="616" ht="16.5" customHeight="1">
      <c r="A616" s="107">
        <v>2021.0</v>
      </c>
      <c r="B616" s="131"/>
      <c r="C616" s="214">
        <v>45672.14565266203</v>
      </c>
      <c r="D616" s="131" t="s">
        <v>2864</v>
      </c>
      <c r="E616" s="315">
        <v>2.10001609E9</v>
      </c>
      <c r="F616" s="131" t="s">
        <v>2865</v>
      </c>
      <c r="G616" s="131" t="s">
        <v>2866</v>
      </c>
      <c r="H616" s="131" t="s">
        <v>2867</v>
      </c>
      <c r="I616" s="131" t="s">
        <v>399</v>
      </c>
      <c r="J616" s="131" t="s">
        <v>183</v>
      </c>
      <c r="K616" s="139"/>
      <c r="L616" s="139"/>
      <c r="M616" s="131"/>
      <c r="N616" s="131"/>
      <c r="O616" s="195" t="s">
        <v>2553</v>
      </c>
      <c r="P616" s="140">
        <v>45680.0</v>
      </c>
      <c r="Q616" s="134" t="s">
        <v>2763</v>
      </c>
      <c r="R616" s="131"/>
      <c r="S616" s="131"/>
      <c r="T616" s="131"/>
      <c r="U616" s="131"/>
      <c r="V616" s="107" t="s">
        <v>316</v>
      </c>
      <c r="W616" s="131"/>
      <c r="X616" s="194" t="str">
        <f t="shared" si="10"/>
        <v>2025-01-23T08:30:00</v>
      </c>
      <c r="Y616" s="194" t="str">
        <f t="shared" si="4"/>
        <v>08:30</v>
      </c>
      <c r="Z616" s="194" t="str">
        <f t="shared" si="11"/>
        <v>2025-01-23T09:30:00</v>
      </c>
      <c r="AA616" s="131"/>
      <c r="AB616" s="194" t="str">
        <f t="shared" si="6"/>
        <v>Judul : Rancangan Kebutuhan Sumber Daya TI Pada Proses Supply Chain Management (SCM) Menggunakan Metode Cobit-19 
Pembimbing : Sri Handayaningsih, ST., MT.
Penguji: 
1. Tawar, S.Si., M.Kom
Waktu : 08.30 - 09.15 WIB
Tempat : Lab Multimedia
Naskah : 
Note : 
- Mengingatkan serta menyerahkan Naskah hardfile  ke dosen pembimbing dan penguji paling lambat 2 hari sebelum ujian
- Teknis Pelaksanaan Ujian dilakukan secara offline sesuai dengan lokasi yang tertera di undangan ini</v>
      </c>
      <c r="AC616" s="131"/>
    </row>
    <row r="617" ht="16.5" customHeight="1">
      <c r="A617" s="107">
        <v>2021.0</v>
      </c>
      <c r="B617" s="131"/>
      <c r="C617" s="214">
        <v>45672.50683299768</v>
      </c>
      <c r="D617" s="131" t="s">
        <v>2868</v>
      </c>
      <c r="E617" s="315">
        <v>2.100016026E9</v>
      </c>
      <c r="F617" s="131" t="s">
        <v>2869</v>
      </c>
      <c r="G617" s="131" t="s">
        <v>2870</v>
      </c>
      <c r="H617" s="131" t="s">
        <v>2871</v>
      </c>
      <c r="I617" s="131" t="s">
        <v>399</v>
      </c>
      <c r="J617" s="131" t="s">
        <v>183</v>
      </c>
      <c r="K617" s="139"/>
      <c r="L617" s="139"/>
      <c r="M617" s="131"/>
      <c r="N617" s="131"/>
      <c r="O617" s="195" t="s">
        <v>2553</v>
      </c>
      <c r="P617" s="140">
        <v>45681.0</v>
      </c>
      <c r="Q617" s="134" t="s">
        <v>2763</v>
      </c>
      <c r="R617" s="131"/>
      <c r="S617" s="131"/>
      <c r="T617" s="131"/>
      <c r="U617" s="131"/>
      <c r="V617" s="107" t="s">
        <v>316</v>
      </c>
      <c r="W617" s="131"/>
      <c r="X617" s="194" t="str">
        <f t="shared" si="10"/>
        <v>2025-01-24T08:30:00</v>
      </c>
      <c r="Y617" s="194" t="str">
        <f t="shared" si="4"/>
        <v>08:30</v>
      </c>
      <c r="Z617" s="194" t="str">
        <f t="shared" si="11"/>
        <v>2025-01-24T09:30:00</v>
      </c>
      <c r="AA617" s="131"/>
      <c r="AB617" s="194" t="str">
        <f t="shared" si="6"/>
        <v>Judul : Perancangan proses customer relationship management (CRM) berbasis Information Technology (IT) menggunakan metode Business Process Analysis (BPA) pada studi kasus Ailen Coffee
Pembimbing : Sri Handayaningsih, ST., MT.
Penguji: 
1. Tawar, S.Si., M.Kom
Waktu : 08.30 - 09.15 WIB
Tempat : Lab Multimedia
Naskah : 
Note : 
- Mengingatkan serta menyerahkan Naskah hardfile  ke dosen pembimbing dan penguji paling lambat 2 hari sebelum ujian
- Teknis Pelaksanaan Ujian dilakukan secara offline sesuai dengan lokasi yang tertera di undangan ini</v>
      </c>
      <c r="AC617" s="131"/>
    </row>
    <row r="618" ht="16.5" customHeight="1">
      <c r="A618" s="107">
        <v>2021.0</v>
      </c>
      <c r="B618" s="131"/>
      <c r="C618" s="214">
        <v>45672.51051594907</v>
      </c>
      <c r="D618" s="131" t="s">
        <v>2872</v>
      </c>
      <c r="E618" s="107">
        <v>2.100016083E9</v>
      </c>
      <c r="F618" s="131" t="s">
        <v>2873</v>
      </c>
      <c r="G618" s="131" t="s">
        <v>2874</v>
      </c>
      <c r="H618" s="131" t="s">
        <v>2875</v>
      </c>
      <c r="I618" s="131" t="s">
        <v>399</v>
      </c>
      <c r="J618" s="131" t="s">
        <v>183</v>
      </c>
      <c r="K618" s="139"/>
      <c r="L618" s="139"/>
      <c r="M618" s="131"/>
      <c r="N618" s="131"/>
      <c r="O618" s="195" t="s">
        <v>2612</v>
      </c>
      <c r="P618" s="140">
        <v>45677.0</v>
      </c>
      <c r="Q618" s="134" t="s">
        <v>2789</v>
      </c>
      <c r="R618" s="131"/>
      <c r="S618" s="131"/>
      <c r="T618" s="131"/>
      <c r="U618" s="131"/>
      <c r="V618" s="107" t="s">
        <v>316</v>
      </c>
      <c r="W618" s="131"/>
      <c r="X618" s="194" t="str">
        <f t="shared" si="10"/>
        <v>2025-01-20T08:40:00</v>
      </c>
      <c r="Y618" s="194" t="str">
        <f t="shared" si="4"/>
        <v>08:40</v>
      </c>
      <c r="Z618" s="194" t="str">
        <f t="shared" si="11"/>
        <v>2025-01-20T09:40:00</v>
      </c>
      <c r="AA618" s="131"/>
      <c r="AB618" s="194" t="str">
        <f t="shared" si="6"/>
        <v>Judul : Analisis dan Desain Sistem Pengelolaan Panti Asuhan Menggunakan User-Centered Design (UCD)
Pembimbing : Sri Handayaningsih, ST., MT.
Penguji: 
1. H. Suprihatin, S.Si., M.Kom
Waktu : 08.45 - 09.30 WIB
Tempat : Lab Multimedia
Naskah : 
Note : 
- Mengingatkan serta menyerahkan Naskah hardfile  ke dosen pembimbing dan penguji paling lambat 2 hari sebelum ujian
- Teknis Pelaksanaan Ujian dilakukan secara offline sesuai dengan lokasi yang tertera di undangan ini</v>
      </c>
      <c r="AC618" s="131"/>
    </row>
    <row r="619" ht="16.5" customHeight="1">
      <c r="A619" s="107">
        <v>2021.0</v>
      </c>
      <c r="B619" s="131"/>
      <c r="C619" s="214">
        <v>45672.55007784723</v>
      </c>
      <c r="D619" s="131" t="s">
        <v>2876</v>
      </c>
      <c r="E619" s="315">
        <v>2.100016005E9</v>
      </c>
      <c r="F619" s="131" t="s">
        <v>2877</v>
      </c>
      <c r="G619" s="131" t="s">
        <v>2878</v>
      </c>
      <c r="H619" s="131" t="s">
        <v>2879</v>
      </c>
      <c r="I619" s="131" t="s">
        <v>399</v>
      </c>
      <c r="J619" s="131" t="s">
        <v>183</v>
      </c>
      <c r="K619" s="139"/>
      <c r="L619" s="139"/>
      <c r="M619" s="131"/>
      <c r="N619" s="131"/>
      <c r="O619" s="195" t="s">
        <v>2612</v>
      </c>
      <c r="P619" s="140">
        <v>45677.0</v>
      </c>
      <c r="Q619" s="134" t="s">
        <v>1534</v>
      </c>
      <c r="R619" s="131"/>
      <c r="S619" s="131"/>
      <c r="T619" s="131"/>
      <c r="U619" s="131"/>
      <c r="V619" s="107" t="s">
        <v>316</v>
      </c>
      <c r="W619" s="131"/>
      <c r="X619" s="194" t="str">
        <f t="shared" si="10"/>
        <v>2025-01-20T09:30:00</v>
      </c>
      <c r="Y619" s="194" t="str">
        <f t="shared" si="4"/>
        <v>09:30</v>
      </c>
      <c r="Z619" s="194" t="str">
        <f t="shared" si="11"/>
        <v>2025-01-20T10:30:00</v>
      </c>
      <c r="AA619" s="131"/>
      <c r="AB619" s="194" t="str">
        <f t="shared" si="6"/>
        <v>Judul : Analisis dan Desain Sistem Informasi Barbershop Berbasis Website Menggunakan Metode UCD
Pembimbing : Sri Handayaningsih, ST., MT.
Penguji: 
1. H. Suprihatin, S.Si., M.Kom
Waktu : 09.30 - 10.15 WIB
Tempat : Lab Multimedia
Naskah : 
Note : 
- Mengingatkan serta menyerahkan Naskah hardfile  ke dosen pembimbing dan penguji paling lambat 2 hari sebelum ujian
- Teknis Pelaksanaan Ujian dilakukan secara offline sesuai dengan lokasi yang tertera di undangan ini</v>
      </c>
      <c r="AC619" s="131"/>
    </row>
    <row r="620" ht="16.5" customHeight="1">
      <c r="A620" s="107">
        <v>2021.0</v>
      </c>
      <c r="B620" s="131"/>
      <c r="C620" s="214">
        <v>45672.832704872686</v>
      </c>
      <c r="D620" s="131" t="s">
        <v>2880</v>
      </c>
      <c r="E620" s="315">
        <v>2.100016006E9</v>
      </c>
      <c r="F620" s="131" t="s">
        <v>2881</v>
      </c>
      <c r="G620" s="131" t="s">
        <v>2882</v>
      </c>
      <c r="H620" s="131" t="s">
        <v>2883</v>
      </c>
      <c r="I620" s="131" t="s">
        <v>399</v>
      </c>
      <c r="J620" s="131" t="s">
        <v>117</v>
      </c>
      <c r="K620" s="139"/>
      <c r="L620" s="139"/>
      <c r="M620" s="131"/>
      <c r="N620" s="131"/>
      <c r="O620" s="195" t="s">
        <v>39</v>
      </c>
      <c r="P620" s="140">
        <v>45680.0</v>
      </c>
      <c r="Q620" s="134" t="s">
        <v>1558</v>
      </c>
      <c r="R620" s="131"/>
      <c r="S620" s="131"/>
      <c r="T620" s="131"/>
      <c r="U620" s="131"/>
      <c r="V620" s="107" t="s">
        <v>316</v>
      </c>
      <c r="W620" s="131"/>
      <c r="X620" s="194" t="str">
        <f t="shared" si="10"/>
        <v>2025-01-23T14:00:00</v>
      </c>
      <c r="Y620" s="194" t="str">
        <f t="shared" si="4"/>
        <v>14:00</v>
      </c>
      <c r="Z620" s="194" t="str">
        <f t="shared" si="11"/>
        <v>2025-01-23T15:00:00</v>
      </c>
      <c r="AA620" s="131"/>
      <c r="AB620" s="194" t="str">
        <f t="shared" si="6"/>
        <v>Judul : ANALISIS TINGKAT KEPUASAN MASYARAKAT TERHADAP LAYANAN PUBLIK PEMERINTAHAN YOGYAKARTA DENGAN MENGGUNAKAN METODE E-SERVICE QUALITY
Studi Kasus JOGJA SMART SERVICE (JSS)
Pembimbing : Imam Azhari, S.Si., M.Cs.
Penguji: 
1. Dr. Arif Rahman, S.Kom., M.T.
Waktu : 14.00 - 14.45 WIB
Tempat : Lab Multimedia
Naskah : 
Note : 
- Mengingatkan serta menyerahkan Naskah hardfile  ke dosen pembimbing dan penguji paling lambat 2 hari sebelum ujian
- Teknis Pelaksanaan Ujian dilakukan secara offline sesuai dengan lokasi yang tertera di undangan ini</v>
      </c>
      <c r="AC620" s="131"/>
    </row>
    <row r="621" ht="16.5" customHeight="1">
      <c r="A621" s="107">
        <v>2021.0</v>
      </c>
      <c r="B621" s="131"/>
      <c r="C621" s="214">
        <v>45673.539514375</v>
      </c>
      <c r="D621" s="131" t="s">
        <v>2884</v>
      </c>
      <c r="E621" s="315">
        <v>2.000016094E9</v>
      </c>
      <c r="F621" s="131" t="s">
        <v>2885</v>
      </c>
      <c r="G621" s="131" t="s">
        <v>2886</v>
      </c>
      <c r="H621" s="131" t="s">
        <v>2887</v>
      </c>
      <c r="I621" s="131" t="s">
        <v>399</v>
      </c>
      <c r="J621" s="131" t="s">
        <v>230</v>
      </c>
      <c r="K621" s="139"/>
      <c r="L621" s="139"/>
      <c r="M621" s="131"/>
      <c r="N621" s="131"/>
      <c r="O621" s="195" t="s">
        <v>2635</v>
      </c>
      <c r="P621" s="140">
        <v>45678.0</v>
      </c>
      <c r="Q621" s="134" t="s">
        <v>2888</v>
      </c>
      <c r="R621" s="131"/>
      <c r="S621" s="131"/>
      <c r="T621" s="131"/>
      <c r="U621" s="131"/>
      <c r="V621" s="107" t="s">
        <v>316</v>
      </c>
      <c r="W621" s="131"/>
      <c r="X621" s="194" t="str">
        <f t="shared" si="10"/>
        <v>2025-01-21T07:30:00</v>
      </c>
      <c r="Y621" s="194" t="str">
        <f t="shared" si="4"/>
        <v>07:30</v>
      </c>
      <c r="Z621" s="194" t="str">
        <f t="shared" si="11"/>
        <v>2025-01-21T08:30:00</v>
      </c>
      <c r="AA621" s="131"/>
      <c r="AB621" s="194" t="str">
        <f t="shared" si="6"/>
        <v>Judul : Perancangan Sistem Informasi Unit Kegiatan Mahasiswa Fotografi Lensa UAD Berbasis Website
Pembimbing : H. Suprihatin, S.Si., M.Kom.
Penguji: 
1. Prof. Dr. Ir. H. Imam Riadi, M.Kom
Waktu : 07.30 - 08.15 WIB
Tempat : Lab Multimedia
Naskah : 
Note : 
- Mengingatkan serta menyerahkan Naskah hardfile  ke dosen pembimbing dan penguji paling lambat 2 hari sebelum ujian
- Teknis Pelaksanaan Ujian dilakukan secara offline sesuai dengan lokasi yang tertera di undangan ini</v>
      </c>
      <c r="AC621" s="131"/>
    </row>
    <row r="622" ht="16.5" customHeight="1">
      <c r="A622" s="107">
        <v>2021.0</v>
      </c>
      <c r="B622" s="131"/>
      <c r="C622" s="214">
        <v>45673.79663943287</v>
      </c>
      <c r="D622" s="131" t="s">
        <v>2889</v>
      </c>
      <c r="E622" s="315">
        <v>2.011016066E9</v>
      </c>
      <c r="F622" s="131" t="s">
        <v>2890</v>
      </c>
      <c r="G622" s="131" t="s">
        <v>2891</v>
      </c>
      <c r="H622" s="131" t="s">
        <v>2892</v>
      </c>
      <c r="I622" s="131" t="s">
        <v>399</v>
      </c>
      <c r="J622" s="131" t="s">
        <v>230</v>
      </c>
      <c r="K622" s="139"/>
      <c r="L622" s="139"/>
      <c r="M622" s="131"/>
      <c r="N622" s="131"/>
      <c r="O622" s="195" t="s">
        <v>2617</v>
      </c>
      <c r="P622" s="140">
        <v>45678.0</v>
      </c>
      <c r="Q622" s="134" t="s">
        <v>2893</v>
      </c>
      <c r="R622" s="131"/>
      <c r="S622" s="131"/>
      <c r="T622" s="131"/>
      <c r="U622" s="131"/>
      <c r="V622" s="107" t="s">
        <v>316</v>
      </c>
      <c r="W622" s="131"/>
      <c r="X622" s="194" t="str">
        <f t="shared" si="10"/>
        <v>2025-01-21T08:10:00</v>
      </c>
      <c r="Y622" s="194" t="str">
        <f t="shared" si="4"/>
        <v>08:10</v>
      </c>
      <c r="Z622" s="194" t="str">
        <f t="shared" si="11"/>
        <v>2025-01-21T09:10:00</v>
      </c>
      <c r="AA622" s="131"/>
      <c r="AB622" s="194" t="str">
        <f t="shared" si="6"/>
        <v>Judul : Implementasi Teknologi Website dalam Sistem pengelolaan Stock Barang di Gallery Ottilian Pearl 
Pembimbing : H. Suprihatin, S.Si., M.Kom.
Penguji: 
1. Dr. Mursid Wahyu Hananto, S.Si., M.Kom.
Waktu : 08.15 - 09.15 WIB
Tempat : Lab Multimedia
Naskah : 
Note : 
- Mengingatkan serta menyerahkan Naskah hardfile  ke dosen pembimbing dan penguji paling lambat 2 hari sebelum ujian
- Teknis Pelaksanaan Ujian dilakukan secara offline sesuai dengan lokasi yang tertera di undangan ini</v>
      </c>
      <c r="AC622" s="131"/>
    </row>
    <row r="623" ht="16.5" customHeight="1">
      <c r="A623" s="107">
        <v>2018.0</v>
      </c>
      <c r="B623" s="131"/>
      <c r="C623" s="214">
        <v>45679.40485679398</v>
      </c>
      <c r="D623" s="131" t="s">
        <v>2894</v>
      </c>
      <c r="E623" s="315">
        <v>1.800016043E9</v>
      </c>
      <c r="F623" s="131" t="s">
        <v>2895</v>
      </c>
      <c r="G623" s="131" t="s">
        <v>2896</v>
      </c>
      <c r="H623" s="131" t="s">
        <v>2897</v>
      </c>
      <c r="I623" s="131" t="s">
        <v>399</v>
      </c>
      <c r="J623" s="131" t="s">
        <v>117</v>
      </c>
      <c r="K623" s="139"/>
      <c r="L623" s="139"/>
      <c r="M623" s="131"/>
      <c r="N623" s="131"/>
      <c r="O623" s="195" t="s">
        <v>2553</v>
      </c>
      <c r="P623" s="140">
        <v>45687.0</v>
      </c>
      <c r="Q623" s="134" t="s">
        <v>1858</v>
      </c>
      <c r="R623" s="131"/>
      <c r="S623" s="131"/>
      <c r="T623" s="131"/>
      <c r="U623" s="131"/>
      <c r="V623" s="107" t="s">
        <v>316</v>
      </c>
      <c r="W623" s="131"/>
      <c r="X623" s="194" t="str">
        <f t="shared" si="10"/>
        <v>2025-01-30T12:30:00</v>
      </c>
      <c r="Y623" s="194" t="str">
        <f t="shared" si="4"/>
        <v>12:30</v>
      </c>
      <c r="Z623" s="194" t="str">
        <f t="shared" si="11"/>
        <v>2025-01-30T13:30:00</v>
      </c>
      <c r="AA623" s="131"/>
      <c r="AB623" s="194" t="str">
        <f t="shared" si="6"/>
        <v>Judul : Perancangan Ulang Desain UI Pada Website Perpustakaan Daerah Kabupaten Bantul Dengan Metode Design Thinking
Pembimbing : Imam Azhari, S.Si., M.Cs.
Penguji: 
1. Tawar, S.Si., M.Kom
Waktu : 12.30 - 13.15 WIB
Tempat : Lab Multimedia
Naskah : 
Note : 
- Mengingatkan serta menyerahkan Naskah hardfile  ke dosen pembimbing dan penguji paling lambat 2 hari sebelum ujian
- Teknis Pelaksanaan Ujian dilakukan secara offline sesuai dengan lokasi yang tertera di undangan ini</v>
      </c>
      <c r="AC623" s="131"/>
    </row>
    <row r="624" ht="16.5" customHeight="1">
      <c r="A624" s="107">
        <v>2019.0</v>
      </c>
      <c r="B624" s="131"/>
      <c r="C624" s="214">
        <v>45681.41955232639</v>
      </c>
      <c r="D624" s="131" t="s">
        <v>2898</v>
      </c>
      <c r="E624" s="315">
        <v>1.900016076E9</v>
      </c>
      <c r="F624" s="131" t="s">
        <v>2899</v>
      </c>
      <c r="G624" s="131" t="s">
        <v>2900</v>
      </c>
      <c r="H624" s="131" t="s">
        <v>2901</v>
      </c>
      <c r="I624" s="131" t="s">
        <v>399</v>
      </c>
      <c r="J624" s="131" t="s">
        <v>39</v>
      </c>
      <c r="K624" s="139"/>
      <c r="L624" s="139"/>
      <c r="M624" s="131"/>
      <c r="N624" s="131"/>
      <c r="O624" s="195" t="s">
        <v>703</v>
      </c>
      <c r="P624" s="140">
        <v>45687.0</v>
      </c>
      <c r="Q624" s="134" t="s">
        <v>1895</v>
      </c>
      <c r="R624" s="131"/>
      <c r="S624" s="131"/>
      <c r="T624" s="131"/>
      <c r="U624" s="131"/>
      <c r="V624" s="107" t="s">
        <v>316</v>
      </c>
      <c r="W624" s="131"/>
      <c r="X624" s="194" t="str">
        <f t="shared" si="10"/>
        <v>2025-01-30T13:10:00</v>
      </c>
      <c r="Y624" s="194" t="str">
        <f t="shared" si="4"/>
        <v>13:10</v>
      </c>
      <c r="Z624" s="194" t="str">
        <f t="shared" si="11"/>
        <v>2025-01-30T14:10:00</v>
      </c>
      <c r="AA624" s="131"/>
      <c r="AB624" s="194" t="str">
        <f t="shared" si="6"/>
        <v>Judul : Sistem Informasi Pemesanan Produk Sepatu Berbasis Web Studi Kasus UMKM OAKTREES
Pembimbing : Dr. Arif Rahman, S.Kom., M.T.
Penguji: 
1. Farid Suryanto, S.Pd., M.T.
Waktu : 13.15 - 14.00 WIB
Tempat : Lab Multimedia
Naskah : 
Note : 
- Mengingatkan serta menyerahkan Naskah hardfile  ke dosen pembimbing dan penguji paling lambat 2 hari sebelum ujian
- Teknis Pelaksanaan Ujian dilakukan secara offline sesuai dengan lokasi yang tertera di undangan ini</v>
      </c>
      <c r="AC624" s="131"/>
    </row>
    <row r="625" ht="16.5" customHeight="1">
      <c r="A625" s="107">
        <v>2020.0</v>
      </c>
      <c r="B625" s="131"/>
      <c r="C625" s="214">
        <v>45693.85000090278</v>
      </c>
      <c r="D625" s="131" t="s">
        <v>2902</v>
      </c>
      <c r="E625" s="315">
        <v>2.000016141E9</v>
      </c>
      <c r="F625" s="131" t="s">
        <v>2199</v>
      </c>
      <c r="G625" s="131" t="s">
        <v>2200</v>
      </c>
      <c r="H625" s="131" t="s">
        <v>2903</v>
      </c>
      <c r="I625" s="131" t="s">
        <v>399</v>
      </c>
      <c r="J625" s="131" t="s">
        <v>183</v>
      </c>
      <c r="K625" s="139"/>
      <c r="L625" s="139"/>
      <c r="M625" s="131"/>
      <c r="N625" s="131"/>
      <c r="O625" s="195" t="s">
        <v>39</v>
      </c>
      <c r="P625" s="140">
        <v>45702.0</v>
      </c>
      <c r="Q625" s="134" t="s">
        <v>772</v>
      </c>
      <c r="R625" s="131"/>
      <c r="S625" s="131"/>
      <c r="T625" s="131"/>
      <c r="U625" s="131"/>
      <c r="V625" s="107" t="s">
        <v>316</v>
      </c>
      <c r="W625" s="131"/>
      <c r="X625" s="194" t="str">
        <f t="shared" si="10"/>
        <v>2025-02-14T10:00:00</v>
      </c>
      <c r="Y625" s="194" t="str">
        <f t="shared" si="4"/>
        <v>10:00</v>
      </c>
      <c r="Z625" s="194" t="str">
        <f t="shared" si="11"/>
        <v>2025-02-14T11:00:00</v>
      </c>
      <c r="AA625" s="131"/>
      <c r="AB625" s="194" t="str">
        <f t="shared" si="6"/>
        <v>Judul : Perbaikan Desain SID untuk Meningkatkan Kematangan Layanan Menggunakan Pendekatan User Centered Design (Studi Kasus : Kalurahan Jagalan)
Pembimbing : Sri Handayaningsih, ST., MT.
Penguji: 
1. Dr. Arif Rahman, S.Kom., M.T.
Waktu : 10.00 - 11.00 WIB
Tempat : Lab Multimedia
Naskah : 
Note : 
- Mengingatkan serta menyerahkan Naskah hardfile  ke dosen pembimbing dan penguji paling lambat 2 hari sebelum ujian
- Teknis Pelaksanaan Ujian dilakukan secara offline sesuai dengan lokasi yang tertera di undangan ini</v>
      </c>
      <c r="AC625" s="131"/>
    </row>
    <row r="626" ht="15.75" customHeight="1">
      <c r="A626" s="107">
        <v>2019.0</v>
      </c>
      <c r="B626" s="131"/>
      <c r="C626" s="214">
        <v>45704.954886875006</v>
      </c>
      <c r="D626" s="131" t="s">
        <v>2904</v>
      </c>
      <c r="E626" s="315">
        <v>1.900016033E9</v>
      </c>
      <c r="F626" s="131" t="s">
        <v>2905</v>
      </c>
      <c r="G626" s="131" t="s">
        <v>2906</v>
      </c>
      <c r="H626" s="131" t="s">
        <v>2907</v>
      </c>
      <c r="I626" s="131" t="s">
        <v>399</v>
      </c>
      <c r="J626" s="131" t="s">
        <v>117</v>
      </c>
      <c r="K626" s="139"/>
      <c r="L626" s="139"/>
      <c r="M626" s="131"/>
      <c r="N626" s="131"/>
      <c r="O626" s="195" t="s">
        <v>39</v>
      </c>
      <c r="P626" s="140">
        <v>45708.0</v>
      </c>
      <c r="Q626" s="134" t="s">
        <v>772</v>
      </c>
      <c r="R626" s="139"/>
      <c r="S626" s="131"/>
      <c r="T626" s="131"/>
      <c r="U626" s="131"/>
      <c r="V626" s="107" t="s">
        <v>316</v>
      </c>
      <c r="W626" s="131"/>
      <c r="X626" s="194" t="str">
        <f t="shared" si="10"/>
        <v>2025-02-20T10:00:00</v>
      </c>
      <c r="Y626" s="194" t="str">
        <f t="shared" si="4"/>
        <v>10:00</v>
      </c>
      <c r="Z626" s="194" t="str">
        <f t="shared" si="11"/>
        <v>2025-02-20T11:00:00</v>
      </c>
      <c r="AA626" s="131"/>
      <c r="AB626" s="194" t="str">
        <f t="shared" si="6"/>
        <v>Judul : PERANCANGAN USER INTERFACE (UI) APLIKASI KOSKITA BERBASIS MOBILE
Pembimbing : Imam Azhari, S.Si., M.Cs.
Penguji: 
1. Dr. Arif Rahman, S.Kom., M.T.
Waktu : 10.00 - 11.00 WIB
Tempat : Lab Multimedia
Naskah : 
Note : 
- Mengingatkan serta menyerahkan Naskah hardfile  ke dosen pembimbing dan penguji paling lambat 2 hari sebelum ujian
- Teknis Pelaksanaan Ujian dilakukan secara offline sesuai dengan lokasi yang tertera di undangan ini</v>
      </c>
      <c r="AC626" s="131"/>
    </row>
    <row r="627" ht="16.5" customHeight="1">
      <c r="A627" s="112">
        <v>2021.0</v>
      </c>
      <c r="B627" s="109"/>
      <c r="C627" s="108">
        <v>45735.54367115741</v>
      </c>
      <c r="D627" s="109" t="s">
        <v>2908</v>
      </c>
      <c r="E627" s="327">
        <v>2.100016036E9</v>
      </c>
      <c r="F627" s="109" t="s">
        <v>2909</v>
      </c>
      <c r="G627" s="109" t="s">
        <v>2910</v>
      </c>
      <c r="H627" s="109" t="s">
        <v>2911</v>
      </c>
      <c r="I627" s="109" t="s">
        <v>399</v>
      </c>
      <c r="J627" s="109" t="s">
        <v>39</v>
      </c>
      <c r="K627" s="141"/>
      <c r="L627" s="141"/>
      <c r="M627" s="109"/>
      <c r="N627" s="109"/>
      <c r="O627" s="328" t="s">
        <v>2630</v>
      </c>
      <c r="P627" s="140">
        <v>45741.0</v>
      </c>
      <c r="Q627" s="329" t="s">
        <v>767</v>
      </c>
      <c r="R627" s="109"/>
      <c r="S627" s="109"/>
      <c r="T627" s="109"/>
      <c r="U627" s="109"/>
      <c r="V627" s="112" t="s">
        <v>316</v>
      </c>
      <c r="W627" s="109"/>
      <c r="X627" s="194" t="str">
        <f t="shared" si="10"/>
        <v>2025-03-25T09:00:00</v>
      </c>
      <c r="Y627" s="194" t="str">
        <f t="shared" si="4"/>
        <v>09:00</v>
      </c>
      <c r="Z627" s="194" t="str">
        <f t="shared" si="11"/>
        <v>2025-03-25T10:00:00</v>
      </c>
      <c r="AA627" s="131"/>
      <c r="AB627" s="194" t="str">
        <f t="shared" si="6"/>
        <v>Judul : Perancangan UI/UX Situs web Kalender Hijriah Global Tunggal Muhammadiyah Menggunakan Metode Design Thinking Studi Kasus Situs web falakmu.id 
Pembimbing : Dr. Arif Rahman, S.Kom., M.T.
Penguji: 
1. Imam Azhari, S.Si., M.CS
Waktu : 09.00 - 10.00 WIB
Tempat : Lab Multimedia
Naskah : 
Note : 
- Mengingatkan serta menyerahkan Naskah hardfile  ke dosen pembimbing dan penguji paling lambat 2 hari sebelum ujian
- Teknis Pelaksanaan Ujian dilakukan secara offline sesuai dengan lokasi yang tertera di undangan ini</v>
      </c>
      <c r="AC627" s="109"/>
    </row>
    <row r="628" ht="18.0" customHeight="1">
      <c r="A628" s="107">
        <v>2019.0</v>
      </c>
      <c r="B628" s="131"/>
      <c r="C628" s="214">
        <v>45762.49038756944</v>
      </c>
      <c r="D628" s="131" t="s">
        <v>2912</v>
      </c>
      <c r="E628" s="315">
        <v>1.900016042E9</v>
      </c>
      <c r="F628" s="131" t="s">
        <v>2913</v>
      </c>
      <c r="G628" s="131" t="s">
        <v>2914</v>
      </c>
      <c r="H628" s="131" t="s">
        <v>2915</v>
      </c>
      <c r="I628" s="131" t="s">
        <v>399</v>
      </c>
      <c r="J628" s="131" t="s">
        <v>2916</v>
      </c>
      <c r="K628" s="139"/>
      <c r="L628" s="139"/>
      <c r="M628" s="131"/>
      <c r="N628" s="131"/>
      <c r="O628" s="195" t="s">
        <v>2630</v>
      </c>
      <c r="P628" s="140">
        <v>45766.0</v>
      </c>
      <c r="Q628" s="134" t="s">
        <v>2917</v>
      </c>
      <c r="R628" s="131"/>
      <c r="S628" s="131"/>
      <c r="T628" s="131"/>
      <c r="U628" s="131"/>
      <c r="V628" s="107" t="s">
        <v>316</v>
      </c>
      <c r="W628" s="131"/>
      <c r="X628" s="194" t="str">
        <f t="shared" si="10"/>
        <v>2025-04-19T07:30:00</v>
      </c>
      <c r="Y628" s="194" t="str">
        <f t="shared" si="4"/>
        <v>07:30</v>
      </c>
      <c r="Z628" s="194" t="str">
        <f t="shared" si="11"/>
        <v>2025-04-19T08:30:00</v>
      </c>
      <c r="AA628" s="131"/>
      <c r="AB628" s="194" t="str">
        <f t="shared" si="6"/>
        <v>Judul : Analisis Penilaian Risiko E-SKM(Elektronik 
Survei Kepuasan Masyarakat) Kabupaten 
Magetan Menggunakan COBIT 5
Pembimbing : Prof. Ir. Dr. H. Imam Riadi, S.Pd., M.Kom.
Penguji: 
1. Imam Azhari, S.Si., M.CS
Waktu : 07.30 - 08.30 WIB
Tempat : Lab Multimedia
Naskah : 
Note : 
- Mengingatkan serta menyerahkan Naskah hardfile  ke dosen pembimbing dan penguji paling lambat 2 hari sebelum ujian
- Teknis Pelaksanaan Ujian dilakukan secara offline sesuai dengan lokasi yang tertera di undangan ini</v>
      </c>
      <c r="AC628" s="131"/>
    </row>
    <row r="629" ht="18.0" customHeight="1">
      <c r="A629" s="107">
        <v>2018.0</v>
      </c>
      <c r="B629" s="131"/>
      <c r="C629" s="214">
        <v>45769.55331976852</v>
      </c>
      <c r="D629" s="131" t="s">
        <v>2918</v>
      </c>
      <c r="E629" s="315">
        <v>1.800016024E9</v>
      </c>
      <c r="F629" s="131" t="s">
        <v>2919</v>
      </c>
      <c r="G629" s="131" t="s">
        <v>2920</v>
      </c>
      <c r="H629" s="131" t="s">
        <v>2921</v>
      </c>
      <c r="I629" s="131" t="s">
        <v>399</v>
      </c>
      <c r="J629" s="131" t="s">
        <v>2922</v>
      </c>
      <c r="K629" s="139"/>
      <c r="L629" s="139"/>
      <c r="M629" s="131"/>
      <c r="N629" s="131"/>
      <c r="O629" s="195" t="s">
        <v>39</v>
      </c>
      <c r="P629" s="140">
        <v>45777.0</v>
      </c>
      <c r="Q629" s="134" t="s">
        <v>2917</v>
      </c>
      <c r="R629" s="131"/>
      <c r="S629" s="131"/>
      <c r="T629" s="131"/>
      <c r="U629" s="131"/>
      <c r="V629" s="107" t="s">
        <v>316</v>
      </c>
      <c r="W629" s="131"/>
      <c r="X629" s="194" t="str">
        <f t="shared" si="10"/>
        <v>2025-04-30T07:30:00</v>
      </c>
      <c r="Y629" s="194" t="str">
        <f t="shared" si="4"/>
        <v>07:30</v>
      </c>
      <c r="Z629" s="194" t="str">
        <f t="shared" si="11"/>
        <v>2025-04-30T08:30:00</v>
      </c>
      <c r="AA629" s="131"/>
      <c r="AB629" s="194" t="str">
        <f t="shared" si="6"/>
        <v>Judul : PENGEMBANGAN BACK END 
APLIKASI PEMBELAJARAN ADAPTIF
BERBASIS LLM MENGGUNAKAN FRAMEWORK LANGCHAIN
Pembimbing : Farid Suryanto, S.Pd., MT.
Penguji: 
1. Dr. Arif Rahman, S.Kom., M.T.
Waktu : 07.30 - 08.30 WIB
Tempat : Lab Multimedia
Naskah : 
Note : 
- Mengingatkan serta menyerahkan Naskah hardfile  ke dosen pembimbing dan penguji paling lambat 2 hari sebelum ujian
- Teknis Pelaksanaan Ujian dilakukan secara offline sesuai dengan lokasi yang tertera di undangan ini</v>
      </c>
      <c r="AC629" s="131"/>
    </row>
    <row r="630" ht="18.0" customHeight="1">
      <c r="A630" s="107">
        <v>2018.0</v>
      </c>
      <c r="B630" s="131"/>
      <c r="C630" s="214">
        <v>45775.47503099537</v>
      </c>
      <c r="D630" s="131" t="s">
        <v>2923</v>
      </c>
      <c r="E630" s="315">
        <v>1.800016089E9</v>
      </c>
      <c r="F630" s="131" t="s">
        <v>2924</v>
      </c>
      <c r="G630" s="131" t="s">
        <v>2925</v>
      </c>
      <c r="H630" s="131" t="s">
        <v>2926</v>
      </c>
      <c r="I630" s="131" t="s">
        <v>399</v>
      </c>
      <c r="J630" s="131" t="s">
        <v>2916</v>
      </c>
      <c r="K630" s="139"/>
      <c r="L630" s="139"/>
      <c r="M630" s="131"/>
      <c r="N630" s="131"/>
      <c r="O630" s="195" t="s">
        <v>703</v>
      </c>
      <c r="P630" s="140">
        <v>45779.0</v>
      </c>
      <c r="Q630" s="134" t="s">
        <v>2927</v>
      </c>
      <c r="R630" s="131"/>
      <c r="S630" s="131"/>
      <c r="T630" s="131"/>
      <c r="U630" s="131"/>
      <c r="V630" s="107" t="s">
        <v>316</v>
      </c>
      <c r="W630" s="131"/>
      <c r="X630" s="194" t="str">
        <f t="shared" si="10"/>
        <v>2025-05-02T15:30:00</v>
      </c>
      <c r="Y630" s="194" t="str">
        <f t="shared" si="4"/>
        <v>15:30</v>
      </c>
      <c r="Z630" s="194" t="str">
        <f t="shared" si="11"/>
        <v>2025-05-02T16:30:00</v>
      </c>
      <c r="AA630" s="131"/>
      <c r="AB630" s="194" t="str">
        <f t="shared" si="6"/>
        <v>Judul : Analisis Penilaian Risiko Sistem Informasi Muamalat DIN Menggunakan Framework OCTAVE Allegro
Pembimbing : Prof. Ir. Dr. H. Imam Riadi, S.Pd., M.Kom.
Penguji: 
1. Farid Suryanto, S.Pd., M.T.
Waktu : 15.30-16.30 WIB
Tempat : Lab Multimedia
Naskah : 
Note : 
- Mengingatkan serta menyerahkan Naskah hardfile  ke dosen pembimbing dan penguji paling lambat 2 hari sebelum ujian
- Teknis Pelaksanaan Ujian dilakukan secara offline sesuai dengan lokasi yang tertera di undangan ini</v>
      </c>
      <c r="AC630" s="131"/>
    </row>
    <row r="631" ht="18.0" customHeight="1">
      <c r="A631" s="107">
        <v>2021.0</v>
      </c>
      <c r="B631" s="131"/>
      <c r="C631" s="214">
        <v>45779.36366928241</v>
      </c>
      <c r="D631" s="131" t="s">
        <v>2928</v>
      </c>
      <c r="E631" s="315">
        <v>2.100016106E9</v>
      </c>
      <c r="F631" s="131" t="s">
        <v>2698</v>
      </c>
      <c r="G631" s="131" t="s">
        <v>2699</v>
      </c>
      <c r="H631" s="131" t="s">
        <v>2929</v>
      </c>
      <c r="I631" s="131" t="s">
        <v>399</v>
      </c>
      <c r="J631" s="131" t="s">
        <v>230</v>
      </c>
      <c r="K631" s="139"/>
      <c r="L631" s="139"/>
      <c r="M631" s="131"/>
      <c r="N631" s="131"/>
      <c r="O631" s="195" t="s">
        <v>2672</v>
      </c>
      <c r="P631" s="140">
        <v>45784.0</v>
      </c>
      <c r="Q631" s="134" t="s">
        <v>2917</v>
      </c>
      <c r="R631" s="131"/>
      <c r="S631" s="131"/>
      <c r="T631" s="131"/>
      <c r="U631" s="131"/>
      <c r="V631" s="107" t="s">
        <v>316</v>
      </c>
      <c r="W631" s="131"/>
      <c r="X631" s="194" t="str">
        <f t="shared" si="10"/>
        <v>2025-05-07T07:30:00</v>
      </c>
      <c r="Y631" s="194" t="str">
        <f t="shared" si="4"/>
        <v>07:30</v>
      </c>
      <c r="Z631" s="194" t="str">
        <f t="shared" si="11"/>
        <v>2025-05-07T08:30:00</v>
      </c>
      <c r="AA631" s="131"/>
      <c r="AB631" s="194" t="str">
        <f t="shared" si="6"/>
        <v>Judul : Sistem Pendukung Keputusan Evaluasi Karyawan Terbaik Berbasis Metode SAW DiCoffeeshop StarVillage
Pembimbing : H. Suprihatin, S.Si., M.Kom.
Penguji: 
1. Iwan Tri Riyadi Yanto, S.Si., M.I.T., Ph.D
Waktu : 07.30 - 08.30 WIB
Tempat : Lab Multimedia
Naskah : 
Note : 
- Mengingatkan serta menyerahkan Naskah hardfile  ke dosen pembimbing dan penguji paling lambat 2 hari sebelum ujian
- Teknis Pelaksanaan Ujian dilakukan secara offline sesuai dengan lokasi yang tertera di undangan ini</v>
      </c>
      <c r="AC631" s="131"/>
    </row>
    <row r="632" ht="18.0" customHeight="1">
      <c r="A632" s="107">
        <v>2018.0</v>
      </c>
      <c r="B632" s="131"/>
      <c r="C632" s="214">
        <v>45798.43493957176</v>
      </c>
      <c r="D632" s="131" t="s">
        <v>2930</v>
      </c>
      <c r="E632" s="315">
        <v>1.800016045E9</v>
      </c>
      <c r="F632" s="131" t="s">
        <v>2931</v>
      </c>
      <c r="G632" s="131" t="s">
        <v>2932</v>
      </c>
      <c r="H632" s="131" t="s">
        <v>2933</v>
      </c>
      <c r="I632" s="131" t="s">
        <v>399</v>
      </c>
      <c r="J632" s="131" t="s">
        <v>117</v>
      </c>
      <c r="K632" s="139"/>
      <c r="L632" s="139"/>
      <c r="M632" s="131"/>
      <c r="N632" s="131"/>
      <c r="O632" s="195" t="s">
        <v>703</v>
      </c>
      <c r="P632" s="140">
        <v>45800.0</v>
      </c>
      <c r="Q632" s="134" t="s">
        <v>680</v>
      </c>
      <c r="R632" s="131"/>
      <c r="S632" s="131"/>
      <c r="T632" s="131"/>
      <c r="U632" s="131"/>
      <c r="V632" s="107" t="s">
        <v>316</v>
      </c>
      <c r="W632" s="131"/>
      <c r="X632" s="194" t="str">
        <f t="shared" si="10"/>
        <v>2025-05-23T08:00:00</v>
      </c>
      <c r="Y632" s="194" t="str">
        <f t="shared" si="4"/>
        <v>08:00</v>
      </c>
      <c r="Z632" s="194" t="str">
        <f t="shared" si="11"/>
        <v>2025-05-23T09:00:00</v>
      </c>
      <c r="AA632" s="131"/>
      <c r="AB632" s="194" t="str">
        <f t="shared" si="6"/>
        <v>Judul : Perancangan Tampilan UI/UX Aplikasi Lembar Pemeriksaan Kereta Api Berbasis Mobile menggunakan Metode Design Thinking
Pembimbing : Imam Azhari, S.Si., M.Cs.
Penguji: 
1. Farid Suryanto, S.Pd., M.T.
Waktu : 08.00 - 09.00 WIB
Tempat : Lab Multimedia
Naskah : 
Note : 
- Mengingatkan serta menyerahkan Naskah hardfile  ke dosen pembimbing dan penguji paling lambat 2 hari sebelum ujian
- Teknis Pelaksanaan Ujian dilakukan secara offline sesuai dengan lokasi yang tertera di undangan ini</v>
      </c>
      <c r="AC632" s="131"/>
    </row>
    <row r="633" ht="15.0" customHeight="1">
      <c r="A633" s="13">
        <v>2018.0</v>
      </c>
      <c r="C633" s="330">
        <v>45805.63077945602</v>
      </c>
      <c r="D633" s="248" t="s">
        <v>2934</v>
      </c>
      <c r="E633" s="331">
        <v>1.811016122E9</v>
      </c>
      <c r="F633" s="248" t="s">
        <v>2935</v>
      </c>
      <c r="G633" s="248" t="s">
        <v>2936</v>
      </c>
      <c r="H633" s="248" t="s">
        <v>2937</v>
      </c>
      <c r="I633" s="248" t="s">
        <v>399</v>
      </c>
      <c r="J633" s="248" t="s">
        <v>2916</v>
      </c>
      <c r="K633" s="14"/>
      <c r="L633" s="14"/>
      <c r="M633" s="43"/>
      <c r="N633" s="131"/>
      <c r="O633" s="195" t="s">
        <v>703</v>
      </c>
      <c r="P633" s="140">
        <v>45811.0</v>
      </c>
      <c r="Q633" s="326" t="s">
        <v>2938</v>
      </c>
      <c r="R633" s="123"/>
      <c r="S633" s="43"/>
      <c r="T633" s="43"/>
      <c r="U633" s="43"/>
      <c r="V633" s="50" t="s">
        <v>316</v>
      </c>
      <c r="W633" s="43"/>
      <c r="X633" s="194" t="str">
        <f t="shared" si="10"/>
        <v>2025-06-03T07:30:00</v>
      </c>
      <c r="Y633" s="194" t="str">
        <f t="shared" si="4"/>
        <v>07:30</v>
      </c>
      <c r="Z633" s="194" t="str">
        <f t="shared" si="11"/>
        <v>2025-06-03T08:30:00</v>
      </c>
      <c r="AA633" s="131"/>
      <c r="AB633" s="194" t="str">
        <f t="shared" si="6"/>
        <v>Judul : Analisis Keamanan Jaringan Dari Serangan Denial of Service Menggunakan Firewall Layer 7
Pembimbing : Prof. Ir. Dr. H. Imam Riadi, S.Pd., M.Kom.
Penguji: 
1. Farid Suryanto, S.Pd., M.T.
Waktu : 07.30 - 08.45 WIB
Tempat : Lab Multimedia
Naskah : 
Note : 
- Mengingatkan serta menyerahkan Naskah hardfile  ke dosen pembimbing dan penguji paling lambat 2 hari sebelum ujian
- Teknis Pelaksanaan Ujian dilakukan secara offline sesuai dengan lokasi yang tertera di undangan ini</v>
      </c>
      <c r="AC633" s="43"/>
    </row>
    <row r="634" ht="18.0" customHeight="1">
      <c r="O634" s="195"/>
      <c r="P634" s="140"/>
      <c r="Q634" s="134"/>
      <c r="X634" s="332" t="str">
        <f t="shared" si="10"/>
        <v>1899-12-30T0:00</v>
      </c>
      <c r="Y634" s="332" t="str">
        <f t="shared" si="4"/>
        <v>0</v>
      </c>
      <c r="Z634" s="332" t="str">
        <f t="shared" si="11"/>
        <v>1899-12-30T01:00:00</v>
      </c>
      <c r="AB634" s="194" t="str">
        <f t="shared" si="6"/>
        <v>Judul : 
Pembimbing : 
Penguji: 
1. 
Waktu :  WIB
Tempat : Lab Multimedia
Naskah : 
Note : 
- Mengingatkan serta menyerahkan Naskah hardfile  ke dosen pembimbing dan penguji paling lambat 2 hari sebelum ujian
- Teknis Pelaksanaan Ujian dilakukan secara offline sesuai dengan lokasi yang tertera di undangan ini</v>
      </c>
    </row>
    <row r="635" ht="18.0" customHeight="1">
      <c r="O635" s="195"/>
      <c r="P635" s="140"/>
      <c r="Q635" s="134"/>
      <c r="X635" s="332" t="str">
        <f t="shared" si="10"/>
        <v>1899-12-30T0:00</v>
      </c>
      <c r="Y635" s="332" t="str">
        <f t="shared" si="4"/>
        <v>0</v>
      </c>
      <c r="Z635" s="332" t="str">
        <f t="shared" si="11"/>
        <v>1899-12-30T01:00:00</v>
      </c>
      <c r="AB635" s="194" t="str">
        <f t="shared" si="6"/>
        <v>Judul : 
Pembimbing : 
Penguji: 
1. 
Waktu :  WIB
Tempat : Lab Multimedia
Naskah : 
Note : 
- Mengingatkan serta menyerahkan Naskah hardfile  ke dosen pembimbing dan penguji paling lambat 2 hari sebelum ujian
- Teknis Pelaksanaan Ujian dilakukan secara offline sesuai dengan lokasi yang tertera di undangan ini</v>
      </c>
    </row>
    <row r="636" ht="18.0" customHeight="1">
      <c r="O636" s="195"/>
      <c r="P636" s="140"/>
      <c r="Q636" s="134"/>
      <c r="X636" s="332" t="str">
        <f t="shared" si="10"/>
        <v>1899-12-30T0:00</v>
      </c>
      <c r="Y636" s="332" t="str">
        <f t="shared" si="4"/>
        <v>0</v>
      </c>
      <c r="Z636" s="332" t="str">
        <f t="shared" si="11"/>
        <v>1899-12-30T01:00:00</v>
      </c>
      <c r="AB636" s="194" t="str">
        <f t="shared" si="6"/>
        <v>Judul : 
Pembimbing : 
Penguji: 
1. 
Waktu :  WIB
Tempat : Lab Multimedia
Naskah : 
Note : 
- Mengingatkan serta menyerahkan Naskah hardfile  ke dosen pembimbing dan penguji paling lambat 2 hari sebelum ujian
- Teknis Pelaksanaan Ujian dilakukan secara offline sesuai dengan lokasi yang tertera di undangan ini</v>
      </c>
    </row>
    <row r="637" ht="18.0" customHeight="1">
      <c r="O637" s="195"/>
      <c r="P637" s="140"/>
      <c r="Q637" s="134"/>
      <c r="X637" s="332" t="str">
        <f t="shared" si="10"/>
        <v>1899-12-30T0:00</v>
      </c>
      <c r="Y637" s="332" t="str">
        <f t="shared" si="4"/>
        <v>0</v>
      </c>
      <c r="Z637" s="332" t="str">
        <f t="shared" si="11"/>
        <v>1899-12-30T01:00:00</v>
      </c>
      <c r="AB637" s="194" t="str">
        <f t="shared" si="6"/>
        <v>Judul : 
Pembimbing : 
Penguji: 
1. 
Waktu :  WIB
Tempat : Lab Multimedia
Naskah : 
Note : 
- Mengingatkan serta menyerahkan Naskah hardfile  ke dosen pembimbing dan penguji paling lambat 2 hari sebelum ujian
- Teknis Pelaksanaan Ujian dilakukan secara offline sesuai dengan lokasi yang tertera di undangan ini</v>
      </c>
    </row>
    <row r="638" ht="18.0" customHeight="1">
      <c r="O638" s="195"/>
      <c r="P638" s="140"/>
      <c r="Q638" s="134"/>
      <c r="X638" s="332" t="str">
        <f t="shared" si="10"/>
        <v>1899-12-30T0:00</v>
      </c>
      <c r="Y638" s="332" t="str">
        <f t="shared" si="4"/>
        <v>0</v>
      </c>
      <c r="Z638" s="332" t="str">
        <f t="shared" si="11"/>
        <v>1899-12-30T01:00:00</v>
      </c>
      <c r="AB638" s="194" t="str">
        <f t="shared" si="6"/>
        <v>Judul : 
Pembimbing : 
Penguji: 
1. 
Waktu :  WIB
Tempat : Lab Multimedia
Naskah : 
Note : 
- Mengingatkan serta menyerahkan Naskah hardfile  ke dosen pembimbing dan penguji paling lambat 2 hari sebelum ujian
- Teknis Pelaksanaan Ujian dilakukan secara offline sesuai dengan lokasi yang tertera di undangan ini</v>
      </c>
    </row>
    <row r="639" ht="18.0" customHeight="1">
      <c r="O639" s="195"/>
      <c r="P639" s="140"/>
      <c r="Q639" s="134"/>
      <c r="X639" s="332" t="str">
        <f t="shared" si="10"/>
        <v>1899-12-30T0:00</v>
      </c>
      <c r="Y639" s="332" t="str">
        <f t="shared" si="4"/>
        <v>0</v>
      </c>
      <c r="Z639" s="332" t="str">
        <f t="shared" si="11"/>
        <v>1899-12-30T01:00:00</v>
      </c>
      <c r="AB639" s="194" t="str">
        <f t="shared" si="6"/>
        <v>Judul : 
Pembimbing : 
Penguji: 
1. 
Waktu :  WIB
Tempat : Lab Multimedia
Naskah : 
Note : 
- Mengingatkan serta menyerahkan Naskah hardfile  ke dosen pembimbing dan penguji paling lambat 2 hari sebelum ujian
- Teknis Pelaksanaan Ujian dilakukan secara offline sesuai dengan lokasi yang tertera di undangan ini</v>
      </c>
    </row>
    <row r="640" ht="18.0" customHeight="1">
      <c r="O640" s="195"/>
      <c r="P640" s="140"/>
      <c r="Q640" s="134"/>
      <c r="X640" s="332" t="str">
        <f t="shared" si="10"/>
        <v>1899-12-30T0:00</v>
      </c>
      <c r="Y640" s="332" t="str">
        <f t="shared" si="4"/>
        <v>0</v>
      </c>
      <c r="Z640" s="332" t="str">
        <f t="shared" si="11"/>
        <v>1899-12-30T01:00:00</v>
      </c>
      <c r="AB640" s="194" t="str">
        <f t="shared" si="6"/>
        <v>Judul : 
Pembimbing : 
Penguji: 
1. 
Waktu :  WIB
Tempat : Lab Multimedia
Naskah : 
Note : 
- Mengingatkan serta menyerahkan Naskah hardfile  ke dosen pembimbing dan penguji paling lambat 2 hari sebelum ujian
- Teknis Pelaksanaan Ujian dilakukan secara offline sesuai dengan lokasi yang tertera di undangan ini</v>
      </c>
    </row>
    <row r="641" ht="18.0" customHeight="1">
      <c r="O641" s="195"/>
      <c r="P641" s="140"/>
      <c r="Q641" s="134"/>
      <c r="X641" s="332" t="str">
        <f t="shared" si="10"/>
        <v>1899-12-30T0:00</v>
      </c>
      <c r="Y641" s="332" t="str">
        <f t="shared" si="4"/>
        <v>0</v>
      </c>
      <c r="Z641" s="332" t="str">
        <f t="shared" si="11"/>
        <v>1899-12-30T01:00:00</v>
      </c>
      <c r="AB641" s="194" t="str">
        <f t="shared" si="6"/>
        <v>Judul : 
Pembimbing : 
Penguji: 
1. 
Waktu :  WIB
Tempat : Lab Multimedia
Naskah : 
Note : 
- Mengingatkan serta menyerahkan Naskah hardfile  ke dosen pembimbing dan penguji paling lambat 2 hari sebelum ujian
- Teknis Pelaksanaan Ujian dilakukan secara offline sesuai dengan lokasi yang tertera di undangan ini</v>
      </c>
    </row>
    <row r="642" ht="18.0" customHeight="1">
      <c r="O642" s="195"/>
      <c r="P642" s="140"/>
      <c r="Q642" s="134"/>
      <c r="X642" s="332" t="str">
        <f t="shared" si="10"/>
        <v>1899-12-30T0:00</v>
      </c>
      <c r="Y642" s="332" t="str">
        <f t="shared" si="4"/>
        <v>0</v>
      </c>
      <c r="Z642" s="332" t="str">
        <f t="shared" si="11"/>
        <v>1899-12-30T01:00:00</v>
      </c>
      <c r="AB642" s="194" t="str">
        <f t="shared" si="6"/>
        <v>Judul : 
Pembimbing : 
Penguji: 
1. 
Waktu :  WIB
Tempat : Lab Multimedia
Naskah : 
Note : 
- Mengingatkan serta menyerahkan Naskah hardfile  ke dosen pembimbing dan penguji paling lambat 2 hari sebelum ujian
- Teknis Pelaksanaan Ujian dilakukan secara offline sesuai dengan lokasi yang tertera di undangan ini</v>
      </c>
    </row>
    <row r="643" ht="18.0" customHeight="1">
      <c r="O643" s="195"/>
      <c r="P643" s="140"/>
      <c r="Q643" s="134"/>
      <c r="X643" s="332" t="str">
        <f t="shared" si="10"/>
        <v>1899-12-30T0:00</v>
      </c>
      <c r="Y643" s="332" t="str">
        <f t="shared" si="4"/>
        <v>0</v>
      </c>
      <c r="Z643" s="332" t="str">
        <f t="shared" si="11"/>
        <v>1899-12-30T01:00:00</v>
      </c>
      <c r="AB643" s="194" t="str">
        <f t="shared" si="6"/>
        <v>Judul : 
Pembimbing : 
Penguji: 
1. 
Waktu :  WIB
Tempat : Lab Multimedia
Naskah : 
Note : 
- Mengingatkan serta menyerahkan Naskah hardfile  ke dosen pembimbing dan penguji paling lambat 2 hari sebelum ujian
- Teknis Pelaksanaan Ujian dilakukan secara offline sesuai dengan lokasi yang tertera di undangan ini</v>
      </c>
    </row>
    <row r="644" ht="18.0" customHeight="1">
      <c r="O644" s="195"/>
      <c r="P644" s="140"/>
      <c r="Q644" s="134"/>
      <c r="X644" s="332" t="str">
        <f t="shared" si="10"/>
        <v>1899-12-30T0:00</v>
      </c>
      <c r="Y644" s="332" t="str">
        <f t="shared" si="4"/>
        <v>0</v>
      </c>
      <c r="Z644" s="332" t="str">
        <f t="shared" si="11"/>
        <v>1899-12-30T01:00:00</v>
      </c>
      <c r="AB644" s="194" t="str">
        <f t="shared" si="6"/>
        <v>Judul : 
Pembimbing : 
Penguji: 
1. 
Waktu :  WIB
Tempat : Lab Multimedia
Naskah : 
Note : 
- Mengingatkan serta menyerahkan Naskah hardfile  ke dosen pembimbing dan penguji paling lambat 2 hari sebelum ujian
- Teknis Pelaksanaan Ujian dilakukan secara offline sesuai dengan lokasi yang tertera di undangan ini</v>
      </c>
    </row>
    <row r="645" ht="18.0" customHeight="1">
      <c r="O645" s="195"/>
      <c r="P645" s="140"/>
      <c r="Q645" s="134"/>
      <c r="X645" s="332" t="str">
        <f t="shared" si="10"/>
        <v>1899-12-30T0:00</v>
      </c>
      <c r="Y645" s="332" t="str">
        <f t="shared" si="4"/>
        <v>0</v>
      </c>
      <c r="Z645" s="332" t="str">
        <f t="shared" si="11"/>
        <v>1899-12-30T01:00:00</v>
      </c>
      <c r="AB645" s="194" t="str">
        <f t="shared" si="6"/>
        <v>Judul : 
Pembimbing : 
Penguji: 
1. 
Waktu :  WIB
Tempat : Lab Multimedia
Naskah : 
Note : 
- Mengingatkan serta menyerahkan Naskah hardfile  ke dosen pembimbing dan penguji paling lambat 2 hari sebelum ujian
- Teknis Pelaksanaan Ujian dilakukan secara offline sesuai dengan lokasi yang tertera di undangan ini</v>
      </c>
    </row>
    <row r="646" ht="18.0" customHeight="1">
      <c r="O646" s="195"/>
      <c r="P646" s="140"/>
      <c r="Q646" s="134"/>
      <c r="X646" s="332" t="str">
        <f t="shared" si="10"/>
        <v>1899-12-30T0:00</v>
      </c>
      <c r="Y646" s="332" t="str">
        <f t="shared" si="4"/>
        <v>0</v>
      </c>
      <c r="Z646" s="332" t="str">
        <f t="shared" si="11"/>
        <v>1899-12-30T01:00:00</v>
      </c>
      <c r="AB646" s="194" t="str">
        <f t="shared" si="6"/>
        <v>Judul : 
Pembimbing : 
Penguji: 
1. 
Waktu :  WIB
Tempat : Lab Multimedia
Naskah : 
Note : 
- Mengingatkan serta menyerahkan Naskah hardfile  ke dosen pembimbing dan penguji paling lambat 2 hari sebelum ujian
- Teknis Pelaksanaan Ujian dilakukan secara offline sesuai dengan lokasi yang tertera di undangan ini</v>
      </c>
    </row>
    <row r="647">
      <c r="Q647" s="1"/>
    </row>
    <row r="648">
      <c r="Q648" s="1"/>
    </row>
    <row r="649">
      <c r="Q649" s="1"/>
    </row>
    <row r="650">
      <c r="Q650" s="1"/>
    </row>
    <row r="651">
      <c r="Q651" s="1"/>
    </row>
    <row r="652">
      <c r="Q652" s="1"/>
    </row>
    <row r="653">
      <c r="Q653" s="1"/>
    </row>
    <row r="654">
      <c r="Q654" s="1"/>
    </row>
    <row r="655">
      <c r="Q655" s="1"/>
    </row>
    <row r="656">
      <c r="Q656" s="1"/>
    </row>
    <row r="657">
      <c r="Q657" s="1"/>
    </row>
    <row r="658">
      <c r="Q658" s="1"/>
    </row>
    <row r="659">
      <c r="Q659" s="1"/>
    </row>
    <row r="660">
      <c r="Q660" s="1"/>
    </row>
    <row r="661">
      <c r="Q661" s="1"/>
    </row>
    <row r="662">
      <c r="Q662" s="1"/>
    </row>
    <row r="663">
      <c r="Q663" s="1"/>
    </row>
    <row r="664">
      <c r="Q664" s="1"/>
    </row>
    <row r="665">
      <c r="C665" s="248" t="str">
        <f>IFERROR(__xludf.DUMMYFUNCTION("QUERY(#REF!,""select A,C,D,B,F,J,G,I,M,O"",false)"),"#REF!")</f>
        <v>#REF!</v>
      </c>
      <c r="E665" s="331"/>
      <c r="K665" s="14"/>
      <c r="L665" s="14"/>
      <c r="M665" s="43"/>
      <c r="N665" s="81" t="s">
        <v>2939</v>
      </c>
      <c r="O665" s="333"/>
      <c r="P665" s="334"/>
      <c r="Q665" s="334"/>
      <c r="R665" s="123"/>
      <c r="S665" s="43"/>
      <c r="T665" s="43"/>
      <c r="U665" s="43"/>
      <c r="V665" s="44"/>
      <c r="W665" s="43"/>
      <c r="X665" s="43"/>
      <c r="Y665" s="43"/>
      <c r="Z665" s="43"/>
      <c r="AA665" s="43"/>
      <c r="AB665" s="123"/>
      <c r="AC665" s="43"/>
    </row>
    <row r="666">
      <c r="A666" s="1"/>
      <c r="B666" s="1"/>
      <c r="C666" s="1"/>
      <c r="D666" s="1"/>
      <c r="E666" s="335"/>
      <c r="F666" s="1"/>
      <c r="G666" s="1"/>
      <c r="H666" s="1"/>
      <c r="I666" s="1"/>
      <c r="J666" s="1"/>
      <c r="K666" s="332"/>
      <c r="L666" s="332"/>
      <c r="M666" s="334"/>
      <c r="N666" s="334"/>
      <c r="O666" s="333"/>
      <c r="P666" s="334"/>
      <c r="Q666" s="334"/>
      <c r="R666" s="333"/>
      <c r="S666" s="334"/>
      <c r="T666" s="334"/>
      <c r="U666" s="334"/>
      <c r="V666" s="336"/>
      <c r="W666" s="334"/>
      <c r="X666" s="334"/>
      <c r="Y666" s="334"/>
      <c r="Z666" s="334"/>
      <c r="AA666" s="334"/>
      <c r="AB666" s="333"/>
      <c r="AC666" s="334"/>
    </row>
    <row r="667">
      <c r="E667" s="331"/>
      <c r="K667" s="14"/>
      <c r="L667" s="14"/>
      <c r="M667" s="43"/>
      <c r="N667" s="43"/>
      <c r="O667" s="337"/>
      <c r="P667" s="334"/>
      <c r="Q667" s="334"/>
      <c r="R667" s="123"/>
      <c r="S667" s="43"/>
      <c r="T667" s="43"/>
      <c r="U667" s="43"/>
      <c r="V667" s="44"/>
      <c r="W667" s="43"/>
      <c r="X667" s="43"/>
      <c r="Y667" s="43"/>
      <c r="Z667" s="43"/>
      <c r="AA667" s="43"/>
      <c r="AB667" s="123"/>
      <c r="AC667" s="43"/>
    </row>
    <row r="668">
      <c r="E668" s="331"/>
      <c r="K668" s="14"/>
      <c r="L668" s="14"/>
      <c r="M668" s="43"/>
      <c r="N668" s="43"/>
      <c r="O668" s="337"/>
      <c r="P668" s="334"/>
      <c r="Q668" s="334"/>
      <c r="R668" s="123"/>
      <c r="S668" s="43"/>
      <c r="T668" s="43"/>
      <c r="U668" s="43"/>
      <c r="V668" s="44"/>
      <c r="W668" s="43"/>
      <c r="X668" s="43"/>
      <c r="Y668" s="43"/>
      <c r="Z668" s="43"/>
      <c r="AA668" s="43"/>
      <c r="AB668" s="123"/>
      <c r="AC668" s="43"/>
    </row>
    <row r="669">
      <c r="E669" s="331"/>
      <c r="K669" s="14"/>
      <c r="L669" s="14"/>
      <c r="M669" s="43"/>
      <c r="N669" s="43"/>
      <c r="O669" s="337"/>
      <c r="P669" s="334"/>
      <c r="Q669" s="334"/>
      <c r="R669" s="123"/>
      <c r="S669" s="43"/>
      <c r="T669" s="43"/>
      <c r="U669" s="43"/>
      <c r="V669" s="44"/>
      <c r="W669" s="43"/>
      <c r="X669" s="43"/>
      <c r="Y669" s="43"/>
      <c r="Z669" s="43"/>
      <c r="AA669" s="43"/>
      <c r="AB669" s="123"/>
      <c r="AC669" s="43"/>
    </row>
    <row r="670">
      <c r="E670" s="331"/>
      <c r="K670" s="14"/>
      <c r="L670" s="14"/>
      <c r="M670" s="43"/>
      <c r="N670" s="43"/>
      <c r="O670" s="337"/>
      <c r="P670" s="334"/>
      <c r="Q670" s="334"/>
      <c r="R670" s="123"/>
      <c r="S670" s="43"/>
      <c r="T670" s="43"/>
      <c r="U670" s="43"/>
      <c r="V670" s="44"/>
      <c r="W670" s="43"/>
      <c r="X670" s="43"/>
      <c r="Y670" s="43"/>
      <c r="Z670" s="43"/>
      <c r="AA670" s="43"/>
      <c r="AB670" s="123"/>
      <c r="AC670" s="43"/>
    </row>
    <row r="671">
      <c r="E671" s="331"/>
      <c r="K671" s="14"/>
      <c r="L671" s="14"/>
      <c r="M671" s="43"/>
      <c r="N671" s="43"/>
      <c r="O671" s="337"/>
      <c r="P671" s="334"/>
      <c r="Q671" s="334"/>
      <c r="R671" s="123"/>
      <c r="S671" s="43"/>
      <c r="T671" s="43"/>
      <c r="U671" s="43"/>
      <c r="V671" s="44"/>
      <c r="W671" s="43"/>
      <c r="X671" s="43"/>
      <c r="Y671" s="43"/>
      <c r="Z671" s="43"/>
      <c r="AA671" s="43"/>
      <c r="AB671" s="123"/>
      <c r="AC671" s="43"/>
    </row>
    <row r="672">
      <c r="E672" s="331"/>
      <c r="K672" s="14"/>
      <c r="L672" s="14"/>
      <c r="M672" s="43"/>
      <c r="N672" s="43"/>
      <c r="O672" s="337"/>
      <c r="P672" s="334"/>
      <c r="Q672" s="334"/>
      <c r="R672" s="123"/>
      <c r="S672" s="43"/>
      <c r="T672" s="43"/>
      <c r="U672" s="43"/>
      <c r="V672" s="44"/>
      <c r="W672" s="43"/>
      <c r="X672" s="43"/>
      <c r="Y672" s="43"/>
      <c r="Z672" s="43"/>
      <c r="AA672" s="43"/>
      <c r="AB672" s="123"/>
      <c r="AC672" s="43"/>
    </row>
    <row r="673">
      <c r="E673" s="331"/>
      <c r="K673" s="14"/>
      <c r="L673" s="14"/>
      <c r="M673" s="43"/>
      <c r="N673" s="43"/>
      <c r="O673" s="337"/>
      <c r="P673" s="334"/>
      <c r="Q673" s="334"/>
      <c r="R673" s="123"/>
      <c r="S673" s="43"/>
      <c r="T673" s="43"/>
      <c r="U673" s="43"/>
      <c r="V673" s="44"/>
      <c r="W673" s="43"/>
      <c r="X673" s="43"/>
      <c r="Y673" s="43"/>
      <c r="Z673" s="43"/>
      <c r="AA673" s="43"/>
      <c r="AB673" s="123"/>
      <c r="AC673" s="43"/>
    </row>
    <row r="674">
      <c r="E674" s="331"/>
      <c r="K674" s="14"/>
      <c r="L674" s="14"/>
      <c r="M674" s="43"/>
      <c r="N674" s="43"/>
      <c r="O674" s="337"/>
      <c r="P674" s="334"/>
      <c r="Q674" s="334"/>
      <c r="R674" s="123"/>
      <c r="S674" s="43"/>
      <c r="T674" s="43"/>
      <c r="U674" s="43"/>
      <c r="V674" s="44"/>
      <c r="W674" s="43"/>
      <c r="X674" s="43"/>
      <c r="Y674" s="43"/>
      <c r="Z674" s="43"/>
      <c r="AA674" s="43"/>
      <c r="AB674" s="123"/>
      <c r="AC674" s="43"/>
    </row>
    <row r="675">
      <c r="E675" s="331"/>
      <c r="K675" s="14"/>
      <c r="L675" s="14"/>
      <c r="M675" s="43"/>
      <c r="N675" s="43"/>
      <c r="O675" s="337"/>
      <c r="P675" s="334"/>
      <c r="Q675" s="334"/>
      <c r="R675" s="123"/>
      <c r="S675" s="43"/>
      <c r="T675" s="43"/>
      <c r="U675" s="43"/>
      <c r="V675" s="44"/>
      <c r="W675" s="43"/>
      <c r="X675" s="43"/>
      <c r="Y675" s="43"/>
      <c r="Z675" s="43"/>
      <c r="AA675" s="43"/>
      <c r="AB675" s="123"/>
      <c r="AC675" s="43"/>
    </row>
    <row r="676">
      <c r="E676" s="331"/>
      <c r="K676" s="14"/>
      <c r="L676" s="14"/>
      <c r="M676" s="43"/>
      <c r="N676" s="43"/>
      <c r="O676" s="337"/>
      <c r="P676" s="334"/>
      <c r="Q676" s="334"/>
      <c r="R676" s="123"/>
      <c r="S676" s="43"/>
      <c r="T676" s="43"/>
      <c r="U676" s="43"/>
      <c r="V676" s="44"/>
      <c r="W676" s="43"/>
      <c r="X676" s="43"/>
      <c r="Y676" s="43"/>
      <c r="Z676" s="43"/>
      <c r="AA676" s="43"/>
      <c r="AB676" s="123"/>
      <c r="AC676" s="43"/>
    </row>
    <row r="677">
      <c r="E677" s="331"/>
      <c r="K677" s="14"/>
      <c r="L677" s="14"/>
      <c r="M677" s="43"/>
      <c r="N677" s="43"/>
      <c r="O677" s="337"/>
      <c r="P677" s="334"/>
      <c r="Q677" s="334"/>
      <c r="R677" s="123"/>
      <c r="S677" s="43"/>
      <c r="T677" s="43"/>
      <c r="U677" s="43"/>
      <c r="V677" s="44"/>
      <c r="W677" s="43"/>
      <c r="X677" s="43"/>
      <c r="Y677" s="43"/>
      <c r="Z677" s="43"/>
      <c r="AA677" s="43"/>
      <c r="AB677" s="123"/>
      <c r="AC677" s="43"/>
    </row>
    <row r="678">
      <c r="E678" s="331"/>
      <c r="K678" s="14"/>
      <c r="L678" s="14"/>
      <c r="M678" s="43"/>
      <c r="N678" s="43"/>
      <c r="O678" s="337"/>
      <c r="P678" s="334"/>
      <c r="Q678" s="334"/>
      <c r="R678" s="123"/>
      <c r="S678" s="43"/>
      <c r="T678" s="43"/>
      <c r="U678" s="43"/>
      <c r="V678" s="44"/>
      <c r="W678" s="43"/>
      <c r="X678" s="43"/>
      <c r="Y678" s="43"/>
      <c r="Z678" s="43"/>
      <c r="AA678" s="43"/>
      <c r="AB678" s="123"/>
      <c r="AC678" s="43"/>
    </row>
    <row r="679">
      <c r="E679" s="331"/>
      <c r="K679" s="14"/>
      <c r="L679" s="14"/>
      <c r="M679" s="43"/>
      <c r="N679" s="43"/>
      <c r="O679" s="337"/>
      <c r="P679" s="334"/>
      <c r="Q679" s="334"/>
      <c r="R679" s="123"/>
      <c r="S679" s="43"/>
      <c r="T679" s="43"/>
      <c r="U679" s="43"/>
      <c r="V679" s="44"/>
      <c r="W679" s="43"/>
      <c r="X679" s="43"/>
      <c r="Y679" s="43"/>
      <c r="Z679" s="43"/>
      <c r="AA679" s="43"/>
      <c r="AB679" s="123"/>
      <c r="AC679" s="43"/>
    </row>
    <row r="680">
      <c r="E680" s="331"/>
      <c r="K680" s="14"/>
      <c r="L680" s="14"/>
      <c r="M680" s="43"/>
      <c r="N680" s="43"/>
      <c r="O680" s="337"/>
      <c r="P680" s="334"/>
      <c r="Q680" s="334"/>
      <c r="R680" s="123"/>
      <c r="S680" s="43"/>
      <c r="T680" s="43"/>
      <c r="U680" s="43"/>
      <c r="V680" s="44"/>
      <c r="W680" s="43"/>
      <c r="X680" s="43"/>
      <c r="Y680" s="43"/>
      <c r="Z680" s="43"/>
      <c r="AA680" s="43"/>
      <c r="AB680" s="123"/>
      <c r="AC680" s="43"/>
    </row>
    <row r="681">
      <c r="E681" s="331"/>
      <c r="K681" s="14"/>
      <c r="L681" s="14"/>
      <c r="M681" s="43"/>
      <c r="N681" s="43"/>
      <c r="O681" s="337"/>
      <c r="P681" s="334"/>
      <c r="Q681" s="334"/>
      <c r="R681" s="123"/>
      <c r="S681" s="43"/>
      <c r="T681" s="43"/>
      <c r="U681" s="43"/>
      <c r="V681" s="44"/>
      <c r="W681" s="43"/>
      <c r="X681" s="43"/>
      <c r="Y681" s="43"/>
      <c r="Z681" s="43"/>
      <c r="AA681" s="43"/>
      <c r="AB681" s="123"/>
      <c r="AC681" s="43"/>
    </row>
    <row r="682">
      <c r="E682" s="331"/>
      <c r="K682" s="14"/>
      <c r="L682" s="14"/>
      <c r="M682" s="43"/>
      <c r="N682" s="43"/>
      <c r="O682" s="337"/>
      <c r="P682" s="334"/>
      <c r="Q682" s="334"/>
      <c r="R682" s="123"/>
      <c r="S682" s="43"/>
      <c r="T682" s="43"/>
      <c r="U682" s="43"/>
      <c r="V682" s="44"/>
      <c r="W682" s="43"/>
      <c r="X682" s="43"/>
      <c r="Y682" s="43"/>
      <c r="Z682" s="43"/>
      <c r="AA682" s="43"/>
      <c r="AB682" s="123"/>
      <c r="AC682" s="43"/>
    </row>
    <row r="683">
      <c r="E683" s="331"/>
      <c r="K683" s="14"/>
      <c r="L683" s="14"/>
      <c r="M683" s="43"/>
      <c r="N683" s="43"/>
      <c r="O683" s="337"/>
      <c r="P683" s="334"/>
      <c r="Q683" s="334"/>
      <c r="R683" s="123"/>
      <c r="S683" s="43"/>
      <c r="T683" s="43"/>
      <c r="U683" s="43"/>
      <c r="V683" s="44"/>
      <c r="W683" s="43"/>
      <c r="X683" s="43"/>
      <c r="Y683" s="43"/>
      <c r="Z683" s="43"/>
      <c r="AA683" s="43"/>
      <c r="AB683" s="123"/>
      <c r="AC683" s="43"/>
    </row>
    <row r="684">
      <c r="E684" s="331"/>
      <c r="K684" s="14"/>
      <c r="L684" s="14"/>
      <c r="M684" s="43"/>
      <c r="N684" s="43"/>
      <c r="O684" s="337"/>
      <c r="P684" s="334"/>
      <c r="Q684" s="334"/>
      <c r="R684" s="123"/>
      <c r="S684" s="43"/>
      <c r="T684" s="43"/>
      <c r="U684" s="43"/>
      <c r="V684" s="44"/>
      <c r="W684" s="43"/>
      <c r="X684" s="43"/>
      <c r="Y684" s="43"/>
      <c r="Z684" s="43"/>
      <c r="AA684" s="43"/>
      <c r="AB684" s="123"/>
      <c r="AC684" s="43"/>
    </row>
    <row r="685">
      <c r="E685" s="331"/>
      <c r="K685" s="14"/>
      <c r="L685" s="14"/>
      <c r="M685" s="43"/>
      <c r="N685" s="43"/>
      <c r="O685" s="337"/>
      <c r="P685" s="334"/>
      <c r="Q685" s="334"/>
      <c r="R685" s="123"/>
      <c r="S685" s="43"/>
      <c r="T685" s="43"/>
      <c r="U685" s="43"/>
      <c r="V685" s="44"/>
      <c r="W685" s="43"/>
      <c r="X685" s="43"/>
      <c r="Y685" s="43"/>
      <c r="Z685" s="43"/>
      <c r="AA685" s="43"/>
      <c r="AB685" s="123"/>
      <c r="AC685" s="43"/>
    </row>
    <row r="686">
      <c r="E686" s="331"/>
      <c r="K686" s="14"/>
      <c r="L686" s="14"/>
      <c r="M686" s="43"/>
      <c r="N686" s="43"/>
      <c r="O686" s="337"/>
      <c r="P686" s="334"/>
      <c r="Q686" s="334"/>
      <c r="R686" s="123"/>
      <c r="S686" s="43"/>
      <c r="T686" s="43"/>
      <c r="U686" s="43"/>
      <c r="V686" s="44"/>
      <c r="W686" s="43"/>
      <c r="X686" s="43"/>
      <c r="Y686" s="43"/>
      <c r="Z686" s="43"/>
      <c r="AA686" s="43"/>
      <c r="AB686" s="123"/>
      <c r="AC686" s="43"/>
    </row>
    <row r="687">
      <c r="E687" s="331"/>
      <c r="K687" s="14"/>
      <c r="L687" s="14"/>
      <c r="M687" s="43"/>
      <c r="N687" s="43"/>
      <c r="O687" s="337"/>
      <c r="P687" s="334"/>
      <c r="Q687" s="334"/>
      <c r="R687" s="123"/>
      <c r="S687" s="43"/>
      <c r="T687" s="43"/>
      <c r="U687" s="43"/>
      <c r="V687" s="44"/>
      <c r="W687" s="43"/>
      <c r="X687" s="43"/>
      <c r="Y687" s="43"/>
      <c r="Z687" s="43"/>
      <c r="AA687" s="43"/>
      <c r="AB687" s="123"/>
      <c r="AC687" s="43"/>
    </row>
    <row r="688">
      <c r="E688" s="331"/>
      <c r="K688" s="14"/>
      <c r="L688" s="14"/>
      <c r="M688" s="43"/>
      <c r="N688" s="43"/>
      <c r="O688" s="337"/>
      <c r="P688" s="334"/>
      <c r="Q688" s="334"/>
      <c r="R688" s="123"/>
      <c r="S688" s="43"/>
      <c r="T688" s="43"/>
      <c r="U688" s="43"/>
      <c r="V688" s="44"/>
      <c r="W688" s="43"/>
      <c r="X688" s="43"/>
      <c r="Y688" s="43"/>
      <c r="Z688" s="43"/>
      <c r="AA688" s="43"/>
      <c r="AB688" s="123"/>
      <c r="AC688" s="43"/>
    </row>
    <row r="689">
      <c r="E689" s="331"/>
      <c r="K689" s="14"/>
      <c r="L689" s="14"/>
      <c r="M689" s="43"/>
      <c r="N689" s="43"/>
      <c r="O689" s="337"/>
      <c r="P689" s="334"/>
      <c r="Q689" s="334"/>
      <c r="R689" s="123"/>
      <c r="S689" s="43"/>
      <c r="T689" s="43"/>
      <c r="U689" s="43"/>
      <c r="V689" s="44"/>
      <c r="W689" s="43"/>
      <c r="X689" s="43"/>
      <c r="Y689" s="43"/>
      <c r="Z689" s="43"/>
      <c r="AA689" s="43"/>
      <c r="AB689" s="123"/>
      <c r="AC689" s="43"/>
    </row>
    <row r="690">
      <c r="E690" s="331"/>
      <c r="K690" s="14"/>
      <c r="L690" s="14"/>
      <c r="M690" s="43"/>
      <c r="N690" s="43"/>
      <c r="O690" s="337"/>
      <c r="P690" s="334"/>
      <c r="Q690" s="334"/>
      <c r="R690" s="123"/>
      <c r="S690" s="43"/>
      <c r="T690" s="43"/>
      <c r="U690" s="43"/>
      <c r="V690" s="44"/>
      <c r="W690" s="43"/>
      <c r="X690" s="43"/>
      <c r="Y690" s="43"/>
      <c r="Z690" s="43"/>
      <c r="AA690" s="43"/>
      <c r="AB690" s="123"/>
      <c r="AC690" s="43"/>
    </row>
    <row r="691">
      <c r="E691" s="331"/>
      <c r="K691" s="14"/>
      <c r="L691" s="14"/>
      <c r="M691" s="43"/>
      <c r="N691" s="43"/>
      <c r="O691" s="337"/>
      <c r="P691" s="334"/>
      <c r="Q691" s="334"/>
      <c r="R691" s="123"/>
      <c r="S691" s="43"/>
      <c r="T691" s="43"/>
      <c r="U691" s="43"/>
      <c r="V691" s="44"/>
      <c r="W691" s="43"/>
      <c r="X691" s="43"/>
      <c r="Y691" s="43"/>
      <c r="Z691" s="43"/>
      <c r="AA691" s="43"/>
      <c r="AB691" s="123"/>
      <c r="AC691" s="43"/>
    </row>
    <row r="692">
      <c r="E692" s="331"/>
      <c r="K692" s="14"/>
      <c r="L692" s="14"/>
      <c r="M692" s="43"/>
      <c r="N692" s="43"/>
      <c r="O692" s="337"/>
      <c r="P692" s="334"/>
      <c r="Q692" s="334"/>
      <c r="R692" s="123"/>
      <c r="S692" s="43"/>
      <c r="T692" s="43"/>
      <c r="U692" s="43"/>
      <c r="V692" s="44"/>
      <c r="W692" s="43"/>
      <c r="X692" s="43"/>
      <c r="Y692" s="43"/>
      <c r="Z692" s="43"/>
      <c r="AA692" s="43"/>
      <c r="AB692" s="123"/>
      <c r="AC692" s="43"/>
    </row>
    <row r="693">
      <c r="E693" s="331"/>
      <c r="K693" s="14"/>
      <c r="L693" s="14"/>
      <c r="M693" s="43"/>
      <c r="N693" s="43"/>
      <c r="O693" s="337"/>
      <c r="P693" s="334"/>
      <c r="Q693" s="334"/>
      <c r="R693" s="123"/>
      <c r="S693" s="43"/>
      <c r="T693" s="43"/>
      <c r="U693" s="43"/>
      <c r="V693" s="44"/>
      <c r="W693" s="43"/>
      <c r="X693" s="43"/>
      <c r="Y693" s="43"/>
      <c r="Z693" s="43"/>
      <c r="AA693" s="43"/>
      <c r="AB693" s="123"/>
      <c r="AC693" s="43"/>
    </row>
    <row r="694">
      <c r="E694" s="331"/>
      <c r="K694" s="14"/>
      <c r="L694" s="14"/>
      <c r="M694" s="43"/>
      <c r="N694" s="43"/>
      <c r="O694" s="337"/>
      <c r="P694" s="334"/>
      <c r="Q694" s="334"/>
      <c r="R694" s="123"/>
      <c r="S694" s="43"/>
      <c r="T694" s="43"/>
      <c r="U694" s="43"/>
      <c r="V694" s="44"/>
      <c r="W694" s="43"/>
      <c r="X694" s="43"/>
      <c r="Y694" s="43"/>
      <c r="Z694" s="43"/>
      <c r="AA694" s="43"/>
      <c r="AB694" s="123"/>
      <c r="AC694" s="43"/>
    </row>
    <row r="695">
      <c r="E695" s="331"/>
      <c r="K695" s="14"/>
      <c r="L695" s="14"/>
      <c r="M695" s="43"/>
      <c r="N695" s="43"/>
      <c r="O695" s="337"/>
      <c r="P695" s="334"/>
      <c r="Q695" s="334"/>
      <c r="R695" s="123"/>
      <c r="S695" s="43"/>
      <c r="T695" s="43"/>
      <c r="U695" s="43"/>
      <c r="V695" s="44"/>
      <c r="W695" s="43"/>
      <c r="X695" s="43"/>
      <c r="Y695" s="43"/>
      <c r="Z695" s="43"/>
      <c r="AA695" s="43"/>
      <c r="AB695" s="123"/>
      <c r="AC695" s="43"/>
    </row>
    <row r="696">
      <c r="E696" s="331"/>
      <c r="K696" s="14"/>
      <c r="L696" s="14"/>
      <c r="M696" s="43"/>
      <c r="N696" s="43"/>
      <c r="O696" s="337"/>
      <c r="P696" s="334"/>
      <c r="Q696" s="334"/>
      <c r="R696" s="123"/>
      <c r="S696" s="43"/>
      <c r="T696" s="43"/>
      <c r="U696" s="43"/>
      <c r="V696" s="44"/>
      <c r="W696" s="43"/>
      <c r="X696" s="43"/>
      <c r="Y696" s="43"/>
      <c r="Z696" s="43"/>
      <c r="AA696" s="43"/>
      <c r="AB696" s="123"/>
      <c r="AC696" s="43"/>
    </row>
    <row r="697">
      <c r="E697" s="331"/>
      <c r="K697" s="14"/>
      <c r="L697" s="14"/>
      <c r="M697" s="43"/>
      <c r="N697" s="43"/>
      <c r="O697" s="337"/>
      <c r="P697" s="334"/>
      <c r="Q697" s="334"/>
      <c r="R697" s="123"/>
      <c r="S697" s="43"/>
      <c r="T697" s="43"/>
      <c r="U697" s="43"/>
      <c r="V697" s="44"/>
      <c r="W697" s="43"/>
      <c r="X697" s="43"/>
      <c r="Y697" s="43"/>
      <c r="Z697" s="43"/>
      <c r="AA697" s="43"/>
      <c r="AB697" s="123"/>
      <c r="AC697" s="43"/>
    </row>
    <row r="698">
      <c r="E698" s="331"/>
      <c r="K698" s="14"/>
      <c r="L698" s="14"/>
      <c r="M698" s="43"/>
      <c r="N698" s="43"/>
      <c r="O698" s="337"/>
      <c r="P698" s="334"/>
      <c r="Q698" s="334"/>
      <c r="R698" s="123"/>
      <c r="S698" s="43"/>
      <c r="T698" s="43"/>
      <c r="U698" s="43"/>
      <c r="V698" s="44"/>
      <c r="W698" s="43"/>
      <c r="X698" s="43"/>
      <c r="Y698" s="43"/>
      <c r="Z698" s="43"/>
      <c r="AA698" s="43"/>
      <c r="AB698" s="123"/>
      <c r="AC698" s="43"/>
    </row>
    <row r="699">
      <c r="E699" s="331"/>
      <c r="K699" s="14"/>
      <c r="L699" s="14"/>
      <c r="M699" s="43"/>
      <c r="N699" s="43"/>
      <c r="O699" s="337"/>
      <c r="P699" s="334"/>
      <c r="Q699" s="334"/>
      <c r="R699" s="123"/>
      <c r="S699" s="43"/>
      <c r="T699" s="43"/>
      <c r="U699" s="43"/>
      <c r="V699" s="44"/>
      <c r="W699" s="43"/>
      <c r="X699" s="43"/>
      <c r="Y699" s="43"/>
      <c r="Z699" s="43"/>
      <c r="AA699" s="43"/>
      <c r="AB699" s="123"/>
      <c r="AC699" s="43"/>
    </row>
    <row r="700">
      <c r="E700" s="331"/>
      <c r="K700" s="14"/>
      <c r="L700" s="14"/>
      <c r="M700" s="43"/>
      <c r="N700" s="43"/>
      <c r="O700" s="337"/>
      <c r="P700" s="334"/>
      <c r="Q700" s="334"/>
      <c r="R700" s="123"/>
      <c r="S700" s="43"/>
      <c r="T700" s="43"/>
      <c r="U700" s="43"/>
      <c r="V700" s="44"/>
      <c r="W700" s="43"/>
      <c r="X700" s="43"/>
      <c r="Y700" s="43"/>
      <c r="Z700" s="43"/>
      <c r="AA700" s="43"/>
      <c r="AB700" s="123"/>
      <c r="AC700" s="43"/>
    </row>
    <row r="701">
      <c r="E701" s="331"/>
      <c r="K701" s="14"/>
      <c r="L701" s="14"/>
      <c r="M701" s="43"/>
      <c r="N701" s="43"/>
      <c r="O701" s="337"/>
      <c r="P701" s="334"/>
      <c r="Q701" s="334"/>
      <c r="R701" s="123"/>
      <c r="S701" s="43"/>
      <c r="T701" s="43"/>
      <c r="U701" s="43"/>
      <c r="V701" s="44"/>
      <c r="W701" s="43"/>
      <c r="X701" s="43"/>
      <c r="Y701" s="43"/>
      <c r="Z701" s="43"/>
      <c r="AA701" s="43"/>
      <c r="AB701" s="123"/>
      <c r="AC701" s="43"/>
    </row>
    <row r="702">
      <c r="E702" s="331"/>
      <c r="K702" s="14"/>
      <c r="L702" s="14"/>
      <c r="M702" s="43"/>
      <c r="N702" s="43"/>
      <c r="O702" s="337"/>
      <c r="P702" s="334"/>
      <c r="Q702" s="334"/>
      <c r="R702" s="123"/>
      <c r="S702" s="43"/>
      <c r="T702" s="43"/>
      <c r="U702" s="43"/>
      <c r="V702" s="44"/>
      <c r="W702" s="43"/>
      <c r="X702" s="43"/>
      <c r="Y702" s="43"/>
      <c r="Z702" s="43"/>
      <c r="AA702" s="43"/>
      <c r="AB702" s="123"/>
      <c r="AC702" s="43"/>
    </row>
    <row r="703">
      <c r="E703" s="331"/>
      <c r="K703" s="14"/>
      <c r="L703" s="14"/>
      <c r="M703" s="43"/>
      <c r="N703" s="43"/>
      <c r="O703" s="337"/>
      <c r="P703" s="334"/>
      <c r="Q703" s="334"/>
      <c r="R703" s="123"/>
      <c r="S703" s="43"/>
      <c r="T703" s="43"/>
      <c r="U703" s="43"/>
      <c r="V703" s="44"/>
      <c r="W703" s="43"/>
      <c r="X703" s="43"/>
      <c r="Y703" s="43"/>
      <c r="Z703" s="43"/>
      <c r="AA703" s="43"/>
      <c r="AB703" s="123"/>
      <c r="AC703" s="43"/>
    </row>
    <row r="704">
      <c r="E704" s="331"/>
      <c r="K704" s="14"/>
      <c r="L704" s="14"/>
      <c r="M704" s="43"/>
      <c r="N704" s="43"/>
      <c r="O704" s="337"/>
      <c r="P704" s="334"/>
      <c r="Q704" s="334"/>
      <c r="R704" s="123"/>
      <c r="S704" s="43"/>
      <c r="T704" s="43"/>
      <c r="U704" s="43"/>
      <c r="V704" s="44"/>
      <c r="W704" s="43"/>
      <c r="X704" s="43"/>
      <c r="Y704" s="43"/>
      <c r="Z704" s="43"/>
      <c r="AA704" s="43"/>
      <c r="AB704" s="123"/>
      <c r="AC704" s="43"/>
    </row>
    <row r="705">
      <c r="E705" s="331"/>
      <c r="K705" s="14"/>
      <c r="L705" s="14"/>
      <c r="M705" s="43"/>
      <c r="N705" s="43"/>
      <c r="O705" s="337"/>
      <c r="P705" s="334"/>
      <c r="Q705" s="334"/>
      <c r="R705" s="123"/>
      <c r="S705" s="43"/>
      <c r="T705" s="43"/>
      <c r="U705" s="43"/>
      <c r="V705" s="44"/>
      <c r="W705" s="43"/>
      <c r="X705" s="43"/>
      <c r="Y705" s="43"/>
      <c r="Z705" s="43"/>
      <c r="AA705" s="43"/>
      <c r="AB705" s="123"/>
      <c r="AC705" s="43"/>
    </row>
    <row r="706">
      <c r="E706" s="331"/>
      <c r="K706" s="14"/>
      <c r="L706" s="14"/>
      <c r="M706" s="43"/>
      <c r="N706" s="43"/>
      <c r="O706" s="337"/>
      <c r="P706" s="334"/>
      <c r="Q706" s="334"/>
      <c r="R706" s="123"/>
      <c r="S706" s="43"/>
      <c r="T706" s="43"/>
      <c r="U706" s="43"/>
      <c r="V706" s="44"/>
      <c r="W706" s="43"/>
      <c r="X706" s="43"/>
      <c r="Y706" s="43"/>
      <c r="Z706" s="43"/>
      <c r="AA706" s="43"/>
      <c r="AB706" s="123"/>
      <c r="AC706" s="43"/>
    </row>
    <row r="707">
      <c r="E707" s="331"/>
      <c r="K707" s="14"/>
      <c r="L707" s="14"/>
      <c r="M707" s="43"/>
      <c r="N707" s="43"/>
      <c r="O707" s="337"/>
      <c r="P707" s="334"/>
      <c r="Q707" s="334"/>
      <c r="R707" s="123"/>
      <c r="S707" s="43"/>
      <c r="T707" s="43"/>
      <c r="U707" s="43"/>
      <c r="V707" s="44"/>
      <c r="W707" s="43"/>
      <c r="X707" s="43"/>
      <c r="Y707" s="43"/>
      <c r="Z707" s="43"/>
      <c r="AA707" s="43"/>
      <c r="AB707" s="123"/>
      <c r="AC707" s="43"/>
    </row>
    <row r="708">
      <c r="E708" s="331"/>
      <c r="K708" s="14"/>
      <c r="L708" s="14"/>
      <c r="M708" s="43"/>
      <c r="N708" s="43"/>
      <c r="O708" s="337"/>
      <c r="P708" s="334"/>
      <c r="Q708" s="334"/>
      <c r="R708" s="123"/>
      <c r="S708" s="43"/>
      <c r="T708" s="43"/>
      <c r="U708" s="43"/>
      <c r="V708" s="44"/>
      <c r="W708" s="43"/>
      <c r="X708" s="43"/>
      <c r="Y708" s="43"/>
      <c r="Z708" s="43"/>
      <c r="AA708" s="43"/>
      <c r="AB708" s="123"/>
      <c r="AC708" s="43"/>
    </row>
    <row r="709">
      <c r="E709" s="331"/>
      <c r="K709" s="14"/>
      <c r="L709" s="14"/>
      <c r="M709" s="43"/>
      <c r="N709" s="43"/>
      <c r="O709" s="337"/>
      <c r="P709" s="334"/>
      <c r="Q709" s="334"/>
      <c r="R709" s="123"/>
      <c r="S709" s="43"/>
      <c r="T709" s="43"/>
      <c r="U709" s="43"/>
      <c r="V709" s="44"/>
      <c r="W709" s="43"/>
      <c r="X709" s="43"/>
      <c r="Y709" s="43"/>
      <c r="Z709" s="43"/>
      <c r="AA709" s="43"/>
      <c r="AB709" s="123"/>
      <c r="AC709" s="43"/>
    </row>
    <row r="710">
      <c r="E710" s="331"/>
      <c r="K710" s="14"/>
      <c r="L710" s="14"/>
      <c r="M710" s="43"/>
      <c r="N710" s="43"/>
      <c r="O710" s="337"/>
      <c r="P710" s="334"/>
      <c r="Q710" s="334"/>
      <c r="R710" s="123"/>
      <c r="S710" s="43"/>
      <c r="T710" s="43"/>
      <c r="U710" s="43"/>
      <c r="V710" s="44"/>
      <c r="W710" s="43"/>
      <c r="X710" s="43"/>
      <c r="Y710" s="43"/>
      <c r="Z710" s="43"/>
      <c r="AA710" s="43"/>
      <c r="AB710" s="123"/>
      <c r="AC710" s="43"/>
    </row>
    <row r="711">
      <c r="E711" s="331"/>
      <c r="K711" s="14"/>
      <c r="L711" s="14"/>
      <c r="M711" s="43"/>
      <c r="N711" s="43"/>
      <c r="O711" s="337"/>
      <c r="P711" s="334"/>
      <c r="Q711" s="334"/>
      <c r="R711" s="123"/>
      <c r="S711" s="43"/>
      <c r="T711" s="43"/>
      <c r="U711" s="43"/>
      <c r="V711" s="44"/>
      <c r="W711" s="43"/>
      <c r="X711" s="43"/>
      <c r="Y711" s="43"/>
      <c r="Z711" s="43"/>
      <c r="AA711" s="43"/>
      <c r="AB711" s="123"/>
      <c r="AC711" s="43"/>
    </row>
    <row r="712">
      <c r="E712" s="331"/>
      <c r="K712" s="14"/>
      <c r="L712" s="14"/>
      <c r="M712" s="43"/>
      <c r="N712" s="43"/>
      <c r="O712" s="337"/>
      <c r="P712" s="334"/>
      <c r="Q712" s="334"/>
      <c r="R712" s="123"/>
      <c r="S712" s="43"/>
      <c r="T712" s="43"/>
      <c r="U712" s="43"/>
      <c r="V712" s="44"/>
      <c r="W712" s="43"/>
      <c r="X712" s="43"/>
      <c r="Y712" s="43"/>
      <c r="Z712" s="43"/>
      <c r="AA712" s="43"/>
      <c r="AB712" s="123"/>
      <c r="AC712" s="43"/>
    </row>
    <row r="713">
      <c r="E713" s="331"/>
      <c r="K713" s="14"/>
      <c r="L713" s="14"/>
      <c r="M713" s="43"/>
      <c r="N713" s="43"/>
      <c r="O713" s="337"/>
      <c r="P713" s="334"/>
      <c r="Q713" s="334"/>
      <c r="R713" s="123"/>
      <c r="S713" s="43"/>
      <c r="T713" s="43"/>
      <c r="U713" s="43"/>
      <c r="V713" s="44"/>
      <c r="W713" s="43"/>
      <c r="X713" s="43"/>
      <c r="Y713" s="43"/>
      <c r="Z713" s="43"/>
      <c r="AA713" s="43"/>
      <c r="AB713" s="123"/>
      <c r="AC713" s="43"/>
    </row>
    <row r="714">
      <c r="E714" s="331"/>
      <c r="K714" s="14"/>
      <c r="L714" s="14"/>
      <c r="M714" s="43"/>
      <c r="N714" s="43"/>
      <c r="O714" s="337"/>
      <c r="P714" s="334"/>
      <c r="Q714" s="334"/>
      <c r="R714" s="123"/>
      <c r="S714" s="43"/>
      <c r="T714" s="43"/>
      <c r="U714" s="43"/>
      <c r="V714" s="44"/>
      <c r="W714" s="43"/>
      <c r="X714" s="43"/>
      <c r="Y714" s="43"/>
      <c r="Z714" s="43"/>
      <c r="AA714" s="43"/>
      <c r="AB714" s="123"/>
      <c r="AC714" s="43"/>
    </row>
    <row r="715">
      <c r="E715" s="331"/>
      <c r="K715" s="14"/>
      <c r="L715" s="14"/>
      <c r="M715" s="43"/>
      <c r="N715" s="43"/>
      <c r="O715" s="337"/>
      <c r="P715" s="334"/>
      <c r="Q715" s="334"/>
      <c r="R715" s="123"/>
      <c r="S715" s="43"/>
      <c r="T715" s="43"/>
      <c r="U715" s="43"/>
      <c r="V715" s="44"/>
      <c r="W715" s="43"/>
      <c r="X715" s="43"/>
      <c r="Y715" s="43"/>
      <c r="Z715" s="43"/>
      <c r="AA715" s="43"/>
      <c r="AB715" s="123"/>
      <c r="AC715" s="43"/>
    </row>
    <row r="716">
      <c r="E716" s="331"/>
      <c r="K716" s="14"/>
      <c r="L716" s="14"/>
      <c r="M716" s="43"/>
      <c r="N716" s="43"/>
      <c r="O716" s="337"/>
      <c r="P716" s="334"/>
      <c r="Q716" s="334"/>
      <c r="R716" s="123"/>
      <c r="S716" s="43"/>
      <c r="T716" s="43"/>
      <c r="U716" s="43"/>
      <c r="V716" s="44"/>
      <c r="W716" s="43"/>
      <c r="X716" s="43"/>
      <c r="Y716" s="43"/>
      <c r="Z716" s="43"/>
      <c r="AA716" s="43"/>
      <c r="AB716" s="123"/>
      <c r="AC716" s="43"/>
    </row>
    <row r="717">
      <c r="E717" s="331"/>
      <c r="K717" s="14"/>
      <c r="L717" s="14"/>
      <c r="M717" s="43"/>
      <c r="N717" s="43"/>
      <c r="O717" s="337"/>
      <c r="P717" s="334"/>
      <c r="Q717" s="334"/>
      <c r="R717" s="123"/>
      <c r="S717" s="43"/>
      <c r="T717" s="43"/>
      <c r="U717" s="43"/>
      <c r="V717" s="44"/>
      <c r="W717" s="43"/>
      <c r="X717" s="43"/>
      <c r="Y717" s="43"/>
      <c r="Z717" s="43"/>
      <c r="AA717" s="43"/>
      <c r="AB717" s="123"/>
      <c r="AC717" s="43"/>
    </row>
    <row r="718">
      <c r="E718" s="331"/>
      <c r="K718" s="14"/>
      <c r="L718" s="14"/>
      <c r="M718" s="43"/>
      <c r="N718" s="43"/>
      <c r="O718" s="337"/>
      <c r="P718" s="334"/>
      <c r="Q718" s="334"/>
      <c r="R718" s="123"/>
      <c r="S718" s="43"/>
      <c r="T718" s="43"/>
      <c r="U718" s="43"/>
      <c r="V718" s="44"/>
      <c r="W718" s="43"/>
      <c r="X718" s="43"/>
      <c r="Y718" s="43"/>
      <c r="Z718" s="43"/>
      <c r="AA718" s="43"/>
      <c r="AB718" s="123"/>
      <c r="AC718" s="43"/>
    </row>
    <row r="719">
      <c r="E719" s="331"/>
      <c r="K719" s="14"/>
      <c r="L719" s="14"/>
      <c r="M719" s="43"/>
      <c r="N719" s="43"/>
      <c r="O719" s="337"/>
      <c r="P719" s="334"/>
      <c r="Q719" s="334"/>
      <c r="R719" s="123"/>
      <c r="S719" s="43"/>
      <c r="T719" s="43"/>
      <c r="U719" s="43"/>
      <c r="V719" s="44"/>
      <c r="W719" s="43"/>
      <c r="X719" s="43"/>
      <c r="Y719" s="43"/>
      <c r="Z719" s="43"/>
      <c r="AA719" s="43"/>
      <c r="AB719" s="123"/>
      <c r="AC719" s="43"/>
    </row>
    <row r="720">
      <c r="E720" s="331"/>
      <c r="K720" s="14"/>
      <c r="L720" s="14"/>
      <c r="M720" s="43"/>
      <c r="N720" s="43"/>
      <c r="O720" s="337"/>
      <c r="P720" s="334"/>
      <c r="Q720" s="334"/>
      <c r="R720" s="123"/>
      <c r="S720" s="43"/>
      <c r="T720" s="43"/>
      <c r="U720" s="43"/>
      <c r="V720" s="44"/>
      <c r="W720" s="43"/>
      <c r="X720" s="43"/>
      <c r="Y720" s="43"/>
      <c r="Z720" s="43"/>
      <c r="AA720" s="43"/>
      <c r="AB720" s="123"/>
      <c r="AC720" s="43"/>
    </row>
    <row r="721">
      <c r="E721" s="331"/>
      <c r="K721" s="14"/>
      <c r="L721" s="14"/>
      <c r="M721" s="43"/>
      <c r="N721" s="43"/>
      <c r="O721" s="337"/>
      <c r="P721" s="334"/>
      <c r="Q721" s="334"/>
      <c r="R721" s="123"/>
      <c r="S721" s="43"/>
      <c r="T721" s="43"/>
      <c r="U721" s="43"/>
      <c r="V721" s="44"/>
      <c r="W721" s="43"/>
      <c r="X721" s="43"/>
      <c r="Y721" s="43"/>
      <c r="Z721" s="43"/>
      <c r="AA721" s="43"/>
      <c r="AB721" s="123"/>
      <c r="AC721" s="43"/>
    </row>
    <row r="722">
      <c r="E722" s="331"/>
      <c r="K722" s="14"/>
      <c r="L722" s="14"/>
      <c r="M722" s="43"/>
      <c r="N722" s="43"/>
      <c r="O722" s="337"/>
      <c r="P722" s="334"/>
      <c r="Q722" s="334"/>
      <c r="R722" s="123"/>
      <c r="S722" s="43"/>
      <c r="T722" s="43"/>
      <c r="U722" s="43"/>
      <c r="V722" s="44"/>
      <c r="W722" s="43"/>
      <c r="X722" s="43"/>
      <c r="Y722" s="43"/>
      <c r="Z722" s="43"/>
      <c r="AA722" s="43"/>
      <c r="AB722" s="123"/>
      <c r="AC722" s="43"/>
    </row>
    <row r="723">
      <c r="E723" s="331"/>
      <c r="K723" s="14"/>
      <c r="L723" s="14"/>
      <c r="M723" s="43"/>
      <c r="N723" s="43"/>
      <c r="O723" s="337"/>
      <c r="P723" s="334"/>
      <c r="Q723" s="334"/>
      <c r="R723" s="123"/>
      <c r="S723" s="43"/>
      <c r="T723" s="43"/>
      <c r="U723" s="43"/>
      <c r="V723" s="44"/>
      <c r="W723" s="43"/>
      <c r="X723" s="43"/>
      <c r="Y723" s="43"/>
      <c r="Z723" s="43"/>
      <c r="AA723" s="43"/>
      <c r="AB723" s="123"/>
      <c r="AC723" s="43"/>
    </row>
    <row r="724">
      <c r="E724" s="331"/>
      <c r="K724" s="14"/>
      <c r="L724" s="14"/>
      <c r="M724" s="43"/>
      <c r="N724" s="43"/>
      <c r="O724" s="337"/>
      <c r="P724" s="334"/>
      <c r="Q724" s="334"/>
      <c r="R724" s="123"/>
      <c r="S724" s="43"/>
      <c r="T724" s="43"/>
      <c r="U724" s="43"/>
      <c r="V724" s="44"/>
      <c r="W724" s="43"/>
      <c r="X724" s="43"/>
      <c r="Y724" s="43"/>
      <c r="Z724" s="43"/>
      <c r="AA724" s="43"/>
      <c r="AB724" s="123"/>
      <c r="AC724" s="43"/>
    </row>
    <row r="725">
      <c r="E725" s="331"/>
      <c r="K725" s="14"/>
      <c r="L725" s="14"/>
      <c r="M725" s="43"/>
      <c r="N725" s="43"/>
      <c r="O725" s="337"/>
      <c r="P725" s="334"/>
      <c r="Q725" s="334"/>
      <c r="R725" s="123"/>
      <c r="S725" s="43"/>
      <c r="T725" s="43"/>
      <c r="U725" s="43"/>
      <c r="V725" s="44"/>
      <c r="W725" s="43"/>
      <c r="X725" s="43"/>
      <c r="Y725" s="43"/>
      <c r="Z725" s="43"/>
      <c r="AA725" s="43"/>
      <c r="AB725" s="123"/>
      <c r="AC725" s="43"/>
    </row>
    <row r="726">
      <c r="E726" s="331"/>
      <c r="K726" s="14"/>
      <c r="L726" s="14"/>
      <c r="M726" s="43"/>
      <c r="N726" s="43"/>
      <c r="O726" s="337"/>
      <c r="P726" s="334"/>
      <c r="Q726" s="334"/>
      <c r="R726" s="123"/>
      <c r="S726" s="43"/>
      <c r="T726" s="43"/>
      <c r="U726" s="43"/>
      <c r="V726" s="44"/>
      <c r="W726" s="43"/>
      <c r="X726" s="43"/>
      <c r="Y726" s="43"/>
      <c r="Z726" s="43"/>
      <c r="AA726" s="43"/>
      <c r="AB726" s="123"/>
      <c r="AC726" s="43"/>
    </row>
    <row r="727">
      <c r="E727" s="331"/>
      <c r="K727" s="14"/>
      <c r="L727" s="14"/>
      <c r="M727" s="43"/>
      <c r="N727" s="43"/>
      <c r="O727" s="337"/>
      <c r="P727" s="334"/>
      <c r="Q727" s="334"/>
      <c r="R727" s="123"/>
      <c r="S727" s="43"/>
      <c r="T727" s="43"/>
      <c r="U727" s="43"/>
      <c r="V727" s="44"/>
      <c r="W727" s="43"/>
      <c r="X727" s="43"/>
      <c r="Y727" s="43"/>
      <c r="Z727" s="43"/>
      <c r="AA727" s="43"/>
      <c r="AB727" s="123"/>
      <c r="AC727" s="43"/>
    </row>
    <row r="728">
      <c r="E728" s="331"/>
      <c r="K728" s="14"/>
      <c r="L728" s="14"/>
      <c r="M728" s="43"/>
      <c r="N728" s="43"/>
      <c r="O728" s="337"/>
      <c r="P728" s="334"/>
      <c r="Q728" s="334"/>
      <c r="R728" s="123"/>
      <c r="S728" s="43"/>
      <c r="T728" s="43"/>
      <c r="U728" s="43"/>
      <c r="V728" s="44"/>
      <c r="W728" s="43"/>
      <c r="X728" s="43"/>
      <c r="Y728" s="43"/>
      <c r="Z728" s="43"/>
      <c r="AA728" s="43"/>
      <c r="AB728" s="123"/>
      <c r="AC728" s="43"/>
    </row>
    <row r="729">
      <c r="E729" s="331"/>
      <c r="K729" s="14"/>
      <c r="L729" s="14"/>
      <c r="M729" s="43"/>
      <c r="N729" s="43"/>
      <c r="O729" s="337"/>
      <c r="P729" s="334"/>
      <c r="Q729" s="334"/>
      <c r="R729" s="123"/>
      <c r="S729" s="43"/>
      <c r="T729" s="43"/>
      <c r="U729" s="43"/>
      <c r="V729" s="44"/>
      <c r="W729" s="43"/>
      <c r="X729" s="43"/>
      <c r="Y729" s="43"/>
      <c r="Z729" s="43"/>
      <c r="AA729" s="43"/>
      <c r="AB729" s="123"/>
      <c r="AC729" s="43"/>
    </row>
    <row r="730">
      <c r="E730" s="331"/>
      <c r="K730" s="14"/>
      <c r="L730" s="14"/>
      <c r="M730" s="43"/>
      <c r="N730" s="43"/>
      <c r="O730" s="337"/>
      <c r="P730" s="334"/>
      <c r="Q730" s="334"/>
      <c r="R730" s="123"/>
      <c r="S730" s="43"/>
      <c r="T730" s="43"/>
      <c r="U730" s="43"/>
      <c r="V730" s="44"/>
      <c r="W730" s="43"/>
      <c r="X730" s="43"/>
      <c r="Y730" s="43"/>
      <c r="Z730" s="43"/>
      <c r="AA730" s="43"/>
      <c r="AB730" s="123"/>
      <c r="AC730" s="43"/>
    </row>
    <row r="731">
      <c r="E731" s="331"/>
      <c r="K731" s="14"/>
      <c r="L731" s="14"/>
      <c r="M731" s="43"/>
      <c r="N731" s="43"/>
      <c r="O731" s="337"/>
      <c r="P731" s="334"/>
      <c r="Q731" s="334"/>
      <c r="R731" s="123"/>
      <c r="S731" s="43"/>
      <c r="T731" s="43"/>
      <c r="U731" s="43"/>
      <c r="V731" s="44"/>
      <c r="W731" s="43"/>
      <c r="X731" s="43"/>
      <c r="Y731" s="43"/>
      <c r="Z731" s="43"/>
      <c r="AA731" s="43"/>
      <c r="AB731" s="123"/>
      <c r="AC731" s="43"/>
    </row>
    <row r="732">
      <c r="E732" s="331"/>
      <c r="K732" s="14"/>
      <c r="L732" s="14"/>
      <c r="M732" s="43"/>
      <c r="N732" s="43"/>
      <c r="O732" s="337"/>
      <c r="P732" s="334"/>
      <c r="Q732" s="334"/>
      <c r="R732" s="123"/>
      <c r="S732" s="43"/>
      <c r="T732" s="43"/>
      <c r="U732" s="43"/>
      <c r="V732" s="44"/>
      <c r="W732" s="43"/>
      <c r="X732" s="43"/>
      <c r="Y732" s="43"/>
      <c r="Z732" s="43"/>
      <c r="AA732" s="43"/>
      <c r="AB732" s="123"/>
      <c r="AC732" s="43"/>
    </row>
    <row r="733">
      <c r="E733" s="331"/>
      <c r="K733" s="14"/>
      <c r="L733" s="14"/>
      <c r="M733" s="43"/>
      <c r="N733" s="43"/>
      <c r="O733" s="337"/>
      <c r="P733" s="334"/>
      <c r="Q733" s="334"/>
      <c r="R733" s="123"/>
      <c r="S733" s="43"/>
      <c r="T733" s="43"/>
      <c r="U733" s="43"/>
      <c r="V733" s="44"/>
      <c r="W733" s="43"/>
      <c r="X733" s="43"/>
      <c r="Y733" s="43"/>
      <c r="Z733" s="43"/>
      <c r="AA733" s="43"/>
      <c r="AB733" s="123"/>
      <c r="AC733" s="43"/>
    </row>
    <row r="734">
      <c r="E734" s="331"/>
      <c r="K734" s="14"/>
      <c r="L734" s="14"/>
      <c r="M734" s="43"/>
      <c r="N734" s="43"/>
      <c r="O734" s="337"/>
      <c r="P734" s="334"/>
      <c r="Q734" s="334"/>
      <c r="R734" s="123"/>
      <c r="S734" s="43"/>
      <c r="T734" s="43"/>
      <c r="U734" s="43"/>
      <c r="V734" s="44"/>
      <c r="W734" s="43"/>
      <c r="X734" s="43"/>
      <c r="Y734" s="43"/>
      <c r="Z734" s="43"/>
      <c r="AA734" s="43"/>
      <c r="AB734" s="123"/>
      <c r="AC734" s="43"/>
    </row>
    <row r="735">
      <c r="E735" s="331"/>
      <c r="K735" s="14"/>
      <c r="L735" s="14"/>
      <c r="M735" s="43"/>
      <c r="N735" s="43"/>
      <c r="O735" s="337"/>
      <c r="P735" s="334"/>
      <c r="Q735" s="334"/>
      <c r="R735" s="123"/>
      <c r="S735" s="43"/>
      <c r="T735" s="43"/>
      <c r="U735" s="43"/>
      <c r="V735" s="44"/>
      <c r="W735" s="43"/>
      <c r="X735" s="43"/>
      <c r="Y735" s="43"/>
      <c r="Z735" s="43"/>
      <c r="AA735" s="43"/>
      <c r="AB735" s="123"/>
      <c r="AC735" s="43"/>
    </row>
    <row r="736">
      <c r="E736" s="331"/>
      <c r="K736" s="14"/>
      <c r="L736" s="14"/>
      <c r="M736" s="43"/>
      <c r="N736" s="43"/>
      <c r="O736" s="337"/>
      <c r="P736" s="334"/>
      <c r="Q736" s="334"/>
      <c r="R736" s="123"/>
      <c r="S736" s="43"/>
      <c r="T736" s="43"/>
      <c r="U736" s="43"/>
      <c r="V736" s="44"/>
      <c r="W736" s="43"/>
      <c r="X736" s="43"/>
      <c r="Y736" s="43"/>
      <c r="Z736" s="43"/>
      <c r="AA736" s="43"/>
      <c r="AB736" s="123"/>
      <c r="AC736" s="43"/>
    </row>
    <row r="737">
      <c r="E737" s="331"/>
      <c r="K737" s="14"/>
      <c r="L737" s="14"/>
      <c r="M737" s="43"/>
      <c r="N737" s="43"/>
      <c r="O737" s="337"/>
      <c r="P737" s="334"/>
      <c r="Q737" s="334"/>
      <c r="R737" s="123"/>
      <c r="S737" s="43"/>
      <c r="T737" s="43"/>
      <c r="U737" s="43"/>
      <c r="V737" s="44"/>
      <c r="W737" s="43"/>
      <c r="X737" s="43"/>
      <c r="Y737" s="43"/>
      <c r="Z737" s="43"/>
      <c r="AA737" s="43"/>
      <c r="AB737" s="123"/>
      <c r="AC737" s="43"/>
    </row>
    <row r="738">
      <c r="E738" s="331"/>
      <c r="K738" s="14"/>
      <c r="L738" s="14"/>
      <c r="M738" s="43"/>
      <c r="N738" s="43"/>
      <c r="O738" s="337"/>
      <c r="P738" s="334"/>
      <c r="Q738" s="334"/>
      <c r="R738" s="123"/>
      <c r="S738" s="43"/>
      <c r="T738" s="43"/>
      <c r="U738" s="43"/>
      <c r="V738" s="44"/>
      <c r="W738" s="43"/>
      <c r="X738" s="43"/>
      <c r="Y738" s="43"/>
      <c r="Z738" s="43"/>
      <c r="AA738" s="43"/>
      <c r="AB738" s="123"/>
      <c r="AC738" s="43"/>
    </row>
    <row r="739">
      <c r="E739" s="331"/>
      <c r="K739" s="14"/>
      <c r="L739" s="14"/>
      <c r="M739" s="43"/>
      <c r="N739" s="43"/>
      <c r="O739" s="337"/>
      <c r="P739" s="334"/>
      <c r="Q739" s="334"/>
      <c r="R739" s="123"/>
      <c r="S739" s="43"/>
      <c r="T739" s="43"/>
      <c r="U739" s="43"/>
      <c r="V739" s="44"/>
      <c r="W739" s="43"/>
      <c r="X739" s="43"/>
      <c r="Y739" s="43"/>
      <c r="Z739" s="43"/>
      <c r="AA739" s="43"/>
      <c r="AB739" s="123"/>
      <c r="AC739" s="43"/>
    </row>
    <row r="740">
      <c r="E740" s="331"/>
      <c r="K740" s="14"/>
      <c r="L740" s="14"/>
      <c r="M740" s="43"/>
      <c r="N740" s="43"/>
      <c r="O740" s="337"/>
      <c r="P740" s="334"/>
      <c r="Q740" s="334"/>
      <c r="R740" s="123"/>
      <c r="S740" s="43"/>
      <c r="T740" s="43"/>
      <c r="U740" s="43"/>
      <c r="V740" s="44"/>
      <c r="W740" s="43"/>
      <c r="X740" s="43"/>
      <c r="Y740" s="43"/>
      <c r="Z740" s="43"/>
      <c r="AA740" s="43"/>
      <c r="AB740" s="123"/>
      <c r="AC740" s="43"/>
    </row>
    <row r="741">
      <c r="E741" s="331"/>
      <c r="K741" s="14"/>
      <c r="L741" s="14"/>
      <c r="M741" s="43"/>
      <c r="N741" s="43"/>
      <c r="O741" s="337"/>
      <c r="P741" s="334"/>
      <c r="Q741" s="334"/>
      <c r="R741" s="123"/>
      <c r="S741" s="43"/>
      <c r="T741" s="43"/>
      <c r="U741" s="43"/>
      <c r="V741" s="44"/>
      <c r="W741" s="43"/>
      <c r="X741" s="43"/>
      <c r="Y741" s="43"/>
      <c r="Z741" s="43"/>
      <c r="AA741" s="43"/>
      <c r="AB741" s="123"/>
      <c r="AC741" s="43"/>
    </row>
    <row r="742">
      <c r="E742" s="331"/>
      <c r="K742" s="14"/>
      <c r="L742" s="14"/>
      <c r="M742" s="43"/>
      <c r="N742" s="43"/>
      <c r="O742" s="337"/>
      <c r="P742" s="334"/>
      <c r="Q742" s="334"/>
      <c r="R742" s="123"/>
      <c r="S742" s="43"/>
      <c r="T742" s="43"/>
      <c r="U742" s="43"/>
      <c r="V742" s="44"/>
      <c r="W742" s="43"/>
      <c r="X742" s="43"/>
      <c r="Y742" s="43"/>
      <c r="Z742" s="43"/>
      <c r="AA742" s="43"/>
      <c r="AB742" s="123"/>
      <c r="AC742" s="43"/>
    </row>
    <row r="743">
      <c r="E743" s="331"/>
      <c r="K743" s="14"/>
      <c r="L743" s="14"/>
      <c r="M743" s="43"/>
      <c r="N743" s="43"/>
      <c r="O743" s="337"/>
      <c r="P743" s="334"/>
      <c r="Q743" s="334"/>
      <c r="R743" s="123"/>
      <c r="S743" s="43"/>
      <c r="T743" s="43"/>
      <c r="U743" s="43"/>
      <c r="V743" s="44"/>
      <c r="W743" s="43"/>
      <c r="X743" s="43"/>
      <c r="Y743" s="43"/>
      <c r="Z743" s="43"/>
      <c r="AA743" s="43"/>
      <c r="AB743" s="123"/>
      <c r="AC743" s="43"/>
    </row>
    <row r="744">
      <c r="E744" s="331"/>
      <c r="K744" s="14"/>
      <c r="L744" s="14"/>
      <c r="M744" s="43"/>
      <c r="N744" s="43"/>
      <c r="O744" s="337"/>
      <c r="P744" s="334"/>
      <c r="Q744" s="334"/>
      <c r="R744" s="123"/>
      <c r="S744" s="43"/>
      <c r="T744" s="43"/>
      <c r="U744" s="43"/>
      <c r="V744" s="44"/>
      <c r="W744" s="43"/>
      <c r="X744" s="43"/>
      <c r="Y744" s="43"/>
      <c r="Z744" s="43"/>
      <c r="AA744" s="43"/>
      <c r="AB744" s="123"/>
      <c r="AC744" s="43"/>
    </row>
    <row r="745">
      <c r="E745" s="331"/>
      <c r="K745" s="14"/>
      <c r="L745" s="14"/>
      <c r="M745" s="43"/>
      <c r="N745" s="43"/>
      <c r="O745" s="337"/>
      <c r="P745" s="334"/>
      <c r="Q745" s="334"/>
      <c r="R745" s="123"/>
      <c r="S745" s="43"/>
      <c r="T745" s="43"/>
      <c r="U745" s="43"/>
      <c r="V745" s="44"/>
      <c r="W745" s="43"/>
      <c r="X745" s="43"/>
      <c r="Y745" s="43"/>
      <c r="Z745" s="43"/>
      <c r="AA745" s="43"/>
      <c r="AB745" s="123"/>
      <c r="AC745" s="43"/>
    </row>
    <row r="746">
      <c r="E746" s="331"/>
      <c r="K746" s="14"/>
      <c r="L746" s="14"/>
      <c r="M746" s="43"/>
      <c r="N746" s="43"/>
      <c r="O746" s="337"/>
      <c r="P746" s="334"/>
      <c r="Q746" s="334"/>
      <c r="R746" s="123"/>
      <c r="S746" s="43"/>
      <c r="T746" s="43"/>
      <c r="U746" s="43"/>
      <c r="V746" s="44"/>
      <c r="W746" s="43"/>
      <c r="X746" s="43"/>
      <c r="Y746" s="43"/>
      <c r="Z746" s="43"/>
      <c r="AA746" s="43"/>
      <c r="AB746" s="123"/>
      <c r="AC746" s="43"/>
    </row>
    <row r="747">
      <c r="E747" s="331"/>
      <c r="K747" s="14"/>
      <c r="L747" s="14"/>
      <c r="M747" s="43"/>
      <c r="N747" s="43"/>
      <c r="O747" s="337"/>
      <c r="P747" s="334"/>
      <c r="Q747" s="334"/>
      <c r="R747" s="123"/>
      <c r="S747" s="43"/>
      <c r="T747" s="43"/>
      <c r="U747" s="43"/>
      <c r="V747" s="44"/>
      <c r="W747" s="43"/>
      <c r="X747" s="43"/>
      <c r="Y747" s="43"/>
      <c r="Z747" s="43"/>
      <c r="AA747" s="43"/>
      <c r="AB747" s="123"/>
      <c r="AC747" s="43"/>
    </row>
    <row r="748">
      <c r="E748" s="331"/>
      <c r="K748" s="14"/>
      <c r="L748" s="14"/>
      <c r="M748" s="43"/>
      <c r="N748" s="43"/>
      <c r="O748" s="337"/>
      <c r="P748" s="334"/>
      <c r="Q748" s="334"/>
      <c r="R748" s="123"/>
      <c r="S748" s="43"/>
      <c r="T748" s="43"/>
      <c r="U748" s="43"/>
      <c r="V748" s="44"/>
      <c r="W748" s="43"/>
      <c r="X748" s="43"/>
      <c r="Y748" s="43"/>
      <c r="Z748" s="43"/>
      <c r="AA748" s="43"/>
      <c r="AB748" s="123"/>
      <c r="AC748" s="43"/>
    </row>
    <row r="749">
      <c r="E749" s="331"/>
      <c r="K749" s="14"/>
      <c r="L749" s="14"/>
      <c r="M749" s="43"/>
      <c r="N749" s="43"/>
      <c r="O749" s="337"/>
      <c r="P749" s="334"/>
      <c r="Q749" s="334"/>
      <c r="R749" s="123"/>
      <c r="S749" s="43"/>
      <c r="T749" s="43"/>
      <c r="U749" s="43"/>
      <c r="V749" s="44"/>
      <c r="W749" s="43"/>
      <c r="X749" s="43"/>
      <c r="Y749" s="43"/>
      <c r="Z749" s="43"/>
      <c r="AA749" s="43"/>
      <c r="AB749" s="123"/>
      <c r="AC749" s="43"/>
    </row>
    <row r="750">
      <c r="E750" s="331"/>
      <c r="K750" s="14"/>
      <c r="L750" s="14"/>
      <c r="M750" s="43"/>
      <c r="N750" s="43"/>
      <c r="O750" s="337"/>
      <c r="P750" s="334"/>
      <c r="Q750" s="334"/>
      <c r="R750" s="123"/>
      <c r="S750" s="43"/>
      <c r="T750" s="43"/>
      <c r="U750" s="43"/>
      <c r="V750" s="44"/>
      <c r="W750" s="43"/>
      <c r="X750" s="43"/>
      <c r="Y750" s="43"/>
      <c r="Z750" s="43"/>
      <c r="AA750" s="43"/>
      <c r="AB750" s="123"/>
      <c r="AC750" s="43"/>
    </row>
    <row r="751">
      <c r="E751" s="331"/>
      <c r="K751" s="14"/>
      <c r="L751" s="14"/>
      <c r="M751" s="43"/>
      <c r="N751" s="43"/>
      <c r="O751" s="337"/>
      <c r="P751" s="334"/>
      <c r="Q751" s="334"/>
      <c r="R751" s="123"/>
      <c r="S751" s="43"/>
      <c r="T751" s="43"/>
      <c r="U751" s="43"/>
      <c r="V751" s="44"/>
      <c r="W751" s="43"/>
      <c r="X751" s="43"/>
      <c r="Y751" s="43"/>
      <c r="Z751" s="43"/>
      <c r="AA751" s="43"/>
      <c r="AB751" s="123"/>
      <c r="AC751" s="43"/>
    </row>
    <row r="752">
      <c r="E752" s="331"/>
      <c r="K752" s="14"/>
      <c r="L752" s="14"/>
      <c r="M752" s="43"/>
      <c r="N752" s="43"/>
      <c r="O752" s="337"/>
      <c r="P752" s="334"/>
      <c r="Q752" s="334"/>
      <c r="R752" s="123"/>
      <c r="S752" s="43"/>
      <c r="T752" s="43"/>
      <c r="U752" s="43"/>
      <c r="V752" s="44"/>
      <c r="W752" s="43"/>
      <c r="X752" s="43"/>
      <c r="Y752" s="43"/>
      <c r="Z752" s="43"/>
      <c r="AA752" s="43"/>
      <c r="AB752" s="123"/>
      <c r="AC752" s="43"/>
    </row>
    <row r="753">
      <c r="E753" s="331"/>
      <c r="K753" s="14"/>
      <c r="L753" s="14"/>
      <c r="M753" s="43"/>
      <c r="N753" s="43"/>
      <c r="O753" s="337"/>
      <c r="P753" s="334"/>
      <c r="Q753" s="334"/>
      <c r="R753" s="123"/>
      <c r="S753" s="43"/>
      <c r="T753" s="43"/>
      <c r="U753" s="43"/>
      <c r="V753" s="44"/>
      <c r="W753" s="43"/>
      <c r="X753" s="43"/>
      <c r="Y753" s="43"/>
      <c r="Z753" s="43"/>
      <c r="AA753" s="43"/>
      <c r="AB753" s="123"/>
      <c r="AC753" s="43"/>
    </row>
    <row r="754">
      <c r="E754" s="331"/>
      <c r="K754" s="14"/>
      <c r="L754" s="14"/>
      <c r="M754" s="43"/>
      <c r="N754" s="43"/>
      <c r="O754" s="337"/>
      <c r="P754" s="334"/>
      <c r="Q754" s="334"/>
      <c r="R754" s="123"/>
      <c r="S754" s="43"/>
      <c r="T754" s="43"/>
      <c r="U754" s="43"/>
      <c r="V754" s="44"/>
      <c r="W754" s="43"/>
      <c r="X754" s="43"/>
      <c r="Y754" s="43"/>
      <c r="Z754" s="43"/>
      <c r="AA754" s="43"/>
      <c r="AB754" s="123"/>
      <c r="AC754" s="43"/>
    </row>
    <row r="755">
      <c r="E755" s="331"/>
      <c r="K755" s="14"/>
      <c r="L755" s="14"/>
      <c r="M755" s="43"/>
      <c r="N755" s="43"/>
      <c r="O755" s="337"/>
      <c r="P755" s="334"/>
      <c r="Q755" s="334"/>
      <c r="R755" s="123"/>
      <c r="S755" s="43"/>
      <c r="T755" s="43"/>
      <c r="U755" s="43"/>
      <c r="V755" s="44"/>
      <c r="W755" s="43"/>
      <c r="X755" s="43"/>
      <c r="Y755" s="43"/>
      <c r="Z755" s="43"/>
      <c r="AA755" s="43"/>
      <c r="AB755" s="123"/>
      <c r="AC755" s="43"/>
    </row>
    <row r="756">
      <c r="E756" s="331"/>
      <c r="K756" s="14"/>
      <c r="L756" s="14"/>
      <c r="M756" s="43"/>
      <c r="N756" s="43"/>
      <c r="O756" s="337"/>
      <c r="P756" s="334"/>
      <c r="Q756" s="334"/>
      <c r="R756" s="123"/>
      <c r="S756" s="43"/>
      <c r="T756" s="43"/>
      <c r="U756" s="43"/>
      <c r="V756" s="44"/>
      <c r="W756" s="43"/>
      <c r="X756" s="43"/>
      <c r="Y756" s="43"/>
      <c r="Z756" s="43"/>
      <c r="AA756" s="43"/>
      <c r="AB756" s="123"/>
      <c r="AC756" s="43"/>
    </row>
    <row r="757">
      <c r="E757" s="331"/>
      <c r="K757" s="14"/>
      <c r="L757" s="14"/>
      <c r="M757" s="43"/>
      <c r="N757" s="43"/>
      <c r="O757" s="337"/>
      <c r="P757" s="334"/>
      <c r="Q757" s="334"/>
      <c r="R757" s="123"/>
      <c r="S757" s="43"/>
      <c r="T757" s="43"/>
      <c r="U757" s="43"/>
      <c r="V757" s="44"/>
      <c r="W757" s="43"/>
      <c r="X757" s="43"/>
      <c r="Y757" s="43"/>
      <c r="Z757" s="43"/>
      <c r="AA757" s="43"/>
      <c r="AB757" s="123"/>
      <c r="AC757" s="43"/>
    </row>
    <row r="758">
      <c r="E758" s="331"/>
      <c r="K758" s="14"/>
      <c r="L758" s="14"/>
      <c r="M758" s="43"/>
      <c r="N758" s="43"/>
      <c r="O758" s="337"/>
      <c r="P758" s="334"/>
      <c r="Q758" s="334"/>
      <c r="R758" s="123"/>
      <c r="S758" s="43"/>
      <c r="T758" s="43"/>
      <c r="U758" s="43"/>
      <c r="V758" s="44"/>
      <c r="W758" s="43"/>
      <c r="X758" s="43"/>
      <c r="Y758" s="43"/>
      <c r="Z758" s="43"/>
      <c r="AA758" s="43"/>
      <c r="AB758" s="123"/>
      <c r="AC758" s="43"/>
    </row>
    <row r="759">
      <c r="E759" s="331"/>
      <c r="K759" s="14"/>
      <c r="L759" s="14"/>
      <c r="M759" s="43"/>
      <c r="N759" s="43"/>
      <c r="O759" s="337"/>
      <c r="P759" s="334"/>
      <c r="Q759" s="334"/>
      <c r="R759" s="123"/>
      <c r="S759" s="43"/>
      <c r="T759" s="43"/>
      <c r="U759" s="43"/>
      <c r="V759" s="44"/>
      <c r="W759" s="43"/>
      <c r="X759" s="43"/>
      <c r="Y759" s="43"/>
      <c r="Z759" s="43"/>
      <c r="AA759" s="43"/>
      <c r="AB759" s="123"/>
      <c r="AC759" s="43"/>
    </row>
    <row r="760">
      <c r="E760" s="331"/>
      <c r="K760" s="14"/>
      <c r="L760" s="14"/>
      <c r="M760" s="43"/>
      <c r="N760" s="43"/>
      <c r="O760" s="337"/>
      <c r="P760" s="334"/>
      <c r="Q760" s="334"/>
      <c r="R760" s="123"/>
      <c r="S760" s="43"/>
      <c r="T760" s="43"/>
      <c r="U760" s="43"/>
      <c r="V760" s="44"/>
      <c r="W760" s="43"/>
      <c r="X760" s="43"/>
      <c r="Y760" s="43"/>
      <c r="Z760" s="43"/>
      <c r="AA760" s="43"/>
      <c r="AB760" s="123"/>
      <c r="AC760" s="43"/>
    </row>
    <row r="761">
      <c r="E761" s="331"/>
      <c r="K761" s="14"/>
      <c r="L761" s="14"/>
      <c r="M761" s="43"/>
      <c r="N761" s="43"/>
      <c r="O761" s="337"/>
      <c r="P761" s="334"/>
      <c r="Q761" s="334"/>
      <c r="R761" s="123"/>
      <c r="S761" s="43"/>
      <c r="T761" s="43"/>
      <c r="U761" s="43"/>
      <c r="V761" s="44"/>
      <c r="W761" s="43"/>
      <c r="X761" s="43"/>
      <c r="Y761" s="43"/>
      <c r="Z761" s="43"/>
      <c r="AA761" s="43"/>
      <c r="AB761" s="123"/>
      <c r="AC761" s="43"/>
    </row>
    <row r="762">
      <c r="E762" s="331"/>
      <c r="K762" s="14"/>
      <c r="L762" s="14"/>
      <c r="M762" s="43"/>
      <c r="N762" s="43"/>
      <c r="O762" s="337"/>
      <c r="P762" s="334"/>
      <c r="Q762" s="334"/>
      <c r="R762" s="123"/>
      <c r="S762" s="43"/>
      <c r="T762" s="43"/>
      <c r="U762" s="43"/>
      <c r="V762" s="44"/>
      <c r="W762" s="43"/>
      <c r="X762" s="43"/>
      <c r="Y762" s="43"/>
      <c r="Z762" s="43"/>
      <c r="AA762" s="43"/>
      <c r="AB762" s="123"/>
      <c r="AC762" s="43"/>
    </row>
    <row r="763">
      <c r="E763" s="331"/>
      <c r="K763" s="14"/>
      <c r="L763" s="14"/>
      <c r="M763" s="43"/>
      <c r="N763" s="43"/>
      <c r="O763" s="337"/>
      <c r="P763" s="334"/>
      <c r="Q763" s="334"/>
      <c r="R763" s="123"/>
      <c r="S763" s="43"/>
      <c r="T763" s="43"/>
      <c r="U763" s="43"/>
      <c r="V763" s="44"/>
      <c r="W763" s="43"/>
      <c r="X763" s="43"/>
      <c r="Y763" s="43"/>
      <c r="Z763" s="43"/>
      <c r="AA763" s="43"/>
      <c r="AB763" s="123"/>
      <c r="AC763" s="43"/>
    </row>
    <row r="764">
      <c r="E764" s="331"/>
      <c r="K764" s="14"/>
      <c r="L764" s="14"/>
      <c r="M764" s="43"/>
      <c r="N764" s="43"/>
      <c r="O764" s="337"/>
      <c r="P764" s="334"/>
      <c r="Q764" s="334"/>
      <c r="R764" s="123"/>
      <c r="S764" s="43"/>
      <c r="T764" s="43"/>
      <c r="U764" s="43"/>
      <c r="V764" s="44"/>
      <c r="W764" s="43"/>
      <c r="X764" s="43"/>
      <c r="Y764" s="43"/>
      <c r="Z764" s="43"/>
      <c r="AA764" s="43"/>
      <c r="AB764" s="123"/>
      <c r="AC764" s="43"/>
    </row>
    <row r="765">
      <c r="E765" s="331"/>
      <c r="K765" s="14"/>
      <c r="L765" s="14"/>
      <c r="M765" s="43"/>
      <c r="N765" s="43"/>
      <c r="O765" s="337"/>
      <c r="P765" s="334"/>
      <c r="Q765" s="334"/>
      <c r="R765" s="123"/>
      <c r="S765" s="43"/>
      <c r="T765" s="43"/>
      <c r="U765" s="43"/>
      <c r="V765" s="44"/>
      <c r="W765" s="43"/>
      <c r="X765" s="43"/>
      <c r="Y765" s="43"/>
      <c r="Z765" s="43"/>
      <c r="AA765" s="43"/>
      <c r="AB765" s="123"/>
      <c r="AC765" s="43"/>
    </row>
    <row r="766">
      <c r="E766" s="331"/>
      <c r="K766" s="14"/>
      <c r="L766" s="14"/>
      <c r="M766" s="43"/>
      <c r="N766" s="43"/>
      <c r="O766" s="337"/>
      <c r="P766" s="334"/>
      <c r="Q766" s="334"/>
      <c r="R766" s="123"/>
      <c r="S766" s="43"/>
      <c r="T766" s="43"/>
      <c r="U766" s="43"/>
      <c r="V766" s="44"/>
      <c r="W766" s="43"/>
      <c r="X766" s="43"/>
      <c r="Y766" s="43"/>
      <c r="Z766" s="43"/>
      <c r="AA766" s="43"/>
      <c r="AB766" s="123"/>
      <c r="AC766" s="43"/>
    </row>
    <row r="767">
      <c r="E767" s="331"/>
      <c r="K767" s="14"/>
      <c r="L767" s="14"/>
      <c r="M767" s="43"/>
      <c r="N767" s="43"/>
      <c r="O767" s="337"/>
      <c r="P767" s="334"/>
      <c r="Q767" s="334"/>
      <c r="R767" s="123"/>
      <c r="S767" s="43"/>
      <c r="T767" s="43"/>
      <c r="U767" s="43"/>
      <c r="V767" s="44"/>
      <c r="W767" s="43"/>
      <c r="X767" s="43"/>
      <c r="Y767" s="43"/>
      <c r="Z767" s="43"/>
      <c r="AA767" s="43"/>
      <c r="AB767" s="123"/>
      <c r="AC767" s="43"/>
    </row>
    <row r="768">
      <c r="E768" s="331"/>
      <c r="K768" s="14"/>
      <c r="L768" s="14"/>
      <c r="M768" s="43"/>
      <c r="N768" s="43"/>
      <c r="O768" s="337"/>
      <c r="P768" s="334"/>
      <c r="Q768" s="334"/>
      <c r="R768" s="123"/>
      <c r="S768" s="43"/>
      <c r="T768" s="43"/>
      <c r="U768" s="43"/>
      <c r="V768" s="44"/>
      <c r="W768" s="43"/>
      <c r="X768" s="43"/>
      <c r="Y768" s="43"/>
      <c r="Z768" s="43"/>
      <c r="AA768" s="43"/>
      <c r="AB768" s="123"/>
      <c r="AC768" s="43"/>
    </row>
    <row r="769">
      <c r="E769" s="331"/>
      <c r="K769" s="14"/>
      <c r="L769" s="14"/>
      <c r="M769" s="43"/>
      <c r="N769" s="43"/>
      <c r="O769" s="337"/>
      <c r="P769" s="334"/>
      <c r="Q769" s="334"/>
      <c r="R769" s="123"/>
      <c r="S769" s="43"/>
      <c r="T769" s="43"/>
      <c r="U769" s="43"/>
      <c r="V769" s="44"/>
      <c r="W769" s="43"/>
      <c r="X769" s="43"/>
      <c r="Y769" s="43"/>
      <c r="Z769" s="43"/>
      <c r="AA769" s="43"/>
      <c r="AB769" s="123"/>
      <c r="AC769" s="43"/>
    </row>
    <row r="770">
      <c r="E770" s="331"/>
      <c r="K770" s="14"/>
      <c r="L770" s="14"/>
      <c r="M770" s="43"/>
      <c r="N770" s="43"/>
      <c r="O770" s="337"/>
      <c r="P770" s="334"/>
      <c r="Q770" s="334"/>
      <c r="R770" s="123"/>
      <c r="S770" s="43"/>
      <c r="T770" s="43"/>
      <c r="U770" s="43"/>
      <c r="V770" s="44"/>
      <c r="W770" s="43"/>
      <c r="X770" s="43"/>
      <c r="Y770" s="43"/>
      <c r="Z770" s="43"/>
      <c r="AA770" s="43"/>
      <c r="AB770" s="123"/>
      <c r="AC770" s="43"/>
    </row>
    <row r="771">
      <c r="E771" s="331"/>
      <c r="K771" s="14"/>
      <c r="L771" s="14"/>
      <c r="M771" s="43"/>
      <c r="N771" s="43"/>
      <c r="O771" s="337"/>
      <c r="P771" s="334"/>
      <c r="Q771" s="334"/>
      <c r="R771" s="123"/>
      <c r="S771" s="43"/>
      <c r="T771" s="43"/>
      <c r="U771" s="43"/>
      <c r="V771" s="44"/>
      <c r="W771" s="43"/>
      <c r="X771" s="43"/>
      <c r="Y771" s="43"/>
      <c r="Z771" s="43"/>
      <c r="AA771" s="43"/>
      <c r="AB771" s="123"/>
      <c r="AC771" s="43"/>
    </row>
    <row r="772">
      <c r="E772" s="331"/>
      <c r="K772" s="14"/>
      <c r="L772" s="14"/>
      <c r="M772" s="43"/>
      <c r="N772" s="43"/>
      <c r="O772" s="337"/>
      <c r="P772" s="334"/>
      <c r="Q772" s="334"/>
      <c r="R772" s="123"/>
      <c r="S772" s="43"/>
      <c r="T772" s="43"/>
      <c r="U772" s="43"/>
      <c r="V772" s="44"/>
      <c r="W772" s="43"/>
      <c r="X772" s="43"/>
      <c r="Y772" s="43"/>
      <c r="Z772" s="43"/>
      <c r="AA772" s="43"/>
      <c r="AB772" s="123"/>
      <c r="AC772" s="43"/>
    </row>
    <row r="773">
      <c r="E773" s="331"/>
      <c r="K773" s="14"/>
      <c r="L773" s="14"/>
      <c r="M773" s="43"/>
      <c r="N773" s="43"/>
      <c r="O773" s="337"/>
      <c r="P773" s="334"/>
      <c r="Q773" s="334"/>
      <c r="R773" s="123"/>
      <c r="S773" s="43"/>
      <c r="T773" s="43"/>
      <c r="U773" s="43"/>
      <c r="V773" s="44"/>
      <c r="W773" s="43"/>
      <c r="X773" s="43"/>
      <c r="Y773" s="43"/>
      <c r="Z773" s="43"/>
      <c r="AA773" s="43"/>
      <c r="AB773" s="123"/>
      <c r="AC773" s="43"/>
    </row>
    <row r="774">
      <c r="E774" s="331"/>
      <c r="K774" s="14"/>
      <c r="L774" s="14"/>
      <c r="M774" s="43"/>
      <c r="N774" s="43"/>
      <c r="O774" s="337"/>
      <c r="P774" s="334"/>
      <c r="Q774" s="334"/>
      <c r="R774" s="123"/>
      <c r="S774" s="43"/>
      <c r="T774" s="43"/>
      <c r="U774" s="43"/>
      <c r="V774" s="44"/>
      <c r="W774" s="43"/>
      <c r="X774" s="43"/>
      <c r="Y774" s="43"/>
      <c r="Z774" s="43"/>
      <c r="AA774" s="43"/>
      <c r="AB774" s="123"/>
      <c r="AC774" s="43"/>
    </row>
    <row r="775">
      <c r="E775" s="331"/>
      <c r="K775" s="14"/>
      <c r="L775" s="14"/>
      <c r="M775" s="43"/>
      <c r="N775" s="43"/>
      <c r="O775" s="337"/>
      <c r="P775" s="334"/>
      <c r="Q775" s="334"/>
      <c r="R775" s="123"/>
      <c r="S775" s="43"/>
      <c r="T775" s="43"/>
      <c r="U775" s="43"/>
      <c r="V775" s="44"/>
      <c r="W775" s="43"/>
      <c r="X775" s="43"/>
      <c r="Y775" s="43"/>
      <c r="Z775" s="43"/>
      <c r="AA775" s="43"/>
      <c r="AB775" s="123"/>
      <c r="AC775" s="43"/>
    </row>
    <row r="776">
      <c r="E776" s="331"/>
      <c r="K776" s="14"/>
      <c r="L776" s="14"/>
      <c r="M776" s="43"/>
      <c r="N776" s="43"/>
      <c r="O776" s="337"/>
      <c r="P776" s="334"/>
      <c r="Q776" s="334"/>
      <c r="R776" s="123"/>
      <c r="S776" s="43"/>
      <c r="T776" s="43"/>
      <c r="U776" s="43"/>
      <c r="V776" s="44"/>
      <c r="W776" s="43"/>
      <c r="X776" s="43"/>
      <c r="Y776" s="43"/>
      <c r="Z776" s="43"/>
      <c r="AA776" s="43"/>
      <c r="AB776" s="123"/>
      <c r="AC776" s="43"/>
    </row>
    <row r="777">
      <c r="E777" s="331"/>
      <c r="K777" s="14"/>
      <c r="L777" s="14"/>
      <c r="M777" s="43"/>
      <c r="N777" s="43"/>
      <c r="O777" s="337"/>
      <c r="P777" s="334"/>
      <c r="Q777" s="334"/>
      <c r="R777" s="123"/>
      <c r="S777" s="43"/>
      <c r="T777" s="43"/>
      <c r="U777" s="43"/>
      <c r="V777" s="44"/>
      <c r="W777" s="43"/>
      <c r="X777" s="43"/>
      <c r="Y777" s="43"/>
      <c r="Z777" s="43"/>
      <c r="AA777" s="43"/>
      <c r="AB777" s="123"/>
      <c r="AC777" s="43"/>
    </row>
    <row r="778">
      <c r="E778" s="331"/>
      <c r="K778" s="14"/>
      <c r="L778" s="14"/>
      <c r="M778" s="43"/>
      <c r="N778" s="43"/>
      <c r="O778" s="337"/>
      <c r="P778" s="334"/>
      <c r="Q778" s="334"/>
      <c r="R778" s="123"/>
      <c r="S778" s="43"/>
      <c r="T778" s="43"/>
      <c r="U778" s="43"/>
      <c r="V778" s="44"/>
      <c r="W778" s="43"/>
      <c r="X778" s="43"/>
      <c r="Y778" s="43"/>
      <c r="Z778" s="43"/>
      <c r="AA778" s="43"/>
      <c r="AB778" s="123"/>
      <c r="AC778" s="43"/>
    </row>
    <row r="779">
      <c r="E779" s="331"/>
      <c r="K779" s="14"/>
      <c r="L779" s="14"/>
      <c r="M779" s="43"/>
      <c r="N779" s="43"/>
      <c r="O779" s="337"/>
      <c r="P779" s="334"/>
      <c r="Q779" s="334"/>
      <c r="R779" s="123"/>
      <c r="S779" s="43"/>
      <c r="T779" s="43"/>
      <c r="U779" s="43"/>
      <c r="V779" s="44"/>
      <c r="W779" s="43"/>
      <c r="X779" s="43"/>
      <c r="Y779" s="43"/>
      <c r="Z779" s="43"/>
      <c r="AA779" s="43"/>
      <c r="AB779" s="123"/>
      <c r="AC779" s="43"/>
    </row>
    <row r="780">
      <c r="E780" s="331"/>
      <c r="K780" s="14"/>
      <c r="L780" s="14"/>
      <c r="M780" s="43"/>
      <c r="N780" s="43"/>
      <c r="O780" s="337"/>
      <c r="P780" s="334"/>
      <c r="Q780" s="334"/>
      <c r="R780" s="123"/>
      <c r="S780" s="43"/>
      <c r="T780" s="43"/>
      <c r="U780" s="43"/>
      <c r="V780" s="44"/>
      <c r="W780" s="43"/>
      <c r="X780" s="43"/>
      <c r="Y780" s="43"/>
      <c r="Z780" s="43"/>
      <c r="AA780" s="43"/>
      <c r="AB780" s="123"/>
      <c r="AC780" s="43"/>
    </row>
    <row r="781">
      <c r="E781" s="331"/>
      <c r="K781" s="14"/>
      <c r="L781" s="14"/>
      <c r="M781" s="43"/>
      <c r="N781" s="43"/>
      <c r="O781" s="337"/>
      <c r="P781" s="334"/>
      <c r="Q781" s="334"/>
      <c r="R781" s="123"/>
      <c r="S781" s="43"/>
      <c r="T781" s="43"/>
      <c r="U781" s="43"/>
      <c r="V781" s="44"/>
      <c r="W781" s="43"/>
      <c r="X781" s="43"/>
      <c r="Y781" s="43"/>
      <c r="Z781" s="43"/>
      <c r="AA781" s="43"/>
      <c r="AB781" s="123"/>
      <c r="AC781" s="43"/>
    </row>
    <row r="782">
      <c r="E782" s="331"/>
      <c r="K782" s="14"/>
      <c r="L782" s="14"/>
      <c r="M782" s="43"/>
      <c r="N782" s="43"/>
      <c r="O782" s="337"/>
      <c r="P782" s="334"/>
      <c r="Q782" s="334"/>
      <c r="R782" s="123"/>
      <c r="S782" s="43"/>
      <c r="T782" s="43"/>
      <c r="U782" s="43"/>
      <c r="V782" s="44"/>
      <c r="W782" s="43"/>
      <c r="X782" s="43"/>
      <c r="Y782" s="43"/>
      <c r="Z782" s="43"/>
      <c r="AA782" s="43"/>
      <c r="AB782" s="123"/>
      <c r="AC782" s="43"/>
    </row>
    <row r="783">
      <c r="E783" s="331"/>
      <c r="K783" s="14"/>
      <c r="L783" s="14"/>
      <c r="M783" s="43"/>
      <c r="N783" s="43"/>
      <c r="O783" s="337"/>
      <c r="P783" s="334"/>
      <c r="Q783" s="334"/>
      <c r="R783" s="123"/>
      <c r="S783" s="43"/>
      <c r="T783" s="43"/>
      <c r="U783" s="43"/>
      <c r="V783" s="44"/>
      <c r="W783" s="43"/>
      <c r="X783" s="43"/>
      <c r="Y783" s="43"/>
      <c r="Z783" s="43"/>
      <c r="AA783" s="43"/>
      <c r="AB783" s="123"/>
      <c r="AC783" s="43"/>
    </row>
    <row r="784">
      <c r="E784" s="331"/>
      <c r="K784" s="14"/>
      <c r="L784" s="14"/>
      <c r="M784" s="43"/>
      <c r="N784" s="43"/>
      <c r="O784" s="337"/>
      <c r="P784" s="334"/>
      <c r="Q784" s="334"/>
      <c r="R784" s="123"/>
      <c r="S784" s="43"/>
      <c r="T784" s="43"/>
      <c r="U784" s="43"/>
      <c r="V784" s="44"/>
      <c r="W784" s="43"/>
      <c r="X784" s="43"/>
      <c r="Y784" s="43"/>
      <c r="Z784" s="43"/>
      <c r="AA784" s="43"/>
      <c r="AB784" s="123"/>
      <c r="AC784" s="43"/>
    </row>
    <row r="785">
      <c r="E785" s="331"/>
      <c r="K785" s="14"/>
      <c r="L785" s="14"/>
      <c r="M785" s="43"/>
      <c r="N785" s="43"/>
      <c r="O785" s="337"/>
      <c r="P785" s="334"/>
      <c r="Q785" s="334"/>
      <c r="R785" s="123"/>
      <c r="S785" s="43"/>
      <c r="T785" s="43"/>
      <c r="U785" s="43"/>
      <c r="V785" s="44"/>
      <c r="W785" s="43"/>
      <c r="X785" s="43"/>
      <c r="Y785" s="43"/>
      <c r="Z785" s="43"/>
      <c r="AA785" s="43"/>
      <c r="AB785" s="123"/>
      <c r="AC785" s="43"/>
    </row>
    <row r="786">
      <c r="E786" s="331"/>
      <c r="K786" s="14"/>
      <c r="L786" s="14"/>
      <c r="M786" s="43"/>
      <c r="N786" s="43"/>
      <c r="O786" s="337"/>
      <c r="P786" s="334"/>
      <c r="Q786" s="334"/>
      <c r="R786" s="123"/>
      <c r="S786" s="43"/>
      <c r="T786" s="43"/>
      <c r="U786" s="43"/>
      <c r="V786" s="44"/>
      <c r="W786" s="43"/>
      <c r="X786" s="43"/>
      <c r="Y786" s="43"/>
      <c r="Z786" s="43"/>
      <c r="AA786" s="43"/>
      <c r="AB786" s="123"/>
      <c r="AC786" s="43"/>
    </row>
    <row r="787">
      <c r="E787" s="331"/>
      <c r="K787" s="14"/>
      <c r="L787" s="14"/>
      <c r="M787" s="43"/>
      <c r="N787" s="43"/>
      <c r="O787" s="337"/>
      <c r="P787" s="334"/>
      <c r="Q787" s="334"/>
      <c r="R787" s="123"/>
      <c r="S787" s="43"/>
      <c r="T787" s="43"/>
      <c r="U787" s="43"/>
      <c r="V787" s="44"/>
      <c r="W787" s="43"/>
      <c r="X787" s="43"/>
      <c r="Y787" s="43"/>
      <c r="Z787" s="43"/>
      <c r="AA787" s="43"/>
      <c r="AB787" s="123"/>
      <c r="AC787" s="43"/>
    </row>
    <row r="788">
      <c r="E788" s="331"/>
      <c r="K788" s="14"/>
      <c r="L788" s="14"/>
      <c r="M788" s="43"/>
      <c r="N788" s="43"/>
      <c r="O788" s="337"/>
      <c r="P788" s="334"/>
      <c r="Q788" s="334"/>
      <c r="R788" s="123"/>
      <c r="S788" s="43"/>
      <c r="T788" s="43"/>
      <c r="U788" s="43"/>
      <c r="V788" s="44"/>
      <c r="W788" s="43"/>
      <c r="X788" s="43"/>
      <c r="Y788" s="43"/>
      <c r="Z788" s="43"/>
      <c r="AA788" s="43"/>
      <c r="AB788" s="123"/>
      <c r="AC788" s="43"/>
    </row>
    <row r="789">
      <c r="E789" s="331"/>
      <c r="K789" s="14"/>
      <c r="L789" s="14"/>
      <c r="M789" s="43"/>
      <c r="N789" s="43"/>
      <c r="O789" s="337"/>
      <c r="P789" s="334"/>
      <c r="Q789" s="334"/>
      <c r="R789" s="123"/>
      <c r="S789" s="43"/>
      <c r="T789" s="43"/>
      <c r="U789" s="43"/>
      <c r="V789" s="44"/>
      <c r="W789" s="43"/>
      <c r="X789" s="43"/>
      <c r="Y789" s="43"/>
      <c r="Z789" s="43"/>
      <c r="AA789" s="43"/>
      <c r="AB789" s="123"/>
      <c r="AC789" s="43"/>
    </row>
    <row r="790">
      <c r="E790" s="331"/>
      <c r="K790" s="14"/>
      <c r="L790" s="14"/>
      <c r="M790" s="43"/>
      <c r="N790" s="43"/>
      <c r="O790" s="337"/>
      <c r="P790" s="334"/>
      <c r="Q790" s="334"/>
      <c r="R790" s="123"/>
      <c r="S790" s="43"/>
      <c r="T790" s="43"/>
      <c r="U790" s="43"/>
      <c r="V790" s="44"/>
      <c r="W790" s="43"/>
      <c r="X790" s="43"/>
      <c r="Y790" s="43"/>
      <c r="Z790" s="43"/>
      <c r="AA790" s="43"/>
      <c r="AB790" s="123"/>
      <c r="AC790" s="43"/>
    </row>
    <row r="791">
      <c r="E791" s="331"/>
      <c r="K791" s="14"/>
      <c r="L791" s="14"/>
      <c r="M791" s="43"/>
      <c r="N791" s="43"/>
      <c r="O791" s="337"/>
      <c r="P791" s="334"/>
      <c r="Q791" s="334"/>
      <c r="R791" s="123"/>
      <c r="S791" s="43"/>
      <c r="T791" s="43"/>
      <c r="U791" s="43"/>
      <c r="V791" s="44"/>
      <c r="W791" s="43"/>
      <c r="X791" s="43"/>
      <c r="Y791" s="43"/>
      <c r="Z791" s="43"/>
      <c r="AA791" s="43"/>
      <c r="AB791" s="123"/>
      <c r="AC791" s="43"/>
    </row>
    <row r="792">
      <c r="E792" s="331"/>
      <c r="K792" s="14"/>
      <c r="L792" s="14"/>
      <c r="M792" s="43"/>
      <c r="N792" s="43"/>
      <c r="O792" s="337"/>
      <c r="P792" s="334"/>
      <c r="Q792" s="334"/>
      <c r="R792" s="123"/>
      <c r="S792" s="43"/>
      <c r="T792" s="43"/>
      <c r="U792" s="43"/>
      <c r="V792" s="44"/>
      <c r="W792" s="43"/>
      <c r="X792" s="43"/>
      <c r="Y792" s="43"/>
      <c r="Z792" s="43"/>
      <c r="AA792" s="43"/>
      <c r="AB792" s="123"/>
      <c r="AC792" s="43"/>
    </row>
    <row r="793">
      <c r="E793" s="331"/>
      <c r="K793" s="14"/>
      <c r="L793" s="14"/>
      <c r="M793" s="43"/>
      <c r="N793" s="43"/>
      <c r="O793" s="337"/>
      <c r="P793" s="334"/>
      <c r="Q793" s="334"/>
      <c r="R793" s="123"/>
      <c r="S793" s="43"/>
      <c r="T793" s="43"/>
      <c r="U793" s="43"/>
      <c r="V793" s="44"/>
      <c r="W793" s="43"/>
      <c r="X793" s="43"/>
      <c r="Y793" s="43"/>
      <c r="Z793" s="43"/>
      <c r="AA793" s="43"/>
      <c r="AB793" s="123"/>
      <c r="AC793" s="43"/>
    </row>
    <row r="794">
      <c r="E794" s="331"/>
      <c r="K794" s="14"/>
      <c r="L794" s="14"/>
      <c r="M794" s="43"/>
      <c r="N794" s="43"/>
      <c r="O794" s="337"/>
      <c r="P794" s="334"/>
      <c r="Q794" s="334"/>
      <c r="R794" s="123"/>
      <c r="S794" s="43"/>
      <c r="T794" s="43"/>
      <c r="U794" s="43"/>
      <c r="V794" s="44"/>
      <c r="W794" s="43"/>
      <c r="X794" s="43"/>
      <c r="Y794" s="43"/>
      <c r="Z794" s="43"/>
      <c r="AA794" s="43"/>
      <c r="AB794" s="123"/>
      <c r="AC794" s="43"/>
    </row>
    <row r="795">
      <c r="E795" s="331"/>
      <c r="K795" s="14"/>
      <c r="L795" s="14"/>
      <c r="M795" s="43"/>
      <c r="N795" s="43"/>
      <c r="O795" s="337"/>
      <c r="P795" s="334"/>
      <c r="Q795" s="334"/>
      <c r="R795" s="123"/>
      <c r="S795" s="43"/>
      <c r="T795" s="43"/>
      <c r="U795" s="43"/>
      <c r="V795" s="44"/>
      <c r="W795" s="43"/>
      <c r="X795" s="43"/>
      <c r="Y795" s="43"/>
      <c r="Z795" s="43"/>
      <c r="AA795" s="43"/>
      <c r="AB795" s="123"/>
      <c r="AC795" s="43"/>
    </row>
    <row r="796">
      <c r="E796" s="331"/>
      <c r="K796" s="14"/>
      <c r="L796" s="14"/>
      <c r="M796" s="43"/>
      <c r="N796" s="43"/>
      <c r="O796" s="337"/>
      <c r="P796" s="334"/>
      <c r="Q796" s="334"/>
      <c r="R796" s="123"/>
      <c r="S796" s="43"/>
      <c r="T796" s="43"/>
      <c r="U796" s="43"/>
      <c r="V796" s="44"/>
      <c r="W796" s="43"/>
      <c r="X796" s="43"/>
      <c r="Y796" s="43"/>
      <c r="Z796" s="43"/>
      <c r="AA796" s="43"/>
      <c r="AB796" s="123"/>
      <c r="AC796" s="43"/>
    </row>
    <row r="797">
      <c r="E797" s="331"/>
      <c r="K797" s="14"/>
      <c r="L797" s="14"/>
      <c r="M797" s="43"/>
      <c r="N797" s="43"/>
      <c r="O797" s="337"/>
      <c r="P797" s="334"/>
      <c r="Q797" s="334"/>
      <c r="R797" s="123"/>
      <c r="S797" s="43"/>
      <c r="T797" s="43"/>
      <c r="U797" s="43"/>
      <c r="V797" s="44"/>
      <c r="W797" s="43"/>
      <c r="X797" s="43"/>
      <c r="Y797" s="43"/>
      <c r="Z797" s="43"/>
      <c r="AA797" s="43"/>
      <c r="AB797" s="123"/>
      <c r="AC797" s="43"/>
    </row>
    <row r="798">
      <c r="E798" s="331"/>
      <c r="K798" s="14"/>
      <c r="L798" s="14"/>
      <c r="M798" s="43"/>
      <c r="N798" s="43"/>
      <c r="O798" s="337"/>
      <c r="P798" s="334"/>
      <c r="Q798" s="334"/>
      <c r="R798" s="123"/>
      <c r="S798" s="43"/>
      <c r="T798" s="43"/>
      <c r="U798" s="43"/>
      <c r="V798" s="44"/>
      <c r="W798" s="43"/>
      <c r="X798" s="43"/>
      <c r="Y798" s="43"/>
      <c r="Z798" s="43"/>
      <c r="AA798" s="43"/>
      <c r="AB798" s="123"/>
      <c r="AC798" s="43"/>
    </row>
    <row r="799">
      <c r="E799" s="331"/>
      <c r="K799" s="14"/>
      <c r="L799" s="14"/>
      <c r="M799" s="43"/>
      <c r="N799" s="43"/>
      <c r="O799" s="337"/>
      <c r="P799" s="334"/>
      <c r="Q799" s="334"/>
      <c r="R799" s="123"/>
      <c r="S799" s="43"/>
      <c r="T799" s="43"/>
      <c r="U799" s="43"/>
      <c r="V799" s="44"/>
      <c r="W799" s="43"/>
      <c r="X799" s="43"/>
      <c r="Y799" s="43"/>
      <c r="Z799" s="43"/>
      <c r="AA799" s="43"/>
      <c r="AB799" s="123"/>
      <c r="AC799" s="43"/>
    </row>
    <row r="800">
      <c r="E800" s="331"/>
      <c r="K800" s="14"/>
      <c r="L800" s="14"/>
      <c r="M800" s="43"/>
      <c r="N800" s="43"/>
      <c r="O800" s="337"/>
      <c r="P800" s="334"/>
      <c r="Q800" s="334"/>
      <c r="R800" s="123"/>
      <c r="S800" s="43"/>
      <c r="T800" s="43"/>
      <c r="U800" s="43"/>
      <c r="V800" s="44"/>
      <c r="W800" s="43"/>
      <c r="X800" s="43"/>
      <c r="Y800" s="43"/>
      <c r="Z800" s="43"/>
      <c r="AA800" s="43"/>
      <c r="AB800" s="123"/>
      <c r="AC800" s="43"/>
    </row>
    <row r="801">
      <c r="E801" s="331"/>
      <c r="K801" s="14"/>
      <c r="L801" s="14"/>
      <c r="M801" s="43"/>
      <c r="N801" s="43"/>
      <c r="O801" s="337"/>
      <c r="P801" s="334"/>
      <c r="Q801" s="334"/>
      <c r="R801" s="123"/>
      <c r="S801" s="43"/>
      <c r="T801" s="43"/>
      <c r="U801" s="43"/>
      <c r="V801" s="44"/>
      <c r="W801" s="43"/>
      <c r="X801" s="43"/>
      <c r="Y801" s="43"/>
      <c r="Z801" s="43"/>
      <c r="AA801" s="43"/>
      <c r="AB801" s="123"/>
      <c r="AC801" s="43"/>
    </row>
    <row r="802">
      <c r="E802" s="331"/>
      <c r="K802" s="14"/>
      <c r="L802" s="14"/>
      <c r="M802" s="43"/>
      <c r="N802" s="43"/>
      <c r="O802" s="337"/>
      <c r="P802" s="334"/>
      <c r="Q802" s="334"/>
      <c r="R802" s="123"/>
      <c r="S802" s="43"/>
      <c r="T802" s="43"/>
      <c r="U802" s="43"/>
      <c r="V802" s="44"/>
      <c r="W802" s="43"/>
      <c r="X802" s="43"/>
      <c r="Y802" s="43"/>
      <c r="Z802" s="43"/>
      <c r="AA802" s="43"/>
      <c r="AB802" s="123"/>
      <c r="AC802" s="43"/>
    </row>
    <row r="803">
      <c r="E803" s="331"/>
      <c r="K803" s="14"/>
      <c r="L803" s="14"/>
      <c r="M803" s="43"/>
      <c r="N803" s="43"/>
      <c r="O803" s="337"/>
      <c r="P803" s="334"/>
      <c r="Q803" s="334"/>
      <c r="R803" s="123"/>
      <c r="S803" s="43"/>
      <c r="T803" s="43"/>
      <c r="U803" s="43"/>
      <c r="V803" s="44"/>
      <c r="W803" s="43"/>
      <c r="X803" s="43"/>
      <c r="Y803" s="43"/>
      <c r="Z803" s="43"/>
      <c r="AA803" s="43"/>
      <c r="AB803" s="123"/>
      <c r="AC803" s="43"/>
    </row>
    <row r="804">
      <c r="E804" s="331"/>
      <c r="K804" s="14"/>
      <c r="L804" s="14"/>
      <c r="M804" s="43"/>
      <c r="N804" s="43"/>
      <c r="O804" s="337"/>
      <c r="P804" s="334"/>
      <c r="Q804" s="334"/>
      <c r="R804" s="123"/>
      <c r="S804" s="43"/>
      <c r="T804" s="43"/>
      <c r="U804" s="43"/>
      <c r="V804" s="44"/>
      <c r="W804" s="43"/>
      <c r="X804" s="43"/>
      <c r="Y804" s="43"/>
      <c r="Z804" s="43"/>
      <c r="AA804" s="43"/>
      <c r="AB804" s="123"/>
      <c r="AC804" s="43"/>
    </row>
    <row r="805">
      <c r="E805" s="331"/>
      <c r="K805" s="14"/>
      <c r="L805" s="14"/>
      <c r="M805" s="43"/>
      <c r="N805" s="43"/>
      <c r="O805" s="337"/>
      <c r="P805" s="334"/>
      <c r="Q805" s="334"/>
      <c r="R805" s="123"/>
      <c r="S805" s="43"/>
      <c r="T805" s="43"/>
      <c r="U805" s="43"/>
      <c r="V805" s="44"/>
      <c r="W805" s="43"/>
      <c r="X805" s="43"/>
      <c r="Y805" s="43"/>
      <c r="Z805" s="43"/>
      <c r="AA805" s="43"/>
      <c r="AB805" s="123"/>
      <c r="AC805" s="43"/>
    </row>
    <row r="806">
      <c r="E806" s="331"/>
      <c r="K806" s="14"/>
      <c r="L806" s="14"/>
      <c r="M806" s="43"/>
      <c r="N806" s="43"/>
      <c r="O806" s="337"/>
      <c r="P806" s="334"/>
      <c r="Q806" s="334"/>
      <c r="R806" s="123"/>
      <c r="S806" s="43"/>
      <c r="T806" s="43"/>
      <c r="U806" s="43"/>
      <c r="V806" s="44"/>
      <c r="W806" s="43"/>
      <c r="X806" s="43"/>
      <c r="Y806" s="43"/>
      <c r="Z806" s="43"/>
      <c r="AA806" s="43"/>
      <c r="AB806" s="123"/>
      <c r="AC806" s="43"/>
    </row>
    <row r="807">
      <c r="E807" s="331"/>
      <c r="K807" s="14"/>
      <c r="L807" s="14"/>
      <c r="M807" s="43"/>
      <c r="N807" s="43"/>
      <c r="O807" s="337"/>
      <c r="P807" s="334"/>
      <c r="Q807" s="334"/>
      <c r="R807" s="123"/>
      <c r="S807" s="43"/>
      <c r="T807" s="43"/>
      <c r="U807" s="43"/>
      <c r="V807" s="44"/>
      <c r="W807" s="43"/>
      <c r="X807" s="43"/>
      <c r="Y807" s="43"/>
      <c r="Z807" s="43"/>
      <c r="AA807" s="43"/>
      <c r="AB807" s="123"/>
      <c r="AC807" s="43"/>
    </row>
    <row r="808">
      <c r="E808" s="331"/>
      <c r="K808" s="14"/>
      <c r="L808" s="14"/>
      <c r="M808" s="43"/>
      <c r="N808" s="43"/>
      <c r="O808" s="337"/>
      <c r="P808" s="334"/>
      <c r="Q808" s="334"/>
      <c r="R808" s="123"/>
      <c r="S808" s="43"/>
      <c r="T808" s="43"/>
      <c r="U808" s="43"/>
      <c r="V808" s="44"/>
      <c r="W808" s="43"/>
      <c r="X808" s="43"/>
      <c r="Y808" s="43"/>
      <c r="Z808" s="43"/>
      <c r="AA808" s="43"/>
      <c r="AB808" s="123"/>
      <c r="AC808" s="43"/>
    </row>
    <row r="809">
      <c r="E809" s="331"/>
      <c r="K809" s="14"/>
      <c r="L809" s="14"/>
      <c r="M809" s="43"/>
      <c r="N809" s="43"/>
      <c r="O809" s="337"/>
      <c r="P809" s="334"/>
      <c r="Q809" s="334"/>
      <c r="R809" s="123"/>
      <c r="S809" s="43"/>
      <c r="T809" s="43"/>
      <c r="U809" s="43"/>
      <c r="V809" s="44"/>
      <c r="W809" s="43"/>
      <c r="X809" s="43"/>
      <c r="Y809" s="43"/>
      <c r="Z809" s="43"/>
      <c r="AA809" s="43"/>
      <c r="AB809" s="123"/>
      <c r="AC809" s="43"/>
    </row>
    <row r="810">
      <c r="E810" s="331"/>
      <c r="K810" s="14"/>
      <c r="L810" s="14"/>
      <c r="M810" s="43"/>
      <c r="N810" s="43"/>
      <c r="O810" s="337"/>
      <c r="P810" s="334"/>
      <c r="Q810" s="334"/>
      <c r="R810" s="123"/>
      <c r="S810" s="43"/>
      <c r="T810" s="43"/>
      <c r="U810" s="43"/>
      <c r="V810" s="44"/>
      <c r="W810" s="43"/>
      <c r="X810" s="43"/>
      <c r="Y810" s="43"/>
      <c r="Z810" s="43"/>
      <c r="AA810" s="43"/>
      <c r="AB810" s="123"/>
      <c r="AC810" s="43"/>
    </row>
    <row r="811">
      <c r="E811" s="331"/>
      <c r="K811" s="14"/>
      <c r="L811" s="14"/>
      <c r="M811" s="43"/>
      <c r="N811" s="43"/>
      <c r="O811" s="337"/>
      <c r="P811" s="334"/>
      <c r="Q811" s="334"/>
      <c r="R811" s="123"/>
      <c r="S811" s="43"/>
      <c r="T811" s="43"/>
      <c r="U811" s="43"/>
      <c r="V811" s="44"/>
      <c r="W811" s="43"/>
      <c r="X811" s="43"/>
      <c r="Y811" s="43"/>
      <c r="Z811" s="43"/>
      <c r="AA811" s="43"/>
      <c r="AB811" s="123"/>
      <c r="AC811" s="43"/>
    </row>
    <row r="812">
      <c r="E812" s="331"/>
      <c r="K812" s="14"/>
      <c r="L812" s="14"/>
      <c r="M812" s="43"/>
      <c r="N812" s="43"/>
      <c r="O812" s="337"/>
      <c r="P812" s="334"/>
      <c r="Q812" s="334"/>
      <c r="R812" s="123"/>
      <c r="S812" s="43"/>
      <c r="T812" s="43"/>
      <c r="U812" s="43"/>
      <c r="V812" s="44"/>
      <c r="W812" s="43"/>
      <c r="X812" s="43"/>
      <c r="Y812" s="43"/>
      <c r="Z812" s="43"/>
      <c r="AA812" s="43"/>
      <c r="AB812" s="123"/>
      <c r="AC812" s="43"/>
    </row>
    <row r="813">
      <c r="E813" s="331"/>
      <c r="K813" s="14"/>
      <c r="L813" s="14"/>
      <c r="M813" s="43"/>
      <c r="N813" s="43"/>
      <c r="O813" s="337"/>
      <c r="P813" s="334"/>
      <c r="Q813" s="334"/>
      <c r="R813" s="123"/>
      <c r="S813" s="43"/>
      <c r="T813" s="43"/>
      <c r="U813" s="43"/>
      <c r="V813" s="44"/>
      <c r="W813" s="43"/>
      <c r="X813" s="43"/>
      <c r="Y813" s="43"/>
      <c r="Z813" s="43"/>
      <c r="AA813" s="43"/>
      <c r="AB813" s="123"/>
      <c r="AC813" s="43"/>
    </row>
    <row r="814">
      <c r="E814" s="331"/>
      <c r="K814" s="14"/>
      <c r="L814" s="14"/>
      <c r="M814" s="43"/>
      <c r="N814" s="43"/>
      <c r="O814" s="337"/>
      <c r="P814" s="334"/>
      <c r="Q814" s="334"/>
      <c r="R814" s="123"/>
      <c r="S814" s="43"/>
      <c r="T814" s="43"/>
      <c r="U814" s="43"/>
      <c r="V814" s="44"/>
      <c r="W814" s="43"/>
      <c r="X814" s="43"/>
      <c r="Y814" s="43"/>
      <c r="Z814" s="43"/>
      <c r="AA814" s="43"/>
      <c r="AB814" s="123"/>
      <c r="AC814" s="43"/>
    </row>
    <row r="815">
      <c r="E815" s="331"/>
      <c r="K815" s="14"/>
      <c r="L815" s="14"/>
      <c r="M815" s="43"/>
      <c r="N815" s="43"/>
      <c r="O815" s="337"/>
      <c r="P815" s="334"/>
      <c r="Q815" s="334"/>
      <c r="R815" s="123"/>
      <c r="S815" s="43"/>
      <c r="T815" s="43"/>
      <c r="U815" s="43"/>
      <c r="V815" s="44"/>
      <c r="W815" s="43"/>
      <c r="X815" s="43"/>
      <c r="Y815" s="43"/>
      <c r="Z815" s="43"/>
      <c r="AA815" s="43"/>
      <c r="AB815" s="123"/>
      <c r="AC815" s="43"/>
    </row>
    <row r="816">
      <c r="E816" s="331"/>
      <c r="K816" s="14"/>
      <c r="L816" s="14"/>
      <c r="M816" s="43"/>
      <c r="N816" s="43"/>
      <c r="O816" s="337"/>
      <c r="P816" s="334"/>
      <c r="Q816" s="334"/>
      <c r="R816" s="123"/>
      <c r="S816" s="43"/>
      <c r="T816" s="43"/>
      <c r="U816" s="43"/>
      <c r="V816" s="44"/>
      <c r="W816" s="43"/>
      <c r="X816" s="43"/>
      <c r="Y816" s="43"/>
      <c r="Z816" s="43"/>
      <c r="AA816" s="43"/>
      <c r="AB816" s="123"/>
      <c r="AC816" s="43"/>
    </row>
    <row r="817">
      <c r="E817" s="331"/>
      <c r="K817" s="14"/>
      <c r="L817" s="14"/>
      <c r="M817" s="43"/>
      <c r="N817" s="43"/>
      <c r="O817" s="337"/>
      <c r="P817" s="334"/>
      <c r="Q817" s="334"/>
      <c r="R817" s="123"/>
      <c r="S817" s="43"/>
      <c r="T817" s="43"/>
      <c r="U817" s="43"/>
      <c r="V817" s="44"/>
      <c r="W817" s="43"/>
      <c r="X817" s="43"/>
      <c r="Y817" s="43"/>
      <c r="Z817" s="43"/>
      <c r="AA817" s="43"/>
      <c r="AB817" s="123"/>
      <c r="AC817" s="43"/>
    </row>
    <row r="818">
      <c r="E818" s="331"/>
      <c r="K818" s="14"/>
      <c r="L818" s="14"/>
      <c r="M818" s="43"/>
      <c r="N818" s="43"/>
      <c r="O818" s="337"/>
      <c r="P818" s="334"/>
      <c r="Q818" s="334"/>
      <c r="R818" s="123"/>
      <c r="S818" s="43"/>
      <c r="T818" s="43"/>
      <c r="U818" s="43"/>
      <c r="V818" s="44"/>
      <c r="W818" s="43"/>
      <c r="X818" s="43"/>
      <c r="Y818" s="43"/>
      <c r="Z818" s="43"/>
      <c r="AA818" s="43"/>
      <c r="AB818" s="123"/>
      <c r="AC818" s="43"/>
    </row>
    <row r="819">
      <c r="E819" s="331"/>
      <c r="K819" s="14"/>
      <c r="L819" s="14"/>
      <c r="M819" s="43"/>
      <c r="N819" s="43"/>
      <c r="O819" s="337"/>
      <c r="P819" s="334"/>
      <c r="Q819" s="334"/>
      <c r="R819" s="123"/>
      <c r="S819" s="43"/>
      <c r="T819" s="43"/>
      <c r="U819" s="43"/>
      <c r="V819" s="44"/>
      <c r="W819" s="43"/>
      <c r="X819" s="43"/>
      <c r="Y819" s="43"/>
      <c r="Z819" s="43"/>
      <c r="AA819" s="43"/>
      <c r="AB819" s="123"/>
      <c r="AC819" s="43"/>
    </row>
    <row r="820">
      <c r="E820" s="331"/>
      <c r="K820" s="14"/>
      <c r="L820" s="14"/>
      <c r="M820" s="43"/>
      <c r="N820" s="43"/>
      <c r="O820" s="337"/>
      <c r="P820" s="334"/>
      <c r="Q820" s="334"/>
      <c r="R820" s="123"/>
      <c r="S820" s="43"/>
      <c r="T820" s="43"/>
      <c r="U820" s="43"/>
      <c r="V820" s="44"/>
      <c r="W820" s="43"/>
      <c r="X820" s="43"/>
      <c r="Y820" s="43"/>
      <c r="Z820" s="43"/>
      <c r="AA820" s="43"/>
      <c r="AB820" s="123"/>
      <c r="AC820" s="43"/>
    </row>
    <row r="821">
      <c r="E821" s="331"/>
      <c r="K821" s="14"/>
      <c r="L821" s="14"/>
      <c r="M821" s="43"/>
      <c r="N821" s="43"/>
      <c r="O821" s="337"/>
      <c r="P821" s="334"/>
      <c r="Q821" s="334"/>
      <c r="R821" s="123"/>
      <c r="S821" s="43"/>
      <c r="T821" s="43"/>
      <c r="U821" s="43"/>
      <c r="V821" s="44"/>
      <c r="W821" s="43"/>
      <c r="X821" s="43"/>
      <c r="Y821" s="43"/>
      <c r="Z821" s="43"/>
      <c r="AA821" s="43"/>
      <c r="AB821" s="123"/>
      <c r="AC821" s="43"/>
    </row>
    <row r="822">
      <c r="E822" s="331"/>
      <c r="K822" s="14"/>
      <c r="L822" s="14"/>
      <c r="M822" s="43"/>
      <c r="N822" s="43"/>
      <c r="O822" s="337"/>
      <c r="P822" s="334"/>
      <c r="Q822" s="334"/>
      <c r="R822" s="123"/>
      <c r="S822" s="43"/>
      <c r="T822" s="43"/>
      <c r="U822" s="43"/>
      <c r="V822" s="44"/>
      <c r="W822" s="43"/>
      <c r="X822" s="43"/>
      <c r="Y822" s="43"/>
      <c r="Z822" s="43"/>
      <c r="AA822" s="43"/>
      <c r="AB822" s="123"/>
      <c r="AC822" s="43"/>
    </row>
    <row r="823">
      <c r="E823" s="331"/>
      <c r="K823" s="14"/>
      <c r="L823" s="14"/>
      <c r="M823" s="43"/>
      <c r="N823" s="43"/>
      <c r="O823" s="337"/>
      <c r="P823" s="334"/>
      <c r="Q823" s="334"/>
      <c r="R823" s="123"/>
      <c r="S823" s="43"/>
      <c r="T823" s="43"/>
      <c r="U823" s="43"/>
      <c r="V823" s="44"/>
      <c r="W823" s="43"/>
      <c r="X823" s="43"/>
      <c r="Y823" s="43"/>
      <c r="Z823" s="43"/>
      <c r="AA823" s="43"/>
      <c r="AB823" s="123"/>
      <c r="AC823" s="43"/>
    </row>
    <row r="824">
      <c r="E824" s="331"/>
      <c r="K824" s="14"/>
      <c r="L824" s="14"/>
      <c r="M824" s="43"/>
      <c r="N824" s="43"/>
      <c r="O824" s="337"/>
      <c r="P824" s="334"/>
      <c r="Q824" s="334"/>
      <c r="R824" s="123"/>
      <c r="S824" s="43"/>
      <c r="T824" s="43"/>
      <c r="U824" s="43"/>
      <c r="V824" s="44"/>
      <c r="W824" s="43"/>
      <c r="X824" s="43"/>
      <c r="Y824" s="43"/>
      <c r="Z824" s="43"/>
      <c r="AA824" s="43"/>
      <c r="AB824" s="123"/>
      <c r="AC824" s="43"/>
    </row>
    <row r="825">
      <c r="E825" s="331"/>
      <c r="K825" s="14"/>
      <c r="L825" s="14"/>
      <c r="M825" s="43"/>
      <c r="N825" s="43"/>
      <c r="O825" s="337"/>
      <c r="P825" s="334"/>
      <c r="Q825" s="334"/>
      <c r="R825" s="123"/>
      <c r="S825" s="43"/>
      <c r="T825" s="43"/>
      <c r="U825" s="43"/>
      <c r="V825" s="44"/>
      <c r="W825" s="43"/>
      <c r="X825" s="43"/>
      <c r="Y825" s="43"/>
      <c r="Z825" s="43"/>
      <c r="AA825" s="43"/>
      <c r="AB825" s="123"/>
      <c r="AC825" s="43"/>
    </row>
    <row r="826">
      <c r="E826" s="331"/>
      <c r="K826" s="14"/>
      <c r="L826" s="14"/>
      <c r="M826" s="43"/>
      <c r="N826" s="43"/>
      <c r="O826" s="337"/>
      <c r="P826" s="334"/>
      <c r="Q826" s="334"/>
      <c r="R826" s="123"/>
      <c r="S826" s="43"/>
      <c r="T826" s="43"/>
      <c r="U826" s="43"/>
      <c r="V826" s="44"/>
      <c r="W826" s="43"/>
      <c r="X826" s="43"/>
      <c r="Y826" s="43"/>
      <c r="Z826" s="43"/>
      <c r="AA826" s="43"/>
      <c r="AB826" s="123"/>
      <c r="AC826" s="43"/>
    </row>
    <row r="827">
      <c r="E827" s="331"/>
      <c r="K827" s="14"/>
      <c r="L827" s="14"/>
      <c r="M827" s="43"/>
      <c r="N827" s="43"/>
      <c r="O827" s="337"/>
      <c r="P827" s="334"/>
      <c r="Q827" s="334"/>
      <c r="R827" s="123"/>
      <c r="S827" s="43"/>
      <c r="T827" s="43"/>
      <c r="U827" s="43"/>
      <c r="V827" s="44"/>
      <c r="W827" s="43"/>
      <c r="X827" s="43"/>
      <c r="Y827" s="43"/>
      <c r="Z827" s="43"/>
      <c r="AA827" s="43"/>
      <c r="AB827" s="123"/>
      <c r="AC827" s="43"/>
    </row>
    <row r="828">
      <c r="E828" s="331"/>
      <c r="K828" s="14"/>
      <c r="L828" s="14"/>
      <c r="M828" s="43"/>
      <c r="N828" s="43"/>
      <c r="O828" s="337"/>
      <c r="P828" s="334"/>
      <c r="Q828" s="334"/>
      <c r="R828" s="123"/>
      <c r="S828" s="43"/>
      <c r="T828" s="43"/>
      <c r="U828" s="43"/>
      <c r="V828" s="44"/>
      <c r="W828" s="43"/>
      <c r="X828" s="43"/>
      <c r="Y828" s="43"/>
      <c r="Z828" s="43"/>
      <c r="AA828" s="43"/>
      <c r="AB828" s="123"/>
      <c r="AC828" s="43"/>
    </row>
    <row r="829">
      <c r="E829" s="331"/>
      <c r="K829" s="14"/>
      <c r="L829" s="14"/>
      <c r="M829" s="43"/>
      <c r="N829" s="43"/>
      <c r="O829" s="337"/>
      <c r="P829" s="334"/>
      <c r="Q829" s="334"/>
      <c r="R829" s="123"/>
      <c r="S829" s="43"/>
      <c r="T829" s="43"/>
      <c r="U829" s="43"/>
      <c r="V829" s="44"/>
      <c r="W829" s="43"/>
      <c r="X829" s="43"/>
      <c r="Y829" s="43"/>
      <c r="Z829" s="43"/>
      <c r="AA829" s="43"/>
      <c r="AB829" s="123"/>
      <c r="AC829" s="43"/>
    </row>
    <row r="830">
      <c r="E830" s="331"/>
      <c r="K830" s="14"/>
      <c r="L830" s="14"/>
      <c r="M830" s="43"/>
      <c r="N830" s="43"/>
      <c r="O830" s="337"/>
      <c r="P830" s="334"/>
      <c r="Q830" s="334"/>
      <c r="R830" s="123"/>
      <c r="S830" s="43"/>
      <c r="T830" s="43"/>
      <c r="U830" s="43"/>
      <c r="V830" s="44"/>
      <c r="W830" s="43"/>
      <c r="X830" s="43"/>
      <c r="Y830" s="43"/>
      <c r="Z830" s="43"/>
      <c r="AA830" s="43"/>
      <c r="AB830" s="123"/>
      <c r="AC830" s="43"/>
    </row>
    <row r="831">
      <c r="E831" s="331"/>
      <c r="K831" s="14"/>
      <c r="L831" s="14"/>
      <c r="M831" s="43"/>
      <c r="N831" s="43"/>
      <c r="O831" s="337"/>
      <c r="P831" s="334"/>
      <c r="Q831" s="334"/>
      <c r="R831" s="123"/>
      <c r="S831" s="43"/>
      <c r="T831" s="43"/>
      <c r="U831" s="43"/>
      <c r="V831" s="44"/>
      <c r="W831" s="43"/>
      <c r="X831" s="43"/>
      <c r="Y831" s="43"/>
      <c r="Z831" s="43"/>
      <c r="AA831" s="43"/>
      <c r="AB831" s="123"/>
      <c r="AC831" s="43"/>
    </row>
    <row r="832">
      <c r="E832" s="331"/>
      <c r="K832" s="14"/>
      <c r="L832" s="14"/>
      <c r="M832" s="43"/>
      <c r="N832" s="43"/>
      <c r="O832" s="337"/>
      <c r="P832" s="334"/>
      <c r="Q832" s="334"/>
      <c r="R832" s="123"/>
      <c r="S832" s="43"/>
      <c r="T832" s="43"/>
      <c r="U832" s="43"/>
      <c r="V832" s="44"/>
      <c r="W832" s="43"/>
      <c r="X832" s="43"/>
      <c r="Y832" s="43"/>
      <c r="Z832" s="43"/>
      <c r="AA832" s="43"/>
      <c r="AB832" s="123"/>
      <c r="AC832" s="43"/>
    </row>
    <row r="833">
      <c r="E833" s="331"/>
      <c r="K833" s="14"/>
      <c r="L833" s="14"/>
      <c r="M833" s="43"/>
      <c r="N833" s="43"/>
      <c r="O833" s="337"/>
      <c r="P833" s="334"/>
      <c r="Q833" s="334"/>
      <c r="R833" s="123"/>
      <c r="S833" s="43"/>
      <c r="T833" s="43"/>
      <c r="U833" s="43"/>
      <c r="V833" s="44"/>
      <c r="W833" s="43"/>
      <c r="X833" s="43"/>
      <c r="Y833" s="43"/>
      <c r="Z833" s="43"/>
      <c r="AA833" s="43"/>
      <c r="AB833" s="123"/>
      <c r="AC833" s="43"/>
    </row>
    <row r="834">
      <c r="E834" s="331"/>
      <c r="K834" s="14"/>
      <c r="L834" s="14"/>
      <c r="M834" s="43"/>
      <c r="N834" s="43"/>
      <c r="O834" s="337"/>
      <c r="P834" s="334"/>
      <c r="Q834" s="334"/>
      <c r="R834" s="123"/>
      <c r="S834" s="43"/>
      <c r="T834" s="43"/>
      <c r="U834" s="43"/>
      <c r="V834" s="44"/>
      <c r="W834" s="43"/>
      <c r="X834" s="43"/>
      <c r="Y834" s="43"/>
      <c r="Z834" s="43"/>
      <c r="AA834" s="43"/>
      <c r="AB834" s="123"/>
      <c r="AC834" s="43"/>
    </row>
    <row r="835">
      <c r="E835" s="331"/>
      <c r="K835" s="14"/>
      <c r="L835" s="14"/>
      <c r="M835" s="43"/>
      <c r="N835" s="43"/>
      <c r="O835" s="337"/>
      <c r="P835" s="334"/>
      <c r="Q835" s="334"/>
      <c r="R835" s="123"/>
      <c r="S835" s="43"/>
      <c r="T835" s="43"/>
      <c r="U835" s="43"/>
      <c r="V835" s="44"/>
      <c r="W835" s="43"/>
      <c r="X835" s="43"/>
      <c r="Y835" s="43"/>
      <c r="Z835" s="43"/>
      <c r="AA835" s="43"/>
      <c r="AB835" s="123"/>
      <c r="AC835" s="43"/>
    </row>
    <row r="836">
      <c r="E836" s="331"/>
      <c r="K836" s="14"/>
      <c r="L836" s="14"/>
      <c r="M836" s="43"/>
      <c r="N836" s="43"/>
      <c r="O836" s="337"/>
      <c r="P836" s="334"/>
      <c r="Q836" s="334"/>
      <c r="R836" s="123"/>
      <c r="S836" s="43"/>
      <c r="T836" s="43"/>
      <c r="U836" s="43"/>
      <c r="V836" s="44"/>
      <c r="W836" s="43"/>
      <c r="X836" s="43"/>
      <c r="Y836" s="43"/>
      <c r="Z836" s="43"/>
      <c r="AA836" s="43"/>
      <c r="AB836" s="123"/>
      <c r="AC836" s="43"/>
    </row>
    <row r="837">
      <c r="E837" s="331"/>
      <c r="K837" s="14"/>
      <c r="L837" s="14"/>
      <c r="M837" s="43"/>
      <c r="N837" s="43"/>
      <c r="O837" s="337"/>
      <c r="P837" s="334"/>
      <c r="Q837" s="334"/>
      <c r="R837" s="123"/>
      <c r="S837" s="43"/>
      <c r="T837" s="43"/>
      <c r="U837" s="43"/>
      <c r="V837" s="44"/>
      <c r="W837" s="43"/>
      <c r="X837" s="43"/>
      <c r="Y837" s="43"/>
      <c r="Z837" s="43"/>
      <c r="AA837" s="43"/>
      <c r="AB837" s="123"/>
      <c r="AC837" s="43"/>
    </row>
    <row r="838">
      <c r="E838" s="331"/>
      <c r="K838" s="14"/>
      <c r="L838" s="14"/>
      <c r="M838" s="43"/>
      <c r="N838" s="43"/>
      <c r="O838" s="337"/>
      <c r="P838" s="334"/>
      <c r="Q838" s="334"/>
      <c r="R838" s="123"/>
      <c r="S838" s="43"/>
      <c r="T838" s="43"/>
      <c r="U838" s="43"/>
      <c r="V838" s="44"/>
      <c r="W838" s="43"/>
      <c r="X838" s="43"/>
      <c r="Y838" s="43"/>
      <c r="Z838" s="43"/>
      <c r="AA838" s="43"/>
      <c r="AB838" s="123"/>
      <c r="AC838" s="43"/>
    </row>
    <row r="839">
      <c r="E839" s="331"/>
      <c r="K839" s="14"/>
      <c r="L839" s="14"/>
      <c r="M839" s="43"/>
      <c r="N839" s="43"/>
      <c r="O839" s="337"/>
      <c r="P839" s="334"/>
      <c r="Q839" s="334"/>
      <c r="R839" s="123"/>
      <c r="S839" s="43"/>
      <c r="T839" s="43"/>
      <c r="U839" s="43"/>
      <c r="V839" s="44"/>
      <c r="W839" s="43"/>
      <c r="X839" s="43"/>
      <c r="Y839" s="43"/>
      <c r="Z839" s="43"/>
      <c r="AA839" s="43"/>
      <c r="AB839" s="123"/>
      <c r="AC839" s="43"/>
    </row>
    <row r="840">
      <c r="E840" s="331"/>
      <c r="K840" s="14"/>
      <c r="L840" s="14"/>
      <c r="M840" s="43"/>
      <c r="N840" s="43"/>
      <c r="O840" s="337"/>
      <c r="P840" s="334"/>
      <c r="Q840" s="334"/>
      <c r="R840" s="123"/>
      <c r="S840" s="43"/>
      <c r="T840" s="43"/>
      <c r="U840" s="43"/>
      <c r="V840" s="44"/>
      <c r="W840" s="43"/>
      <c r="X840" s="43"/>
      <c r="Y840" s="43"/>
      <c r="Z840" s="43"/>
      <c r="AA840" s="43"/>
      <c r="AB840" s="123"/>
      <c r="AC840" s="43"/>
    </row>
    <row r="841">
      <c r="E841" s="331"/>
      <c r="K841" s="14"/>
      <c r="L841" s="14"/>
      <c r="M841" s="43"/>
      <c r="N841" s="43"/>
      <c r="O841" s="337"/>
      <c r="P841" s="334"/>
      <c r="Q841" s="334"/>
      <c r="R841" s="123"/>
      <c r="S841" s="43"/>
      <c r="T841" s="43"/>
      <c r="U841" s="43"/>
      <c r="V841" s="44"/>
      <c r="W841" s="43"/>
      <c r="X841" s="43"/>
      <c r="Y841" s="43"/>
      <c r="Z841" s="43"/>
      <c r="AA841" s="43"/>
      <c r="AB841" s="123"/>
      <c r="AC841" s="43"/>
    </row>
    <row r="842">
      <c r="E842" s="331"/>
      <c r="K842" s="14"/>
      <c r="L842" s="14"/>
      <c r="M842" s="43"/>
      <c r="N842" s="43"/>
      <c r="O842" s="337"/>
      <c r="P842" s="334"/>
      <c r="Q842" s="334"/>
      <c r="R842" s="123"/>
      <c r="S842" s="43"/>
      <c r="T842" s="43"/>
      <c r="U842" s="43"/>
      <c r="V842" s="44"/>
      <c r="W842" s="43"/>
      <c r="X842" s="43"/>
      <c r="Y842" s="43"/>
      <c r="Z842" s="43"/>
      <c r="AA842" s="43"/>
      <c r="AB842" s="123"/>
      <c r="AC842" s="43"/>
    </row>
    <row r="843">
      <c r="E843" s="331"/>
      <c r="K843" s="14"/>
      <c r="L843" s="14"/>
      <c r="M843" s="43"/>
      <c r="N843" s="43"/>
      <c r="O843" s="337"/>
      <c r="P843" s="334"/>
      <c r="Q843" s="334"/>
      <c r="R843" s="123"/>
      <c r="S843" s="43"/>
      <c r="T843" s="43"/>
      <c r="U843" s="43"/>
      <c r="V843" s="44"/>
      <c r="W843" s="43"/>
      <c r="X843" s="43"/>
      <c r="Y843" s="43"/>
      <c r="Z843" s="43"/>
      <c r="AA843" s="43"/>
      <c r="AB843" s="123"/>
      <c r="AC843" s="43"/>
    </row>
    <row r="844">
      <c r="E844" s="331"/>
      <c r="K844" s="14"/>
      <c r="L844" s="14"/>
      <c r="M844" s="43"/>
      <c r="N844" s="43"/>
      <c r="O844" s="337"/>
      <c r="P844" s="334"/>
      <c r="Q844" s="334"/>
      <c r="R844" s="123"/>
      <c r="S844" s="43"/>
      <c r="T844" s="43"/>
      <c r="U844" s="43"/>
      <c r="V844" s="44"/>
      <c r="W844" s="43"/>
      <c r="X844" s="43"/>
      <c r="Y844" s="43"/>
      <c r="Z844" s="43"/>
      <c r="AA844" s="43"/>
      <c r="AB844" s="123"/>
      <c r="AC844" s="43"/>
    </row>
    <row r="845">
      <c r="E845" s="331"/>
      <c r="K845" s="14"/>
      <c r="L845" s="14"/>
      <c r="M845" s="43"/>
      <c r="N845" s="43"/>
      <c r="O845" s="337"/>
      <c r="P845" s="334"/>
      <c r="Q845" s="334"/>
      <c r="R845" s="123"/>
      <c r="S845" s="43"/>
      <c r="T845" s="43"/>
      <c r="U845" s="43"/>
      <c r="V845" s="44"/>
      <c r="W845" s="43"/>
      <c r="X845" s="43"/>
      <c r="Y845" s="43"/>
      <c r="Z845" s="43"/>
      <c r="AA845" s="43"/>
      <c r="AB845" s="123"/>
      <c r="AC845" s="43"/>
    </row>
    <row r="846">
      <c r="E846" s="331"/>
      <c r="K846" s="14"/>
      <c r="L846" s="14"/>
      <c r="M846" s="43"/>
      <c r="N846" s="43"/>
      <c r="O846" s="337"/>
      <c r="P846" s="334"/>
      <c r="Q846" s="334"/>
      <c r="R846" s="123"/>
      <c r="S846" s="43"/>
      <c r="T846" s="43"/>
      <c r="U846" s="43"/>
      <c r="V846" s="44"/>
      <c r="W846" s="43"/>
      <c r="X846" s="43"/>
      <c r="Y846" s="43"/>
      <c r="Z846" s="43"/>
      <c r="AA846" s="43"/>
      <c r="AB846" s="123"/>
      <c r="AC846" s="43"/>
    </row>
    <row r="847">
      <c r="E847" s="331"/>
      <c r="K847" s="14"/>
      <c r="L847" s="14"/>
      <c r="M847" s="43"/>
      <c r="N847" s="43"/>
      <c r="O847" s="337"/>
      <c r="P847" s="334"/>
      <c r="Q847" s="334"/>
      <c r="R847" s="123"/>
      <c r="S847" s="43"/>
      <c r="T847" s="43"/>
      <c r="U847" s="43"/>
      <c r="V847" s="44"/>
      <c r="W847" s="43"/>
      <c r="X847" s="43"/>
      <c r="Y847" s="43"/>
      <c r="Z847" s="43"/>
      <c r="AA847" s="43"/>
      <c r="AB847" s="123"/>
      <c r="AC847" s="43"/>
    </row>
    <row r="848">
      <c r="E848" s="331"/>
      <c r="K848" s="14"/>
      <c r="L848" s="14"/>
      <c r="M848" s="43"/>
      <c r="N848" s="43"/>
      <c r="O848" s="337"/>
      <c r="P848" s="334"/>
      <c r="Q848" s="334"/>
      <c r="R848" s="123"/>
      <c r="S848" s="43"/>
      <c r="T848" s="43"/>
      <c r="U848" s="43"/>
      <c r="V848" s="44"/>
      <c r="W848" s="43"/>
      <c r="X848" s="43"/>
      <c r="Y848" s="43"/>
      <c r="Z848" s="43"/>
      <c r="AA848" s="43"/>
      <c r="AB848" s="123"/>
      <c r="AC848" s="43"/>
    </row>
    <row r="849">
      <c r="E849" s="331"/>
      <c r="K849" s="14"/>
      <c r="L849" s="14"/>
      <c r="M849" s="43"/>
      <c r="N849" s="43"/>
      <c r="O849" s="337"/>
      <c r="P849" s="334"/>
      <c r="Q849" s="334"/>
      <c r="R849" s="123"/>
      <c r="S849" s="43"/>
      <c r="T849" s="43"/>
      <c r="U849" s="43"/>
      <c r="V849" s="44"/>
      <c r="W849" s="43"/>
      <c r="X849" s="43"/>
      <c r="Y849" s="43"/>
      <c r="Z849" s="43"/>
      <c r="AA849" s="43"/>
      <c r="AB849" s="123"/>
      <c r="AC849" s="43"/>
    </row>
    <row r="850">
      <c r="E850" s="331"/>
      <c r="K850" s="14"/>
      <c r="L850" s="14"/>
      <c r="M850" s="43"/>
      <c r="N850" s="43"/>
      <c r="O850" s="337"/>
      <c r="P850" s="334"/>
      <c r="Q850" s="334"/>
      <c r="R850" s="123"/>
      <c r="S850" s="43"/>
      <c r="T850" s="43"/>
      <c r="U850" s="43"/>
      <c r="V850" s="44"/>
      <c r="W850" s="43"/>
      <c r="X850" s="43"/>
      <c r="Y850" s="43"/>
      <c r="Z850" s="43"/>
      <c r="AA850" s="43"/>
      <c r="AB850" s="123"/>
      <c r="AC850" s="43"/>
    </row>
    <row r="851">
      <c r="E851" s="331"/>
      <c r="K851" s="14"/>
      <c r="L851" s="14"/>
      <c r="M851" s="43"/>
      <c r="N851" s="43"/>
      <c r="O851" s="337"/>
      <c r="P851" s="334"/>
      <c r="Q851" s="334"/>
      <c r="R851" s="123"/>
      <c r="S851" s="43"/>
      <c r="T851" s="43"/>
      <c r="U851" s="43"/>
      <c r="V851" s="44"/>
      <c r="W851" s="43"/>
      <c r="X851" s="43"/>
      <c r="Y851" s="43"/>
      <c r="Z851" s="43"/>
      <c r="AA851" s="43"/>
      <c r="AB851" s="123"/>
      <c r="AC851" s="43"/>
    </row>
    <row r="852">
      <c r="E852" s="331"/>
      <c r="K852" s="14"/>
      <c r="L852" s="14"/>
      <c r="M852" s="43"/>
      <c r="N852" s="43"/>
      <c r="O852" s="337"/>
      <c r="P852" s="334"/>
      <c r="Q852" s="334"/>
      <c r="R852" s="123"/>
      <c r="S852" s="43"/>
      <c r="T852" s="43"/>
      <c r="U852" s="43"/>
      <c r="V852" s="44"/>
      <c r="W852" s="43"/>
      <c r="X852" s="43"/>
      <c r="Y852" s="43"/>
      <c r="Z852" s="43"/>
      <c r="AA852" s="43"/>
      <c r="AB852" s="123"/>
      <c r="AC852" s="43"/>
    </row>
    <row r="853">
      <c r="E853" s="331"/>
      <c r="K853" s="14"/>
      <c r="L853" s="14"/>
      <c r="M853" s="43"/>
      <c r="N853" s="43"/>
      <c r="O853" s="337"/>
      <c r="P853" s="334"/>
      <c r="Q853" s="334"/>
      <c r="R853" s="123"/>
      <c r="S853" s="43"/>
      <c r="T853" s="43"/>
      <c r="U853" s="43"/>
      <c r="V853" s="44"/>
      <c r="W853" s="43"/>
      <c r="X853" s="43"/>
      <c r="Y853" s="43"/>
      <c r="Z853" s="43"/>
      <c r="AA853" s="43"/>
      <c r="AB853" s="123"/>
      <c r="AC853" s="43"/>
    </row>
    <row r="854">
      <c r="E854" s="331"/>
      <c r="K854" s="14"/>
      <c r="L854" s="14"/>
      <c r="M854" s="43"/>
      <c r="N854" s="43"/>
      <c r="O854" s="337"/>
      <c r="P854" s="334"/>
      <c r="Q854" s="334"/>
      <c r="R854" s="123"/>
      <c r="S854" s="43"/>
      <c r="T854" s="43"/>
      <c r="U854" s="43"/>
      <c r="V854" s="44"/>
      <c r="W854" s="43"/>
      <c r="X854" s="43"/>
      <c r="Y854" s="43"/>
      <c r="Z854" s="43"/>
      <c r="AA854" s="43"/>
      <c r="AB854" s="123"/>
      <c r="AC854" s="43"/>
    </row>
    <row r="855">
      <c r="E855" s="331"/>
      <c r="K855" s="14"/>
      <c r="L855" s="14"/>
      <c r="M855" s="43"/>
      <c r="N855" s="43"/>
      <c r="O855" s="337"/>
      <c r="P855" s="334"/>
      <c r="Q855" s="334"/>
      <c r="R855" s="123"/>
      <c r="S855" s="43"/>
      <c r="T855" s="43"/>
      <c r="U855" s="43"/>
      <c r="V855" s="44"/>
      <c r="W855" s="43"/>
      <c r="X855" s="43"/>
      <c r="Y855" s="43"/>
      <c r="Z855" s="43"/>
      <c r="AA855" s="43"/>
      <c r="AB855" s="123"/>
      <c r="AC855" s="43"/>
    </row>
    <row r="856">
      <c r="E856" s="331"/>
      <c r="K856" s="14"/>
      <c r="L856" s="14"/>
      <c r="M856" s="43"/>
      <c r="N856" s="43"/>
      <c r="O856" s="337"/>
      <c r="P856" s="334"/>
      <c r="Q856" s="334"/>
      <c r="R856" s="123"/>
      <c r="S856" s="43"/>
      <c r="T856" s="43"/>
      <c r="U856" s="43"/>
      <c r="V856" s="44"/>
      <c r="W856" s="43"/>
      <c r="X856" s="43"/>
      <c r="Y856" s="43"/>
      <c r="Z856" s="43"/>
      <c r="AA856" s="43"/>
      <c r="AB856" s="123"/>
      <c r="AC856" s="43"/>
    </row>
    <row r="857">
      <c r="E857" s="331"/>
      <c r="K857" s="14"/>
      <c r="L857" s="14"/>
      <c r="M857" s="43"/>
      <c r="N857" s="43"/>
      <c r="O857" s="337"/>
      <c r="P857" s="334"/>
      <c r="Q857" s="334"/>
      <c r="R857" s="123"/>
      <c r="S857" s="43"/>
      <c r="T857" s="43"/>
      <c r="U857" s="43"/>
      <c r="V857" s="44"/>
      <c r="W857" s="43"/>
      <c r="X857" s="43"/>
      <c r="Y857" s="43"/>
      <c r="Z857" s="43"/>
      <c r="AA857" s="43"/>
      <c r="AB857" s="123"/>
      <c r="AC857" s="43"/>
    </row>
    <row r="858">
      <c r="E858" s="331"/>
      <c r="K858" s="14"/>
      <c r="L858" s="14"/>
      <c r="M858" s="43"/>
      <c r="N858" s="43"/>
      <c r="O858" s="337"/>
      <c r="P858" s="334"/>
      <c r="Q858" s="334"/>
      <c r="R858" s="123"/>
      <c r="S858" s="43"/>
      <c r="T858" s="43"/>
      <c r="U858" s="43"/>
      <c r="V858" s="44"/>
      <c r="W858" s="43"/>
      <c r="X858" s="43"/>
      <c r="Y858" s="43"/>
      <c r="Z858" s="43"/>
      <c r="AA858" s="43"/>
      <c r="AB858" s="123"/>
      <c r="AC858" s="43"/>
    </row>
    <row r="859">
      <c r="E859" s="331"/>
      <c r="K859" s="14"/>
      <c r="L859" s="14"/>
      <c r="M859" s="43"/>
      <c r="N859" s="43"/>
      <c r="O859" s="337"/>
      <c r="P859" s="334"/>
      <c r="Q859" s="334"/>
      <c r="R859" s="123"/>
      <c r="S859" s="43"/>
      <c r="T859" s="43"/>
      <c r="U859" s="43"/>
      <c r="V859" s="44"/>
      <c r="W859" s="43"/>
      <c r="X859" s="43"/>
      <c r="Y859" s="43"/>
      <c r="Z859" s="43"/>
      <c r="AA859" s="43"/>
      <c r="AB859" s="123"/>
      <c r="AC859" s="43"/>
    </row>
    <row r="860">
      <c r="E860" s="331"/>
      <c r="K860" s="14"/>
      <c r="L860" s="14"/>
      <c r="M860" s="43"/>
      <c r="N860" s="43"/>
      <c r="O860" s="337"/>
      <c r="P860" s="334"/>
      <c r="Q860" s="334"/>
      <c r="R860" s="123"/>
      <c r="S860" s="43"/>
      <c r="T860" s="43"/>
      <c r="U860" s="43"/>
      <c r="V860" s="44"/>
      <c r="W860" s="43"/>
      <c r="X860" s="43"/>
      <c r="Y860" s="43"/>
      <c r="Z860" s="43"/>
      <c r="AA860" s="43"/>
      <c r="AB860" s="123"/>
      <c r="AC860" s="43"/>
    </row>
    <row r="861">
      <c r="E861" s="331"/>
      <c r="K861" s="14"/>
      <c r="L861" s="14"/>
      <c r="M861" s="43"/>
      <c r="N861" s="43"/>
      <c r="O861" s="337"/>
      <c r="P861" s="334"/>
      <c r="Q861" s="334"/>
      <c r="R861" s="123"/>
      <c r="S861" s="43"/>
      <c r="T861" s="43"/>
      <c r="U861" s="43"/>
      <c r="V861" s="44"/>
      <c r="W861" s="43"/>
      <c r="X861" s="43"/>
      <c r="Y861" s="43"/>
      <c r="Z861" s="43"/>
      <c r="AA861" s="43"/>
      <c r="AB861" s="123"/>
      <c r="AC861" s="43"/>
    </row>
    <row r="862">
      <c r="E862" s="331"/>
      <c r="K862" s="14"/>
      <c r="L862" s="14"/>
      <c r="M862" s="43"/>
      <c r="N862" s="43"/>
      <c r="O862" s="337"/>
      <c r="P862" s="334"/>
      <c r="Q862" s="334"/>
      <c r="R862" s="123"/>
      <c r="S862" s="43"/>
      <c r="T862" s="43"/>
      <c r="U862" s="43"/>
      <c r="V862" s="44"/>
      <c r="W862" s="43"/>
      <c r="X862" s="43"/>
      <c r="Y862" s="43"/>
      <c r="Z862" s="43"/>
      <c r="AA862" s="43"/>
      <c r="AB862" s="123"/>
      <c r="AC862" s="43"/>
    </row>
    <row r="863">
      <c r="E863" s="331"/>
      <c r="K863" s="14"/>
      <c r="L863" s="14"/>
      <c r="M863" s="43"/>
      <c r="N863" s="43"/>
      <c r="O863" s="337"/>
      <c r="P863" s="334"/>
      <c r="Q863" s="334"/>
      <c r="R863" s="123"/>
      <c r="S863" s="43"/>
      <c r="T863" s="43"/>
      <c r="U863" s="43"/>
      <c r="V863" s="44"/>
      <c r="W863" s="43"/>
      <c r="X863" s="43"/>
      <c r="Y863" s="43"/>
      <c r="Z863" s="43"/>
      <c r="AA863" s="43"/>
      <c r="AB863" s="123"/>
      <c r="AC863" s="43"/>
    </row>
    <row r="864">
      <c r="E864" s="331"/>
      <c r="K864" s="14"/>
      <c r="L864" s="14"/>
      <c r="M864" s="43"/>
      <c r="N864" s="43"/>
      <c r="O864" s="337"/>
      <c r="P864" s="334"/>
      <c r="Q864" s="334"/>
      <c r="R864" s="123"/>
      <c r="S864" s="43"/>
      <c r="T864" s="43"/>
      <c r="U864" s="43"/>
      <c r="V864" s="44"/>
      <c r="W864" s="43"/>
      <c r="X864" s="43"/>
      <c r="Y864" s="43"/>
      <c r="Z864" s="43"/>
      <c r="AA864" s="43"/>
      <c r="AB864" s="123"/>
      <c r="AC864" s="43"/>
    </row>
    <row r="865">
      <c r="E865" s="331"/>
      <c r="K865" s="14"/>
      <c r="L865" s="14"/>
      <c r="M865" s="43"/>
      <c r="N865" s="43"/>
      <c r="O865" s="337"/>
      <c r="P865" s="334"/>
      <c r="Q865" s="334"/>
      <c r="R865" s="123"/>
      <c r="S865" s="43"/>
      <c r="T865" s="43"/>
      <c r="U865" s="43"/>
      <c r="V865" s="44"/>
      <c r="W865" s="43"/>
      <c r="X865" s="43"/>
      <c r="Y865" s="43"/>
      <c r="Z865" s="43"/>
      <c r="AA865" s="43"/>
      <c r="AB865" s="123"/>
      <c r="AC865" s="43"/>
    </row>
    <row r="866">
      <c r="E866" s="331"/>
      <c r="K866" s="14"/>
      <c r="L866" s="14"/>
      <c r="M866" s="43"/>
      <c r="N866" s="43"/>
      <c r="O866" s="337"/>
      <c r="P866" s="334"/>
      <c r="Q866" s="334"/>
      <c r="R866" s="123"/>
      <c r="S866" s="43"/>
      <c r="T866" s="43"/>
      <c r="U866" s="43"/>
      <c r="V866" s="44"/>
      <c r="W866" s="43"/>
      <c r="X866" s="43"/>
      <c r="Y866" s="43"/>
      <c r="Z866" s="43"/>
      <c r="AA866" s="43"/>
      <c r="AB866" s="123"/>
      <c r="AC866" s="43"/>
    </row>
    <row r="867">
      <c r="E867" s="331"/>
      <c r="K867" s="14"/>
      <c r="L867" s="14"/>
      <c r="M867" s="43"/>
      <c r="N867" s="43"/>
      <c r="O867" s="337"/>
      <c r="P867" s="334"/>
      <c r="Q867" s="334"/>
      <c r="R867" s="123"/>
      <c r="S867" s="43"/>
      <c r="T867" s="43"/>
      <c r="U867" s="43"/>
      <c r="V867" s="44"/>
      <c r="W867" s="43"/>
      <c r="X867" s="43"/>
      <c r="Y867" s="43"/>
      <c r="Z867" s="43"/>
      <c r="AA867" s="43"/>
      <c r="AB867" s="123"/>
      <c r="AC867" s="43"/>
    </row>
    <row r="868">
      <c r="E868" s="331"/>
      <c r="K868" s="14"/>
      <c r="L868" s="14"/>
      <c r="M868" s="43"/>
      <c r="N868" s="43"/>
      <c r="O868" s="337"/>
      <c r="P868" s="334"/>
      <c r="Q868" s="334"/>
      <c r="R868" s="123"/>
      <c r="S868" s="43"/>
      <c r="T868" s="43"/>
      <c r="U868" s="43"/>
      <c r="V868" s="44"/>
      <c r="W868" s="43"/>
      <c r="X868" s="43"/>
      <c r="Y868" s="43"/>
      <c r="Z868" s="43"/>
      <c r="AA868" s="43"/>
      <c r="AB868" s="123"/>
      <c r="AC868" s="43"/>
    </row>
    <row r="869">
      <c r="E869" s="331"/>
      <c r="K869" s="14"/>
      <c r="L869" s="14"/>
      <c r="M869" s="43"/>
      <c r="N869" s="43"/>
      <c r="O869" s="337"/>
      <c r="P869" s="334"/>
      <c r="Q869" s="334"/>
      <c r="R869" s="123"/>
      <c r="S869" s="43"/>
      <c r="T869" s="43"/>
      <c r="U869" s="43"/>
      <c r="V869" s="44"/>
      <c r="W869" s="43"/>
      <c r="X869" s="43"/>
      <c r="Y869" s="43"/>
      <c r="Z869" s="43"/>
      <c r="AA869" s="43"/>
      <c r="AB869" s="123"/>
      <c r="AC869" s="43"/>
    </row>
    <row r="870">
      <c r="E870" s="331"/>
      <c r="K870" s="14"/>
      <c r="L870" s="14"/>
      <c r="M870" s="43"/>
      <c r="N870" s="43"/>
      <c r="O870" s="337"/>
      <c r="P870" s="334"/>
      <c r="Q870" s="334"/>
      <c r="R870" s="123"/>
      <c r="S870" s="43"/>
      <c r="T870" s="43"/>
      <c r="U870" s="43"/>
      <c r="V870" s="44"/>
      <c r="W870" s="43"/>
      <c r="X870" s="43"/>
      <c r="Y870" s="43"/>
      <c r="Z870" s="43"/>
      <c r="AA870" s="43"/>
      <c r="AB870" s="123"/>
      <c r="AC870" s="43"/>
    </row>
    <row r="871">
      <c r="E871" s="331"/>
      <c r="K871" s="14"/>
      <c r="L871" s="14"/>
      <c r="M871" s="43"/>
      <c r="N871" s="43"/>
      <c r="O871" s="337"/>
      <c r="P871" s="334"/>
      <c r="Q871" s="334"/>
      <c r="R871" s="123"/>
      <c r="S871" s="43"/>
      <c r="T871" s="43"/>
      <c r="U871" s="43"/>
      <c r="V871" s="44"/>
      <c r="W871" s="43"/>
      <c r="X871" s="43"/>
      <c r="Y871" s="43"/>
      <c r="Z871" s="43"/>
      <c r="AA871" s="43"/>
      <c r="AB871" s="123"/>
      <c r="AC871" s="43"/>
    </row>
    <row r="872">
      <c r="E872" s="331"/>
      <c r="K872" s="14"/>
      <c r="L872" s="14"/>
      <c r="M872" s="43"/>
      <c r="N872" s="43"/>
      <c r="O872" s="337"/>
      <c r="P872" s="334"/>
      <c r="Q872" s="334"/>
      <c r="R872" s="123"/>
      <c r="S872" s="43"/>
      <c r="T872" s="43"/>
      <c r="U872" s="43"/>
      <c r="V872" s="44"/>
      <c r="W872" s="43"/>
      <c r="X872" s="43"/>
      <c r="Y872" s="43"/>
      <c r="Z872" s="43"/>
      <c r="AA872" s="43"/>
      <c r="AB872" s="123"/>
      <c r="AC872" s="43"/>
    </row>
    <row r="873">
      <c r="E873" s="331"/>
      <c r="K873" s="14"/>
      <c r="L873" s="14"/>
      <c r="M873" s="43"/>
      <c r="N873" s="43"/>
      <c r="O873" s="337"/>
      <c r="P873" s="334"/>
      <c r="Q873" s="334"/>
      <c r="R873" s="123"/>
      <c r="S873" s="43"/>
      <c r="T873" s="43"/>
      <c r="U873" s="43"/>
      <c r="V873" s="44"/>
      <c r="W873" s="43"/>
      <c r="X873" s="43"/>
      <c r="Y873" s="43"/>
      <c r="Z873" s="43"/>
      <c r="AA873" s="43"/>
      <c r="AB873" s="123"/>
      <c r="AC873" s="43"/>
    </row>
    <row r="874">
      <c r="E874" s="331"/>
      <c r="K874" s="14"/>
      <c r="L874" s="14"/>
      <c r="M874" s="43"/>
      <c r="N874" s="43"/>
      <c r="O874" s="337"/>
      <c r="P874" s="334"/>
      <c r="Q874" s="334"/>
      <c r="R874" s="123"/>
      <c r="S874" s="43"/>
      <c r="T874" s="43"/>
      <c r="U874" s="43"/>
      <c r="V874" s="44"/>
      <c r="W874" s="43"/>
      <c r="X874" s="43"/>
      <c r="Y874" s="43"/>
      <c r="Z874" s="43"/>
      <c r="AA874" s="43"/>
      <c r="AB874" s="123"/>
      <c r="AC874" s="43"/>
    </row>
    <row r="875">
      <c r="E875" s="331"/>
      <c r="K875" s="14"/>
      <c r="L875" s="14"/>
      <c r="M875" s="43"/>
      <c r="N875" s="43"/>
      <c r="O875" s="337"/>
      <c r="P875" s="334"/>
      <c r="Q875" s="334"/>
      <c r="R875" s="123"/>
      <c r="S875" s="43"/>
      <c r="T875" s="43"/>
      <c r="U875" s="43"/>
      <c r="V875" s="44"/>
      <c r="W875" s="43"/>
      <c r="X875" s="43"/>
      <c r="Y875" s="43"/>
      <c r="Z875" s="43"/>
      <c r="AA875" s="43"/>
      <c r="AB875" s="123"/>
      <c r="AC875" s="43"/>
    </row>
    <row r="876">
      <c r="E876" s="331"/>
      <c r="K876" s="14"/>
      <c r="L876" s="14"/>
      <c r="M876" s="43"/>
      <c r="N876" s="43"/>
      <c r="O876" s="337"/>
      <c r="P876" s="334"/>
      <c r="Q876" s="334"/>
      <c r="R876" s="123"/>
      <c r="S876" s="43"/>
      <c r="T876" s="43"/>
      <c r="U876" s="43"/>
      <c r="V876" s="44"/>
      <c r="W876" s="43"/>
      <c r="X876" s="43"/>
      <c r="Y876" s="43"/>
      <c r="Z876" s="43"/>
      <c r="AA876" s="43"/>
      <c r="AB876" s="123"/>
      <c r="AC876" s="43"/>
    </row>
    <row r="877">
      <c r="E877" s="331"/>
      <c r="K877" s="14"/>
      <c r="L877" s="14"/>
      <c r="M877" s="43"/>
      <c r="N877" s="43"/>
      <c r="O877" s="337"/>
      <c r="P877" s="334"/>
      <c r="Q877" s="334"/>
      <c r="R877" s="123"/>
      <c r="S877" s="43"/>
      <c r="T877" s="43"/>
      <c r="U877" s="43"/>
      <c r="V877" s="44"/>
      <c r="W877" s="43"/>
      <c r="X877" s="43"/>
      <c r="Y877" s="43"/>
      <c r="Z877" s="43"/>
      <c r="AA877" s="43"/>
      <c r="AB877" s="123"/>
      <c r="AC877" s="43"/>
    </row>
    <row r="878">
      <c r="E878" s="331"/>
      <c r="K878" s="14"/>
      <c r="L878" s="14"/>
      <c r="M878" s="43"/>
      <c r="N878" s="43"/>
      <c r="O878" s="337"/>
      <c r="P878" s="334"/>
      <c r="Q878" s="334"/>
      <c r="R878" s="123"/>
      <c r="S878" s="43"/>
      <c r="T878" s="43"/>
      <c r="U878" s="43"/>
      <c r="V878" s="44"/>
      <c r="W878" s="43"/>
      <c r="X878" s="43"/>
      <c r="Y878" s="43"/>
      <c r="Z878" s="43"/>
      <c r="AA878" s="43"/>
      <c r="AB878" s="123"/>
      <c r="AC878" s="43"/>
    </row>
    <row r="879">
      <c r="E879" s="331"/>
      <c r="K879" s="14"/>
      <c r="L879" s="14"/>
      <c r="M879" s="43"/>
      <c r="N879" s="43"/>
      <c r="O879" s="337"/>
      <c r="P879" s="334"/>
      <c r="Q879" s="334"/>
      <c r="R879" s="123"/>
      <c r="S879" s="43"/>
      <c r="T879" s="43"/>
      <c r="U879" s="43"/>
      <c r="V879" s="44"/>
      <c r="W879" s="43"/>
      <c r="X879" s="43"/>
      <c r="Y879" s="43"/>
      <c r="Z879" s="43"/>
      <c r="AA879" s="43"/>
      <c r="AB879" s="123"/>
      <c r="AC879" s="43"/>
    </row>
    <row r="880">
      <c r="E880" s="331"/>
      <c r="K880" s="14"/>
      <c r="L880" s="14"/>
      <c r="M880" s="43"/>
      <c r="N880" s="43"/>
      <c r="O880" s="337"/>
      <c r="P880" s="334"/>
      <c r="Q880" s="334"/>
      <c r="R880" s="123"/>
      <c r="S880" s="43"/>
      <c r="T880" s="43"/>
      <c r="U880" s="43"/>
      <c r="V880" s="44"/>
      <c r="W880" s="43"/>
      <c r="X880" s="43"/>
      <c r="Y880" s="43"/>
      <c r="Z880" s="43"/>
      <c r="AA880" s="43"/>
      <c r="AB880" s="123"/>
      <c r="AC880" s="43"/>
    </row>
    <row r="881">
      <c r="E881" s="331"/>
      <c r="K881" s="14"/>
      <c r="L881" s="14"/>
      <c r="M881" s="43"/>
      <c r="N881" s="43"/>
      <c r="O881" s="337"/>
      <c r="P881" s="334"/>
      <c r="Q881" s="334"/>
      <c r="R881" s="123"/>
      <c r="S881" s="43"/>
      <c r="T881" s="43"/>
      <c r="U881" s="43"/>
      <c r="V881" s="44"/>
      <c r="W881" s="43"/>
      <c r="X881" s="43"/>
      <c r="Y881" s="43"/>
      <c r="Z881" s="43"/>
      <c r="AA881" s="43"/>
      <c r="AB881" s="123"/>
      <c r="AC881" s="43"/>
    </row>
    <row r="882">
      <c r="E882" s="331"/>
      <c r="K882" s="14"/>
      <c r="L882" s="14"/>
      <c r="M882" s="43"/>
      <c r="N882" s="43"/>
      <c r="O882" s="337"/>
      <c r="P882" s="334"/>
      <c r="Q882" s="334"/>
      <c r="R882" s="123"/>
      <c r="S882" s="43"/>
      <c r="T882" s="43"/>
      <c r="U882" s="43"/>
      <c r="V882" s="44"/>
      <c r="W882" s="43"/>
      <c r="X882" s="43"/>
      <c r="Y882" s="43"/>
      <c r="Z882" s="43"/>
      <c r="AA882" s="43"/>
      <c r="AB882" s="123"/>
      <c r="AC882" s="43"/>
    </row>
    <row r="883">
      <c r="E883" s="331"/>
      <c r="K883" s="14"/>
      <c r="L883" s="14"/>
      <c r="M883" s="43"/>
      <c r="N883" s="43"/>
      <c r="O883" s="337"/>
      <c r="P883" s="334"/>
      <c r="Q883" s="334"/>
      <c r="R883" s="123"/>
      <c r="S883" s="43"/>
      <c r="T883" s="43"/>
      <c r="U883" s="43"/>
      <c r="V883" s="44"/>
      <c r="W883" s="43"/>
      <c r="X883" s="43"/>
      <c r="Y883" s="43"/>
      <c r="Z883" s="43"/>
      <c r="AA883" s="43"/>
      <c r="AB883" s="123"/>
      <c r="AC883" s="43"/>
    </row>
    <row r="884">
      <c r="E884" s="331"/>
      <c r="K884" s="14"/>
      <c r="L884" s="14"/>
      <c r="M884" s="43"/>
      <c r="N884" s="43"/>
      <c r="O884" s="337"/>
      <c r="P884" s="334"/>
      <c r="Q884" s="334"/>
      <c r="R884" s="123"/>
      <c r="S884" s="43"/>
      <c r="T884" s="43"/>
      <c r="U884" s="43"/>
      <c r="V884" s="44"/>
      <c r="W884" s="43"/>
      <c r="X884" s="43"/>
      <c r="Y884" s="43"/>
      <c r="Z884" s="43"/>
      <c r="AA884" s="43"/>
      <c r="AB884" s="123"/>
      <c r="AC884" s="43"/>
    </row>
    <row r="885">
      <c r="E885" s="331"/>
      <c r="K885" s="14"/>
      <c r="L885" s="14"/>
      <c r="M885" s="43"/>
      <c r="N885" s="43"/>
      <c r="O885" s="337"/>
      <c r="P885" s="334"/>
      <c r="Q885" s="334"/>
      <c r="R885" s="123"/>
      <c r="S885" s="43"/>
      <c r="T885" s="43"/>
      <c r="U885" s="43"/>
      <c r="V885" s="44"/>
      <c r="W885" s="43"/>
      <c r="X885" s="43"/>
      <c r="Y885" s="43"/>
      <c r="Z885" s="43"/>
      <c r="AA885" s="43"/>
      <c r="AB885" s="123"/>
      <c r="AC885" s="43"/>
    </row>
    <row r="886">
      <c r="E886" s="331"/>
      <c r="K886" s="14"/>
      <c r="L886" s="14"/>
      <c r="M886" s="43"/>
      <c r="N886" s="43"/>
      <c r="O886" s="337"/>
      <c r="P886" s="334"/>
      <c r="Q886" s="334"/>
      <c r="R886" s="123"/>
      <c r="S886" s="43"/>
      <c r="T886" s="43"/>
      <c r="U886" s="43"/>
      <c r="V886" s="44"/>
      <c r="W886" s="43"/>
      <c r="X886" s="43"/>
      <c r="Y886" s="43"/>
      <c r="Z886" s="43"/>
      <c r="AA886" s="43"/>
      <c r="AB886" s="123"/>
      <c r="AC886" s="43"/>
    </row>
    <row r="887">
      <c r="E887" s="331"/>
      <c r="K887" s="14"/>
      <c r="L887" s="14"/>
      <c r="M887" s="43"/>
      <c r="N887" s="43"/>
      <c r="O887" s="337"/>
      <c r="P887" s="334"/>
      <c r="Q887" s="334"/>
      <c r="R887" s="123"/>
      <c r="S887" s="43"/>
      <c r="T887" s="43"/>
      <c r="U887" s="43"/>
      <c r="V887" s="44"/>
      <c r="W887" s="43"/>
      <c r="X887" s="43"/>
      <c r="Y887" s="43"/>
      <c r="Z887" s="43"/>
      <c r="AA887" s="43"/>
      <c r="AB887" s="123"/>
      <c r="AC887" s="43"/>
    </row>
    <row r="888">
      <c r="E888" s="331"/>
      <c r="K888" s="14"/>
      <c r="L888" s="14"/>
      <c r="M888" s="43"/>
      <c r="N888" s="43"/>
      <c r="O888" s="337"/>
      <c r="P888" s="334"/>
      <c r="Q888" s="334"/>
      <c r="R888" s="123"/>
      <c r="S888" s="43"/>
      <c r="T888" s="43"/>
      <c r="U888" s="43"/>
      <c r="V888" s="44"/>
      <c r="W888" s="43"/>
      <c r="X888" s="43"/>
      <c r="Y888" s="43"/>
      <c r="Z888" s="43"/>
      <c r="AA888" s="43"/>
      <c r="AB888" s="123"/>
      <c r="AC888" s="43"/>
    </row>
    <row r="889">
      <c r="E889" s="331"/>
      <c r="K889" s="14"/>
      <c r="L889" s="14"/>
      <c r="M889" s="43"/>
      <c r="N889" s="43"/>
      <c r="O889" s="337"/>
      <c r="P889" s="334"/>
      <c r="Q889" s="334"/>
      <c r="R889" s="123"/>
      <c r="S889" s="43"/>
      <c r="T889" s="43"/>
      <c r="U889" s="43"/>
      <c r="V889" s="44"/>
      <c r="W889" s="43"/>
      <c r="X889" s="43"/>
      <c r="Y889" s="43"/>
      <c r="Z889" s="43"/>
      <c r="AA889" s="43"/>
      <c r="AB889" s="123"/>
      <c r="AC889" s="43"/>
    </row>
    <row r="890">
      <c r="E890" s="331"/>
      <c r="K890" s="14"/>
      <c r="L890" s="14"/>
      <c r="M890" s="43"/>
      <c r="N890" s="43"/>
      <c r="O890" s="337"/>
      <c r="P890" s="334"/>
      <c r="Q890" s="334"/>
      <c r="R890" s="123"/>
      <c r="S890" s="43"/>
      <c r="T890" s="43"/>
      <c r="U890" s="43"/>
      <c r="V890" s="44"/>
      <c r="W890" s="43"/>
      <c r="X890" s="43"/>
      <c r="Y890" s="43"/>
      <c r="Z890" s="43"/>
      <c r="AA890" s="43"/>
      <c r="AB890" s="123"/>
      <c r="AC890" s="43"/>
    </row>
    <row r="891">
      <c r="E891" s="331"/>
      <c r="K891" s="14"/>
      <c r="L891" s="14"/>
      <c r="M891" s="43"/>
      <c r="N891" s="43"/>
      <c r="O891" s="337"/>
      <c r="P891" s="334"/>
      <c r="Q891" s="334"/>
      <c r="R891" s="123"/>
      <c r="S891" s="43"/>
      <c r="T891" s="43"/>
      <c r="U891" s="43"/>
      <c r="V891" s="44"/>
      <c r="W891" s="43"/>
      <c r="X891" s="43"/>
      <c r="Y891" s="43"/>
      <c r="Z891" s="43"/>
      <c r="AA891" s="43"/>
      <c r="AB891" s="123"/>
      <c r="AC891" s="43"/>
    </row>
    <row r="892">
      <c r="E892" s="331"/>
      <c r="K892" s="14"/>
      <c r="L892" s="14"/>
      <c r="M892" s="43"/>
      <c r="N892" s="43"/>
      <c r="O892" s="337"/>
      <c r="P892" s="334"/>
      <c r="Q892" s="334"/>
      <c r="R892" s="123"/>
      <c r="S892" s="43"/>
      <c r="T892" s="43"/>
      <c r="U892" s="43"/>
      <c r="V892" s="44"/>
      <c r="W892" s="43"/>
      <c r="X892" s="43"/>
      <c r="Y892" s="43"/>
      <c r="Z892" s="43"/>
      <c r="AA892" s="43"/>
      <c r="AB892" s="123"/>
      <c r="AC892" s="43"/>
    </row>
    <row r="893">
      <c r="E893" s="331"/>
      <c r="K893" s="14"/>
      <c r="L893" s="14"/>
      <c r="M893" s="43"/>
      <c r="N893" s="43"/>
      <c r="O893" s="337"/>
      <c r="P893" s="334"/>
      <c r="Q893" s="334"/>
      <c r="R893" s="123"/>
      <c r="S893" s="43"/>
      <c r="T893" s="43"/>
      <c r="U893" s="43"/>
      <c r="V893" s="44"/>
      <c r="W893" s="43"/>
      <c r="X893" s="43"/>
      <c r="Y893" s="43"/>
      <c r="Z893" s="43"/>
      <c r="AA893" s="43"/>
      <c r="AB893" s="123"/>
      <c r="AC893" s="43"/>
    </row>
    <row r="894">
      <c r="E894" s="331"/>
      <c r="K894" s="14"/>
      <c r="L894" s="14"/>
      <c r="M894" s="43"/>
      <c r="N894" s="43"/>
      <c r="O894" s="337"/>
      <c r="P894" s="334"/>
      <c r="Q894" s="334"/>
      <c r="R894" s="123"/>
      <c r="S894" s="43"/>
      <c r="T894" s="43"/>
      <c r="U894" s="43"/>
      <c r="V894" s="44"/>
      <c r="W894" s="43"/>
      <c r="X894" s="43"/>
      <c r="Y894" s="43"/>
      <c r="Z894" s="43"/>
      <c r="AA894" s="43"/>
      <c r="AB894" s="123"/>
      <c r="AC894" s="43"/>
    </row>
    <row r="895">
      <c r="E895" s="331"/>
      <c r="K895" s="14"/>
      <c r="L895" s="14"/>
      <c r="M895" s="43"/>
      <c r="N895" s="43"/>
      <c r="O895" s="337"/>
      <c r="P895" s="334"/>
      <c r="Q895" s="334"/>
      <c r="R895" s="123"/>
      <c r="S895" s="43"/>
      <c r="T895" s="43"/>
      <c r="U895" s="43"/>
      <c r="V895" s="44"/>
      <c r="W895" s="43"/>
      <c r="X895" s="43"/>
      <c r="Y895" s="43"/>
      <c r="Z895" s="43"/>
      <c r="AA895" s="43"/>
      <c r="AB895" s="123"/>
      <c r="AC895" s="43"/>
    </row>
    <row r="896">
      <c r="E896" s="331"/>
      <c r="K896" s="14"/>
      <c r="L896" s="14"/>
      <c r="M896" s="43"/>
      <c r="N896" s="43"/>
      <c r="O896" s="337"/>
      <c r="P896" s="334"/>
      <c r="Q896" s="334"/>
      <c r="R896" s="123"/>
      <c r="S896" s="43"/>
      <c r="T896" s="43"/>
      <c r="U896" s="43"/>
      <c r="V896" s="44"/>
      <c r="W896" s="43"/>
      <c r="X896" s="43"/>
      <c r="Y896" s="43"/>
      <c r="Z896" s="43"/>
      <c r="AA896" s="43"/>
      <c r="AB896" s="123"/>
      <c r="AC896" s="43"/>
    </row>
    <row r="897">
      <c r="E897" s="331"/>
      <c r="K897" s="14"/>
      <c r="L897" s="14"/>
      <c r="M897" s="43"/>
      <c r="N897" s="43"/>
      <c r="O897" s="337"/>
      <c r="P897" s="334"/>
      <c r="Q897" s="334"/>
      <c r="R897" s="123"/>
      <c r="S897" s="43"/>
      <c r="T897" s="43"/>
      <c r="U897" s="43"/>
      <c r="V897" s="44"/>
      <c r="W897" s="43"/>
      <c r="X897" s="43"/>
      <c r="Y897" s="43"/>
      <c r="Z897" s="43"/>
      <c r="AA897" s="43"/>
      <c r="AB897" s="123"/>
      <c r="AC897" s="43"/>
    </row>
    <row r="898">
      <c r="E898" s="331"/>
      <c r="K898" s="14"/>
      <c r="L898" s="14"/>
      <c r="M898" s="43"/>
      <c r="N898" s="43"/>
      <c r="O898" s="337"/>
      <c r="P898" s="334"/>
      <c r="Q898" s="334"/>
      <c r="R898" s="123"/>
      <c r="S898" s="43"/>
      <c r="T898" s="43"/>
      <c r="U898" s="43"/>
      <c r="V898" s="44"/>
      <c r="W898" s="43"/>
      <c r="X898" s="43"/>
      <c r="Y898" s="43"/>
      <c r="Z898" s="43"/>
      <c r="AA898" s="43"/>
      <c r="AB898" s="123"/>
      <c r="AC898" s="43"/>
    </row>
    <row r="899">
      <c r="E899" s="331"/>
      <c r="K899" s="14"/>
      <c r="L899" s="14"/>
      <c r="M899" s="43"/>
      <c r="N899" s="43"/>
      <c r="O899" s="337"/>
      <c r="P899" s="334"/>
      <c r="Q899" s="334"/>
      <c r="R899" s="123"/>
      <c r="S899" s="43"/>
      <c r="T899" s="43"/>
      <c r="U899" s="43"/>
      <c r="V899" s="44"/>
      <c r="W899" s="43"/>
      <c r="X899" s="43"/>
      <c r="Y899" s="43"/>
      <c r="Z899" s="43"/>
      <c r="AA899" s="43"/>
      <c r="AB899" s="123"/>
      <c r="AC899" s="43"/>
    </row>
    <row r="900">
      <c r="E900" s="331"/>
      <c r="K900" s="14"/>
      <c r="L900" s="14"/>
      <c r="M900" s="43"/>
      <c r="N900" s="43"/>
      <c r="O900" s="337"/>
      <c r="P900" s="334"/>
      <c r="Q900" s="334"/>
      <c r="R900" s="123"/>
      <c r="S900" s="43"/>
      <c r="T900" s="43"/>
      <c r="U900" s="43"/>
      <c r="V900" s="44"/>
      <c r="W900" s="43"/>
      <c r="X900" s="43"/>
      <c r="Y900" s="43"/>
      <c r="Z900" s="43"/>
      <c r="AA900" s="43"/>
      <c r="AB900" s="123"/>
      <c r="AC900" s="43"/>
    </row>
    <row r="901">
      <c r="E901" s="331"/>
      <c r="K901" s="14"/>
      <c r="L901" s="14"/>
      <c r="M901" s="43"/>
      <c r="N901" s="43"/>
      <c r="O901" s="337"/>
      <c r="P901" s="334"/>
      <c r="Q901" s="334"/>
      <c r="R901" s="123"/>
      <c r="S901" s="43"/>
      <c r="T901" s="43"/>
      <c r="U901" s="43"/>
      <c r="V901" s="44"/>
      <c r="W901" s="43"/>
      <c r="X901" s="43"/>
      <c r="Y901" s="43"/>
      <c r="Z901" s="43"/>
      <c r="AA901" s="43"/>
      <c r="AB901" s="123"/>
      <c r="AC901" s="43"/>
    </row>
    <row r="902">
      <c r="E902" s="331"/>
      <c r="K902" s="14"/>
      <c r="L902" s="14"/>
      <c r="M902" s="43"/>
      <c r="N902" s="43"/>
      <c r="O902" s="337"/>
      <c r="P902" s="334"/>
      <c r="Q902" s="334"/>
      <c r="R902" s="123"/>
      <c r="S902" s="43"/>
      <c r="T902" s="43"/>
      <c r="U902" s="43"/>
      <c r="V902" s="44"/>
      <c r="W902" s="43"/>
      <c r="X902" s="43"/>
      <c r="Y902" s="43"/>
      <c r="Z902" s="43"/>
      <c r="AA902" s="43"/>
      <c r="AB902" s="123"/>
      <c r="AC902" s="43"/>
    </row>
    <row r="903">
      <c r="E903" s="331"/>
      <c r="K903" s="14"/>
      <c r="L903" s="14"/>
      <c r="M903" s="43"/>
      <c r="N903" s="43"/>
      <c r="O903" s="337"/>
      <c r="P903" s="334"/>
      <c r="Q903" s="334"/>
      <c r="R903" s="123"/>
      <c r="S903" s="43"/>
      <c r="T903" s="43"/>
      <c r="U903" s="43"/>
      <c r="V903" s="44"/>
      <c r="W903" s="43"/>
      <c r="X903" s="43"/>
      <c r="Y903" s="43"/>
      <c r="Z903" s="43"/>
      <c r="AA903" s="43"/>
      <c r="AB903" s="123"/>
      <c r="AC903" s="43"/>
    </row>
    <row r="904">
      <c r="E904" s="331"/>
      <c r="K904" s="14"/>
      <c r="L904" s="14"/>
      <c r="M904" s="43"/>
      <c r="N904" s="43"/>
      <c r="O904" s="337"/>
      <c r="P904" s="334"/>
      <c r="Q904" s="334"/>
      <c r="R904" s="123"/>
      <c r="S904" s="43"/>
      <c r="T904" s="43"/>
      <c r="U904" s="43"/>
      <c r="V904" s="44"/>
      <c r="W904" s="43"/>
      <c r="X904" s="43"/>
      <c r="Y904" s="43"/>
      <c r="Z904" s="43"/>
      <c r="AA904" s="43"/>
      <c r="AB904" s="123"/>
      <c r="AC904" s="43"/>
    </row>
    <row r="905">
      <c r="E905" s="331"/>
      <c r="K905" s="14"/>
      <c r="L905" s="14"/>
      <c r="M905" s="43"/>
      <c r="N905" s="43"/>
      <c r="O905" s="337"/>
      <c r="P905" s="334"/>
      <c r="Q905" s="334"/>
      <c r="R905" s="123"/>
      <c r="S905" s="43"/>
      <c r="T905" s="43"/>
      <c r="U905" s="43"/>
      <c r="V905" s="44"/>
      <c r="W905" s="43"/>
      <c r="X905" s="43"/>
      <c r="Y905" s="43"/>
      <c r="Z905" s="43"/>
      <c r="AA905" s="43"/>
      <c r="AB905" s="123"/>
      <c r="AC905" s="43"/>
    </row>
    <row r="906">
      <c r="E906" s="331"/>
      <c r="K906" s="14"/>
      <c r="L906" s="14"/>
      <c r="M906" s="43"/>
      <c r="N906" s="43"/>
      <c r="O906" s="337"/>
      <c r="P906" s="334"/>
      <c r="Q906" s="334"/>
      <c r="R906" s="123"/>
      <c r="S906" s="43"/>
      <c r="T906" s="43"/>
      <c r="U906" s="43"/>
      <c r="V906" s="44"/>
      <c r="W906" s="43"/>
      <c r="X906" s="43"/>
      <c r="Y906" s="43"/>
      <c r="Z906" s="43"/>
      <c r="AA906" s="43"/>
      <c r="AB906" s="123"/>
      <c r="AC906" s="43"/>
    </row>
    <row r="907">
      <c r="E907" s="331"/>
      <c r="K907" s="14"/>
      <c r="L907" s="14"/>
      <c r="M907" s="43"/>
      <c r="N907" s="43"/>
      <c r="O907" s="337"/>
      <c r="P907" s="334"/>
      <c r="Q907" s="334"/>
      <c r="R907" s="123"/>
      <c r="S907" s="43"/>
      <c r="T907" s="43"/>
      <c r="U907" s="43"/>
      <c r="V907" s="44"/>
      <c r="W907" s="43"/>
      <c r="X907" s="43"/>
      <c r="Y907" s="43"/>
      <c r="Z907" s="43"/>
      <c r="AA907" s="43"/>
      <c r="AB907" s="123"/>
      <c r="AC907" s="43"/>
    </row>
    <row r="908">
      <c r="E908" s="331"/>
      <c r="K908" s="14"/>
      <c r="L908" s="14"/>
      <c r="M908" s="43"/>
      <c r="N908" s="43"/>
      <c r="O908" s="337"/>
      <c r="P908" s="334"/>
      <c r="Q908" s="334"/>
      <c r="R908" s="123"/>
      <c r="S908" s="43"/>
      <c r="T908" s="43"/>
      <c r="U908" s="43"/>
      <c r="V908" s="44"/>
      <c r="W908" s="43"/>
      <c r="X908" s="43"/>
      <c r="Y908" s="43"/>
      <c r="Z908" s="43"/>
      <c r="AA908" s="43"/>
      <c r="AB908" s="123"/>
      <c r="AC908" s="43"/>
    </row>
    <row r="909">
      <c r="E909" s="331"/>
      <c r="K909" s="14"/>
      <c r="L909" s="14"/>
      <c r="M909" s="43"/>
      <c r="N909" s="43"/>
      <c r="O909" s="337"/>
      <c r="P909" s="334"/>
      <c r="Q909" s="334"/>
      <c r="R909" s="123"/>
      <c r="S909" s="43"/>
      <c r="T909" s="43"/>
      <c r="U909" s="43"/>
      <c r="V909" s="44"/>
      <c r="W909" s="43"/>
      <c r="X909" s="43"/>
      <c r="Y909" s="43"/>
      <c r="Z909" s="43"/>
      <c r="AA909" s="43"/>
      <c r="AB909" s="123"/>
      <c r="AC909" s="43"/>
    </row>
    <row r="910">
      <c r="E910" s="331"/>
      <c r="K910" s="14"/>
      <c r="L910" s="14"/>
      <c r="M910" s="43"/>
      <c r="N910" s="43"/>
      <c r="O910" s="337"/>
      <c r="P910" s="334"/>
      <c r="Q910" s="334"/>
      <c r="R910" s="123"/>
      <c r="S910" s="43"/>
      <c r="T910" s="43"/>
      <c r="U910" s="43"/>
      <c r="V910" s="44"/>
      <c r="W910" s="43"/>
      <c r="X910" s="43"/>
      <c r="Y910" s="43"/>
      <c r="Z910" s="43"/>
      <c r="AA910" s="43"/>
      <c r="AB910" s="123"/>
      <c r="AC910" s="43"/>
    </row>
    <row r="911">
      <c r="E911" s="331"/>
      <c r="K911" s="14"/>
      <c r="L911" s="14"/>
      <c r="M911" s="43"/>
      <c r="N911" s="43"/>
      <c r="O911" s="337"/>
      <c r="P911" s="334"/>
      <c r="Q911" s="334"/>
      <c r="R911" s="123"/>
      <c r="S911" s="43"/>
      <c r="T911" s="43"/>
      <c r="U911" s="43"/>
      <c r="V911" s="44"/>
      <c r="W911" s="43"/>
      <c r="X911" s="43"/>
      <c r="Y911" s="43"/>
      <c r="Z911" s="43"/>
      <c r="AA911" s="43"/>
      <c r="AB911" s="123"/>
      <c r="AC911" s="43"/>
    </row>
    <row r="912">
      <c r="E912" s="331"/>
      <c r="K912" s="14"/>
      <c r="L912" s="14"/>
      <c r="M912" s="43"/>
      <c r="N912" s="43"/>
      <c r="O912" s="337"/>
      <c r="P912" s="334"/>
      <c r="Q912" s="334"/>
      <c r="R912" s="123"/>
      <c r="S912" s="43"/>
      <c r="T912" s="43"/>
      <c r="U912" s="43"/>
      <c r="V912" s="44"/>
      <c r="W912" s="43"/>
      <c r="X912" s="43"/>
      <c r="Y912" s="43"/>
      <c r="Z912" s="43"/>
      <c r="AA912" s="43"/>
      <c r="AB912" s="123"/>
      <c r="AC912" s="43"/>
    </row>
    <row r="913">
      <c r="E913" s="331"/>
      <c r="K913" s="14"/>
      <c r="L913" s="14"/>
      <c r="M913" s="43"/>
      <c r="N913" s="43"/>
      <c r="O913" s="337"/>
      <c r="P913" s="334"/>
      <c r="Q913" s="334"/>
      <c r="R913" s="123"/>
      <c r="S913" s="43"/>
      <c r="T913" s="43"/>
      <c r="U913" s="43"/>
      <c r="V913" s="44"/>
      <c r="W913" s="43"/>
      <c r="X913" s="43"/>
      <c r="Y913" s="43"/>
      <c r="Z913" s="43"/>
      <c r="AA913" s="43"/>
      <c r="AB913" s="123"/>
      <c r="AC913" s="43"/>
    </row>
    <row r="914">
      <c r="E914" s="331"/>
      <c r="K914" s="14"/>
      <c r="L914" s="14"/>
      <c r="M914" s="43"/>
      <c r="N914" s="43"/>
      <c r="O914" s="337"/>
      <c r="P914" s="334"/>
      <c r="Q914" s="334"/>
      <c r="R914" s="123"/>
      <c r="S914" s="43"/>
      <c r="T914" s="43"/>
      <c r="U914" s="43"/>
      <c r="V914" s="44"/>
      <c r="W914" s="43"/>
      <c r="X914" s="43"/>
      <c r="Y914" s="43"/>
      <c r="Z914" s="43"/>
      <c r="AA914" s="43"/>
      <c r="AB914" s="123"/>
      <c r="AC914" s="43"/>
    </row>
    <row r="915">
      <c r="E915" s="331"/>
      <c r="K915" s="14"/>
      <c r="L915" s="14"/>
      <c r="M915" s="43"/>
      <c r="N915" s="43"/>
      <c r="O915" s="337"/>
      <c r="P915" s="334"/>
      <c r="Q915" s="334"/>
      <c r="R915" s="123"/>
      <c r="S915" s="43"/>
      <c r="T915" s="43"/>
      <c r="U915" s="43"/>
      <c r="V915" s="44"/>
      <c r="W915" s="43"/>
      <c r="X915" s="43"/>
      <c r="Y915" s="43"/>
      <c r="Z915" s="43"/>
      <c r="AA915" s="43"/>
      <c r="AB915" s="123"/>
      <c r="AC915" s="43"/>
    </row>
    <row r="916">
      <c r="E916" s="331"/>
      <c r="K916" s="14"/>
      <c r="L916" s="14"/>
      <c r="M916" s="43"/>
      <c r="N916" s="43"/>
      <c r="O916" s="337"/>
      <c r="P916" s="334"/>
      <c r="Q916" s="334"/>
      <c r="R916" s="123"/>
      <c r="S916" s="43"/>
      <c r="T916" s="43"/>
      <c r="U916" s="43"/>
      <c r="V916" s="44"/>
      <c r="W916" s="43"/>
      <c r="X916" s="43"/>
      <c r="Y916" s="43"/>
      <c r="Z916" s="43"/>
      <c r="AA916" s="43"/>
      <c r="AB916" s="123"/>
      <c r="AC916" s="43"/>
    </row>
    <row r="917">
      <c r="E917" s="331"/>
      <c r="K917" s="14"/>
      <c r="L917" s="14"/>
      <c r="M917" s="43"/>
      <c r="N917" s="43"/>
      <c r="O917" s="337"/>
      <c r="P917" s="334"/>
      <c r="Q917" s="334"/>
      <c r="R917" s="123"/>
      <c r="S917" s="43"/>
      <c r="T917" s="43"/>
      <c r="U917" s="43"/>
      <c r="V917" s="44"/>
      <c r="W917" s="43"/>
      <c r="X917" s="43"/>
      <c r="Y917" s="43"/>
      <c r="Z917" s="43"/>
      <c r="AA917" s="43"/>
      <c r="AB917" s="123"/>
      <c r="AC917" s="43"/>
    </row>
    <row r="918">
      <c r="E918" s="331"/>
      <c r="K918" s="14"/>
      <c r="L918" s="14"/>
      <c r="M918" s="43"/>
      <c r="N918" s="43"/>
      <c r="O918" s="337"/>
      <c r="P918" s="334"/>
      <c r="Q918" s="334"/>
      <c r="R918" s="123"/>
      <c r="S918" s="43"/>
      <c r="T918" s="43"/>
      <c r="U918" s="43"/>
      <c r="V918" s="44"/>
      <c r="W918" s="43"/>
      <c r="X918" s="43"/>
      <c r="Y918" s="43"/>
      <c r="Z918" s="43"/>
      <c r="AA918" s="43"/>
      <c r="AB918" s="123"/>
      <c r="AC918" s="43"/>
    </row>
    <row r="919">
      <c r="E919" s="331"/>
      <c r="K919" s="14"/>
      <c r="L919" s="14"/>
      <c r="M919" s="43"/>
      <c r="N919" s="43"/>
      <c r="O919" s="337"/>
      <c r="P919" s="334"/>
      <c r="Q919" s="334"/>
      <c r="R919" s="123"/>
      <c r="S919" s="43"/>
      <c r="T919" s="43"/>
      <c r="U919" s="43"/>
      <c r="V919" s="44"/>
      <c r="W919" s="43"/>
      <c r="X919" s="43"/>
      <c r="Y919" s="43"/>
      <c r="Z919" s="43"/>
      <c r="AA919" s="43"/>
      <c r="AB919" s="123"/>
      <c r="AC919" s="43"/>
    </row>
    <row r="920">
      <c r="E920" s="331"/>
      <c r="K920" s="14"/>
      <c r="L920" s="14"/>
      <c r="M920" s="43"/>
      <c r="N920" s="43"/>
      <c r="O920" s="337"/>
      <c r="P920" s="334"/>
      <c r="Q920" s="334"/>
      <c r="R920" s="123"/>
      <c r="S920" s="43"/>
      <c r="T920" s="43"/>
      <c r="U920" s="43"/>
      <c r="V920" s="44"/>
      <c r="W920" s="43"/>
      <c r="X920" s="43"/>
      <c r="Y920" s="43"/>
      <c r="Z920" s="43"/>
      <c r="AA920" s="43"/>
      <c r="AB920" s="123"/>
      <c r="AC920" s="43"/>
    </row>
    <row r="921">
      <c r="E921" s="331"/>
      <c r="K921" s="14"/>
      <c r="L921" s="14"/>
      <c r="M921" s="43"/>
      <c r="N921" s="43"/>
      <c r="O921" s="337"/>
      <c r="P921" s="334"/>
      <c r="Q921" s="334"/>
      <c r="R921" s="123"/>
      <c r="S921" s="43"/>
      <c r="T921" s="43"/>
      <c r="U921" s="43"/>
      <c r="V921" s="44"/>
      <c r="W921" s="43"/>
      <c r="X921" s="43"/>
      <c r="Y921" s="43"/>
      <c r="Z921" s="43"/>
      <c r="AA921" s="43"/>
      <c r="AB921" s="123"/>
      <c r="AC921" s="43"/>
    </row>
    <row r="922">
      <c r="E922" s="331"/>
      <c r="K922" s="14"/>
      <c r="L922" s="14"/>
      <c r="M922" s="43"/>
      <c r="N922" s="43"/>
      <c r="O922" s="337"/>
      <c r="P922" s="334"/>
      <c r="Q922" s="334"/>
      <c r="R922" s="123"/>
      <c r="S922" s="43"/>
      <c r="T922" s="43"/>
      <c r="U922" s="43"/>
      <c r="V922" s="44"/>
      <c r="W922" s="43"/>
      <c r="X922" s="43"/>
      <c r="Y922" s="43"/>
      <c r="Z922" s="43"/>
      <c r="AA922" s="43"/>
      <c r="AB922" s="123"/>
      <c r="AC922" s="43"/>
    </row>
    <row r="923">
      <c r="E923" s="331"/>
      <c r="K923" s="14"/>
      <c r="L923" s="14"/>
      <c r="M923" s="43"/>
      <c r="N923" s="43"/>
      <c r="O923" s="337"/>
      <c r="P923" s="334"/>
      <c r="Q923" s="334"/>
      <c r="R923" s="123"/>
      <c r="S923" s="43"/>
      <c r="T923" s="43"/>
      <c r="U923" s="43"/>
      <c r="V923" s="44"/>
      <c r="W923" s="43"/>
      <c r="X923" s="43"/>
      <c r="Y923" s="43"/>
      <c r="Z923" s="43"/>
      <c r="AA923" s="43"/>
      <c r="AB923" s="123"/>
      <c r="AC923" s="43"/>
    </row>
    <row r="924">
      <c r="E924" s="331"/>
      <c r="K924" s="14"/>
      <c r="L924" s="14"/>
      <c r="M924" s="43"/>
      <c r="N924" s="43"/>
      <c r="O924" s="337"/>
      <c r="P924" s="334"/>
      <c r="Q924" s="334"/>
      <c r="R924" s="123"/>
      <c r="S924" s="43"/>
      <c r="T924" s="43"/>
      <c r="U924" s="43"/>
      <c r="V924" s="44"/>
      <c r="W924" s="43"/>
      <c r="X924" s="43"/>
      <c r="Y924" s="43"/>
      <c r="Z924" s="43"/>
      <c r="AA924" s="43"/>
      <c r="AB924" s="123"/>
      <c r="AC924" s="43"/>
    </row>
    <row r="925">
      <c r="E925" s="331"/>
      <c r="K925" s="14"/>
      <c r="L925" s="14"/>
      <c r="M925" s="43"/>
      <c r="N925" s="43"/>
      <c r="O925" s="337"/>
      <c r="P925" s="334"/>
      <c r="Q925" s="334"/>
      <c r="R925" s="123"/>
      <c r="S925" s="43"/>
      <c r="T925" s="43"/>
      <c r="U925" s="43"/>
      <c r="V925" s="44"/>
      <c r="W925" s="43"/>
      <c r="X925" s="43"/>
      <c r="Y925" s="43"/>
      <c r="Z925" s="43"/>
      <c r="AA925" s="43"/>
      <c r="AB925" s="123"/>
      <c r="AC925" s="43"/>
    </row>
    <row r="926">
      <c r="E926" s="331"/>
      <c r="K926" s="14"/>
      <c r="L926" s="14"/>
      <c r="M926" s="43"/>
      <c r="N926" s="43"/>
      <c r="O926" s="337"/>
      <c r="P926" s="334"/>
      <c r="Q926" s="334"/>
      <c r="R926" s="123"/>
      <c r="S926" s="43"/>
      <c r="T926" s="43"/>
      <c r="U926" s="43"/>
      <c r="V926" s="44"/>
      <c r="W926" s="43"/>
      <c r="X926" s="43"/>
      <c r="Y926" s="43"/>
      <c r="Z926" s="43"/>
      <c r="AA926" s="43"/>
      <c r="AB926" s="123"/>
      <c r="AC926" s="43"/>
    </row>
    <row r="927">
      <c r="E927" s="331"/>
      <c r="K927" s="14"/>
      <c r="L927" s="14"/>
      <c r="M927" s="43"/>
      <c r="N927" s="43"/>
      <c r="O927" s="337"/>
      <c r="P927" s="334"/>
      <c r="Q927" s="334"/>
      <c r="R927" s="123"/>
      <c r="S927" s="43"/>
      <c r="T927" s="43"/>
      <c r="U927" s="43"/>
      <c r="V927" s="44"/>
      <c r="W927" s="43"/>
      <c r="X927" s="43"/>
      <c r="Y927" s="43"/>
      <c r="Z927" s="43"/>
      <c r="AA927" s="43"/>
      <c r="AB927" s="123"/>
      <c r="AC927" s="43"/>
    </row>
    <row r="928">
      <c r="E928" s="331"/>
      <c r="K928" s="14"/>
      <c r="L928" s="14"/>
      <c r="M928" s="43"/>
      <c r="N928" s="43"/>
      <c r="O928" s="337"/>
      <c r="P928" s="334"/>
      <c r="Q928" s="334"/>
      <c r="R928" s="123"/>
      <c r="S928" s="43"/>
      <c r="T928" s="43"/>
      <c r="U928" s="43"/>
      <c r="V928" s="44"/>
      <c r="W928" s="43"/>
      <c r="X928" s="43"/>
      <c r="Y928" s="43"/>
      <c r="Z928" s="43"/>
      <c r="AA928" s="43"/>
      <c r="AB928" s="123"/>
      <c r="AC928" s="43"/>
    </row>
    <row r="929">
      <c r="E929" s="331"/>
      <c r="K929" s="14"/>
      <c r="L929" s="14"/>
      <c r="M929" s="43"/>
      <c r="N929" s="43"/>
      <c r="O929" s="337"/>
      <c r="P929" s="334"/>
      <c r="Q929" s="334"/>
      <c r="R929" s="123"/>
      <c r="S929" s="43"/>
      <c r="T929" s="43"/>
      <c r="U929" s="43"/>
      <c r="V929" s="44"/>
      <c r="W929" s="43"/>
      <c r="X929" s="43"/>
      <c r="Y929" s="43"/>
      <c r="Z929" s="43"/>
      <c r="AA929" s="43"/>
      <c r="AB929" s="123"/>
      <c r="AC929" s="43"/>
    </row>
    <row r="930">
      <c r="E930" s="331"/>
      <c r="K930" s="14"/>
      <c r="L930" s="14"/>
      <c r="M930" s="43"/>
      <c r="N930" s="43"/>
      <c r="O930" s="337"/>
      <c r="P930" s="334"/>
      <c r="Q930" s="334"/>
      <c r="R930" s="123"/>
      <c r="S930" s="43"/>
      <c r="T930" s="43"/>
      <c r="U930" s="43"/>
      <c r="V930" s="44"/>
      <c r="W930" s="43"/>
      <c r="X930" s="43"/>
      <c r="Y930" s="43"/>
      <c r="Z930" s="43"/>
      <c r="AA930" s="43"/>
      <c r="AB930" s="123"/>
      <c r="AC930" s="43"/>
    </row>
    <row r="931">
      <c r="E931" s="331"/>
      <c r="K931" s="14"/>
      <c r="L931" s="14"/>
      <c r="M931" s="43"/>
      <c r="N931" s="43"/>
      <c r="O931" s="337"/>
      <c r="P931" s="334"/>
      <c r="Q931" s="334"/>
      <c r="R931" s="123"/>
      <c r="S931" s="43"/>
      <c r="T931" s="43"/>
      <c r="U931" s="43"/>
      <c r="V931" s="44"/>
      <c r="W931" s="43"/>
      <c r="X931" s="43"/>
      <c r="Y931" s="43"/>
      <c r="Z931" s="43"/>
      <c r="AA931" s="43"/>
      <c r="AB931" s="123"/>
      <c r="AC931" s="43"/>
    </row>
    <row r="932">
      <c r="E932" s="331"/>
      <c r="K932" s="14"/>
      <c r="L932" s="14"/>
      <c r="M932" s="43"/>
      <c r="N932" s="43"/>
      <c r="O932" s="337"/>
      <c r="P932" s="334"/>
      <c r="Q932" s="334"/>
      <c r="R932" s="123"/>
      <c r="S932" s="43"/>
      <c r="T932" s="43"/>
      <c r="U932" s="43"/>
      <c r="V932" s="44"/>
      <c r="W932" s="43"/>
      <c r="X932" s="43"/>
      <c r="Y932" s="43"/>
      <c r="Z932" s="43"/>
      <c r="AA932" s="43"/>
      <c r="AB932" s="123"/>
      <c r="AC932" s="43"/>
    </row>
    <row r="933">
      <c r="E933" s="331"/>
      <c r="K933" s="14"/>
      <c r="L933" s="14"/>
      <c r="M933" s="43"/>
      <c r="N933" s="43"/>
      <c r="O933" s="337"/>
      <c r="P933" s="334"/>
      <c r="Q933" s="334"/>
      <c r="R933" s="123"/>
      <c r="S933" s="43"/>
      <c r="T933" s="43"/>
      <c r="U933" s="43"/>
      <c r="V933" s="44"/>
      <c r="W933" s="43"/>
      <c r="X933" s="43"/>
      <c r="Y933" s="43"/>
      <c r="Z933" s="43"/>
      <c r="AA933" s="43"/>
      <c r="AB933" s="123"/>
      <c r="AC933" s="43"/>
    </row>
    <row r="934">
      <c r="E934" s="331"/>
      <c r="K934" s="14"/>
      <c r="L934" s="14"/>
      <c r="M934" s="43"/>
      <c r="N934" s="43"/>
      <c r="O934" s="337"/>
      <c r="P934" s="334"/>
      <c r="Q934" s="334"/>
      <c r="R934" s="123"/>
      <c r="S934" s="43"/>
      <c r="T934" s="43"/>
      <c r="U934" s="43"/>
      <c r="V934" s="44"/>
      <c r="W934" s="43"/>
      <c r="X934" s="43"/>
      <c r="Y934" s="43"/>
      <c r="Z934" s="43"/>
      <c r="AA934" s="43"/>
      <c r="AB934" s="123"/>
      <c r="AC934" s="43"/>
    </row>
    <row r="935">
      <c r="E935" s="331"/>
      <c r="K935" s="14"/>
      <c r="L935" s="14"/>
      <c r="M935" s="43"/>
      <c r="N935" s="43"/>
      <c r="O935" s="337"/>
      <c r="P935" s="334"/>
      <c r="Q935" s="334"/>
      <c r="R935" s="123"/>
      <c r="S935" s="43"/>
      <c r="T935" s="43"/>
      <c r="U935" s="43"/>
      <c r="V935" s="44"/>
      <c r="W935" s="43"/>
      <c r="X935" s="43"/>
      <c r="Y935" s="43"/>
      <c r="Z935" s="43"/>
      <c r="AA935" s="43"/>
      <c r="AB935" s="123"/>
      <c r="AC935" s="43"/>
    </row>
    <row r="936">
      <c r="E936" s="331"/>
      <c r="K936" s="14"/>
      <c r="L936" s="14"/>
      <c r="M936" s="43"/>
      <c r="N936" s="43"/>
      <c r="O936" s="337"/>
      <c r="P936" s="334"/>
      <c r="Q936" s="334"/>
      <c r="R936" s="123"/>
      <c r="S936" s="43"/>
      <c r="T936" s="43"/>
      <c r="U936" s="43"/>
      <c r="V936" s="44"/>
      <c r="W936" s="43"/>
      <c r="X936" s="43"/>
      <c r="Y936" s="43"/>
      <c r="Z936" s="43"/>
      <c r="AA936" s="43"/>
      <c r="AB936" s="123"/>
      <c r="AC936" s="43"/>
    </row>
    <row r="937">
      <c r="E937" s="331"/>
      <c r="K937" s="14"/>
      <c r="L937" s="14"/>
      <c r="M937" s="43"/>
      <c r="N937" s="43"/>
      <c r="O937" s="337"/>
      <c r="P937" s="334"/>
      <c r="Q937" s="334"/>
      <c r="R937" s="123"/>
      <c r="S937" s="43"/>
      <c r="T937" s="43"/>
      <c r="U937" s="43"/>
      <c r="V937" s="44"/>
      <c r="W937" s="43"/>
      <c r="X937" s="43"/>
      <c r="Y937" s="43"/>
      <c r="Z937" s="43"/>
      <c r="AA937" s="43"/>
      <c r="AB937" s="123"/>
      <c r="AC937" s="43"/>
    </row>
    <row r="938">
      <c r="E938" s="331"/>
      <c r="K938" s="14"/>
      <c r="L938" s="14"/>
      <c r="M938" s="43"/>
      <c r="N938" s="43"/>
      <c r="O938" s="337"/>
      <c r="P938" s="334"/>
      <c r="Q938" s="334"/>
      <c r="R938" s="123"/>
      <c r="S938" s="43"/>
      <c r="T938" s="43"/>
      <c r="U938" s="43"/>
      <c r="V938" s="44"/>
      <c r="W938" s="43"/>
      <c r="X938" s="43"/>
      <c r="Y938" s="43"/>
      <c r="Z938" s="43"/>
      <c r="AA938" s="43"/>
      <c r="AB938" s="123"/>
      <c r="AC938" s="43"/>
    </row>
    <row r="939">
      <c r="E939" s="331"/>
      <c r="K939" s="14"/>
      <c r="L939" s="14"/>
      <c r="M939" s="43"/>
      <c r="N939" s="43"/>
      <c r="O939" s="337"/>
      <c r="P939" s="334"/>
      <c r="Q939" s="334"/>
      <c r="R939" s="123"/>
      <c r="S939" s="43"/>
      <c r="T939" s="43"/>
      <c r="U939" s="43"/>
      <c r="V939" s="44"/>
      <c r="W939" s="43"/>
      <c r="X939" s="43"/>
      <c r="Y939" s="43"/>
      <c r="Z939" s="43"/>
      <c r="AA939" s="43"/>
      <c r="AB939" s="123"/>
      <c r="AC939" s="43"/>
    </row>
    <row r="940">
      <c r="E940" s="331"/>
      <c r="K940" s="14"/>
      <c r="L940" s="14"/>
      <c r="M940" s="43"/>
      <c r="N940" s="43"/>
      <c r="O940" s="337"/>
      <c r="P940" s="334"/>
      <c r="Q940" s="334"/>
      <c r="R940" s="123"/>
      <c r="S940" s="43"/>
      <c r="T940" s="43"/>
      <c r="U940" s="43"/>
      <c r="V940" s="44"/>
      <c r="W940" s="43"/>
      <c r="X940" s="43"/>
      <c r="Y940" s="43"/>
      <c r="Z940" s="43"/>
      <c r="AA940" s="43"/>
      <c r="AB940" s="123"/>
      <c r="AC940" s="43"/>
    </row>
    <row r="941">
      <c r="E941" s="331"/>
      <c r="K941" s="14"/>
      <c r="L941" s="14"/>
      <c r="M941" s="43"/>
      <c r="N941" s="43"/>
      <c r="O941" s="337"/>
      <c r="P941" s="334"/>
      <c r="Q941" s="334"/>
      <c r="R941" s="123"/>
      <c r="S941" s="43"/>
      <c r="T941" s="43"/>
      <c r="U941" s="43"/>
      <c r="V941" s="44"/>
      <c r="W941" s="43"/>
      <c r="X941" s="43"/>
      <c r="Y941" s="43"/>
      <c r="Z941" s="43"/>
      <c r="AA941" s="43"/>
      <c r="AB941" s="123"/>
      <c r="AC941" s="43"/>
    </row>
    <row r="942">
      <c r="E942" s="331"/>
      <c r="K942" s="14"/>
      <c r="L942" s="14"/>
      <c r="M942" s="43"/>
      <c r="N942" s="43"/>
      <c r="O942" s="337"/>
      <c r="P942" s="334"/>
      <c r="Q942" s="334"/>
      <c r="R942" s="123"/>
      <c r="S942" s="43"/>
      <c r="T942" s="43"/>
      <c r="U942" s="43"/>
      <c r="V942" s="44"/>
      <c r="W942" s="43"/>
      <c r="X942" s="43"/>
      <c r="Y942" s="43"/>
      <c r="Z942" s="43"/>
      <c r="AA942" s="43"/>
      <c r="AB942" s="123"/>
      <c r="AC942" s="43"/>
    </row>
    <row r="943">
      <c r="E943" s="331"/>
      <c r="K943" s="14"/>
      <c r="L943" s="14"/>
      <c r="M943" s="43"/>
      <c r="N943" s="43"/>
      <c r="O943" s="337"/>
      <c r="P943" s="334"/>
      <c r="Q943" s="334"/>
      <c r="R943" s="123"/>
      <c r="S943" s="43"/>
      <c r="T943" s="43"/>
      <c r="U943" s="43"/>
      <c r="V943" s="44"/>
      <c r="W943" s="43"/>
      <c r="X943" s="43"/>
      <c r="Y943" s="43"/>
      <c r="Z943" s="43"/>
      <c r="AA943" s="43"/>
      <c r="AB943" s="123"/>
      <c r="AC943" s="43"/>
    </row>
    <row r="944">
      <c r="E944" s="331"/>
      <c r="K944" s="14"/>
      <c r="L944" s="14"/>
      <c r="M944" s="43"/>
      <c r="N944" s="43"/>
      <c r="O944" s="337"/>
      <c r="P944" s="334"/>
      <c r="Q944" s="334"/>
      <c r="R944" s="123"/>
      <c r="S944" s="43"/>
      <c r="T944" s="43"/>
      <c r="U944" s="43"/>
      <c r="V944" s="44"/>
      <c r="W944" s="43"/>
      <c r="X944" s="43"/>
      <c r="Y944" s="43"/>
      <c r="Z944" s="43"/>
      <c r="AA944" s="43"/>
      <c r="AB944" s="123"/>
      <c r="AC944" s="43"/>
    </row>
    <row r="945">
      <c r="E945" s="331"/>
      <c r="K945" s="14"/>
      <c r="L945" s="14"/>
      <c r="M945" s="43"/>
      <c r="N945" s="43"/>
      <c r="O945" s="337"/>
      <c r="P945" s="334"/>
      <c r="Q945" s="334"/>
      <c r="R945" s="123"/>
      <c r="S945" s="43"/>
      <c r="T945" s="43"/>
      <c r="U945" s="43"/>
      <c r="V945" s="44"/>
      <c r="W945" s="43"/>
      <c r="X945" s="43"/>
      <c r="Y945" s="43"/>
      <c r="Z945" s="43"/>
      <c r="AA945" s="43"/>
      <c r="AB945" s="123"/>
      <c r="AC945" s="43"/>
    </row>
    <row r="946">
      <c r="E946" s="331"/>
      <c r="K946" s="14"/>
      <c r="L946" s="14"/>
      <c r="M946" s="43"/>
      <c r="N946" s="43"/>
      <c r="O946" s="337"/>
      <c r="P946" s="334"/>
      <c r="Q946" s="334"/>
      <c r="R946" s="123"/>
      <c r="S946" s="43"/>
      <c r="T946" s="43"/>
      <c r="U946" s="43"/>
      <c r="V946" s="44"/>
      <c r="W946" s="43"/>
      <c r="X946" s="43"/>
      <c r="Y946" s="43"/>
      <c r="Z946" s="43"/>
      <c r="AA946" s="43"/>
      <c r="AB946" s="123"/>
      <c r="AC946" s="43"/>
    </row>
    <row r="947">
      <c r="E947" s="331"/>
      <c r="K947" s="14"/>
      <c r="L947" s="14"/>
      <c r="M947" s="43"/>
      <c r="N947" s="43"/>
      <c r="O947" s="337"/>
      <c r="P947" s="334"/>
      <c r="Q947" s="334"/>
      <c r="R947" s="123"/>
      <c r="S947" s="43"/>
      <c r="T947" s="43"/>
      <c r="U947" s="43"/>
      <c r="V947" s="44"/>
      <c r="W947" s="43"/>
      <c r="X947" s="43"/>
      <c r="Y947" s="43"/>
      <c r="Z947" s="43"/>
      <c r="AA947" s="43"/>
      <c r="AB947" s="123"/>
      <c r="AC947" s="43"/>
    </row>
    <row r="948">
      <c r="E948" s="331"/>
      <c r="K948" s="14"/>
      <c r="L948" s="14"/>
      <c r="M948" s="43"/>
      <c r="N948" s="43"/>
      <c r="O948" s="337"/>
      <c r="P948" s="334"/>
      <c r="Q948" s="334"/>
      <c r="R948" s="123"/>
      <c r="S948" s="43"/>
      <c r="T948" s="43"/>
      <c r="U948" s="43"/>
      <c r="V948" s="44"/>
      <c r="W948" s="43"/>
      <c r="X948" s="43"/>
      <c r="Y948" s="43"/>
      <c r="Z948" s="43"/>
      <c r="AA948" s="43"/>
      <c r="AB948" s="123"/>
      <c r="AC948" s="43"/>
    </row>
    <row r="949">
      <c r="E949" s="331"/>
      <c r="K949" s="14"/>
      <c r="L949" s="14"/>
      <c r="M949" s="43"/>
      <c r="N949" s="43"/>
      <c r="O949" s="337"/>
      <c r="P949" s="334"/>
      <c r="Q949" s="334"/>
      <c r="R949" s="123"/>
      <c r="S949" s="43"/>
      <c r="T949" s="43"/>
      <c r="U949" s="43"/>
      <c r="V949" s="44"/>
      <c r="W949" s="43"/>
      <c r="X949" s="43"/>
      <c r="Y949" s="43"/>
      <c r="Z949" s="43"/>
      <c r="AA949" s="43"/>
      <c r="AB949" s="123"/>
      <c r="AC949" s="43"/>
    </row>
    <row r="950">
      <c r="E950" s="331"/>
      <c r="K950" s="14"/>
      <c r="L950" s="14"/>
      <c r="M950" s="43"/>
      <c r="N950" s="43"/>
      <c r="O950" s="337"/>
      <c r="P950" s="334"/>
      <c r="Q950" s="334"/>
      <c r="R950" s="123"/>
      <c r="S950" s="43"/>
      <c r="T950" s="43"/>
      <c r="U950" s="43"/>
      <c r="V950" s="44"/>
      <c r="W950" s="43"/>
      <c r="X950" s="43"/>
      <c r="Y950" s="43"/>
      <c r="Z950" s="43"/>
      <c r="AA950" s="43"/>
      <c r="AB950" s="123"/>
      <c r="AC950" s="43"/>
    </row>
    <row r="951">
      <c r="E951" s="331"/>
      <c r="K951" s="14"/>
      <c r="L951" s="14"/>
      <c r="M951" s="43"/>
      <c r="N951" s="43"/>
      <c r="O951" s="337"/>
      <c r="P951" s="334"/>
      <c r="Q951" s="334"/>
      <c r="R951" s="123"/>
      <c r="S951" s="43"/>
      <c r="T951" s="43"/>
      <c r="U951" s="43"/>
      <c r="V951" s="44"/>
      <c r="W951" s="43"/>
      <c r="X951" s="43"/>
      <c r="Y951" s="43"/>
      <c r="Z951" s="43"/>
      <c r="AA951" s="43"/>
      <c r="AB951" s="123"/>
      <c r="AC951" s="43"/>
    </row>
    <row r="952">
      <c r="E952" s="331"/>
      <c r="K952" s="14"/>
      <c r="L952" s="14"/>
      <c r="M952" s="43"/>
      <c r="N952" s="43"/>
      <c r="O952" s="337"/>
      <c r="P952" s="334"/>
      <c r="Q952" s="334"/>
      <c r="R952" s="123"/>
      <c r="S952" s="43"/>
      <c r="T952" s="43"/>
      <c r="U952" s="43"/>
      <c r="V952" s="44"/>
      <c r="W952" s="43"/>
      <c r="X952" s="43"/>
      <c r="Y952" s="43"/>
      <c r="Z952" s="43"/>
      <c r="AA952" s="43"/>
      <c r="AB952" s="123"/>
      <c r="AC952" s="43"/>
    </row>
    <row r="953">
      <c r="E953" s="331"/>
      <c r="K953" s="14"/>
      <c r="L953" s="14"/>
      <c r="M953" s="43"/>
      <c r="N953" s="43"/>
      <c r="O953" s="337"/>
      <c r="P953" s="334"/>
      <c r="Q953" s="334"/>
      <c r="R953" s="123"/>
      <c r="S953" s="43"/>
      <c r="T953" s="43"/>
      <c r="U953" s="43"/>
      <c r="V953" s="44"/>
      <c r="W953" s="43"/>
      <c r="X953" s="43"/>
      <c r="Y953" s="43"/>
      <c r="Z953" s="43"/>
      <c r="AA953" s="43"/>
      <c r="AB953" s="123"/>
      <c r="AC953" s="43"/>
    </row>
    <row r="954">
      <c r="E954" s="331"/>
      <c r="K954" s="14"/>
      <c r="L954" s="14"/>
      <c r="M954" s="43"/>
      <c r="N954" s="43"/>
      <c r="O954" s="337"/>
      <c r="P954" s="334"/>
      <c r="Q954" s="334"/>
      <c r="R954" s="123"/>
      <c r="S954" s="43"/>
      <c r="T954" s="43"/>
      <c r="U954" s="43"/>
      <c r="V954" s="44"/>
      <c r="W954" s="43"/>
      <c r="X954" s="43"/>
      <c r="Y954" s="43"/>
      <c r="Z954" s="43"/>
      <c r="AA954" s="43"/>
      <c r="AB954" s="123"/>
      <c r="AC954" s="43"/>
    </row>
    <row r="955">
      <c r="E955" s="331"/>
      <c r="K955" s="14"/>
      <c r="L955" s="14"/>
      <c r="M955" s="43"/>
      <c r="N955" s="43"/>
      <c r="O955" s="337"/>
      <c r="P955" s="334"/>
      <c r="Q955" s="334"/>
      <c r="R955" s="123"/>
      <c r="S955" s="43"/>
      <c r="T955" s="43"/>
      <c r="U955" s="43"/>
      <c r="V955" s="44"/>
      <c r="W955" s="43"/>
      <c r="X955" s="43"/>
      <c r="Y955" s="43"/>
      <c r="Z955" s="43"/>
      <c r="AA955" s="43"/>
      <c r="AB955" s="123"/>
      <c r="AC955" s="43"/>
    </row>
    <row r="956">
      <c r="E956" s="331"/>
      <c r="K956" s="14"/>
      <c r="L956" s="14"/>
      <c r="M956" s="43"/>
      <c r="N956" s="43"/>
      <c r="O956" s="337"/>
      <c r="P956" s="334"/>
      <c r="Q956" s="334"/>
      <c r="R956" s="123"/>
      <c r="S956" s="43"/>
      <c r="T956" s="43"/>
      <c r="U956" s="43"/>
      <c r="V956" s="44"/>
      <c r="W956" s="43"/>
      <c r="X956" s="43"/>
      <c r="Y956" s="43"/>
      <c r="Z956" s="43"/>
      <c r="AA956" s="43"/>
      <c r="AB956" s="123"/>
      <c r="AC956" s="43"/>
    </row>
    <row r="957">
      <c r="E957" s="331"/>
      <c r="K957" s="14"/>
      <c r="L957" s="14"/>
      <c r="M957" s="43"/>
      <c r="N957" s="43"/>
      <c r="O957" s="337"/>
      <c r="P957" s="334"/>
      <c r="Q957" s="334"/>
      <c r="R957" s="123"/>
      <c r="S957" s="43"/>
      <c r="T957" s="43"/>
      <c r="U957" s="43"/>
      <c r="V957" s="44"/>
      <c r="W957" s="43"/>
      <c r="X957" s="43"/>
      <c r="Y957" s="43"/>
      <c r="Z957" s="43"/>
      <c r="AA957" s="43"/>
      <c r="AB957" s="123"/>
      <c r="AC957" s="43"/>
    </row>
    <row r="958">
      <c r="E958" s="331"/>
      <c r="K958" s="14"/>
      <c r="L958" s="14"/>
      <c r="M958" s="43"/>
      <c r="N958" s="43"/>
      <c r="O958" s="337"/>
      <c r="P958" s="334"/>
      <c r="Q958" s="334"/>
      <c r="R958" s="123"/>
      <c r="S958" s="43"/>
      <c r="T958" s="43"/>
      <c r="U958" s="43"/>
      <c r="V958" s="44"/>
      <c r="W958" s="43"/>
      <c r="X958" s="43"/>
      <c r="Y958" s="43"/>
      <c r="Z958" s="43"/>
      <c r="AA958" s="43"/>
      <c r="AB958" s="123"/>
      <c r="AC958" s="43"/>
    </row>
    <row r="959">
      <c r="E959" s="331"/>
      <c r="K959" s="14"/>
      <c r="L959" s="14"/>
      <c r="M959" s="43"/>
      <c r="N959" s="43"/>
      <c r="O959" s="337"/>
      <c r="P959" s="334"/>
      <c r="Q959" s="334"/>
      <c r="R959" s="123"/>
      <c r="S959" s="43"/>
      <c r="T959" s="43"/>
      <c r="U959" s="43"/>
      <c r="V959" s="44"/>
      <c r="W959" s="43"/>
      <c r="X959" s="43"/>
      <c r="Y959" s="43"/>
      <c r="Z959" s="43"/>
      <c r="AA959" s="43"/>
      <c r="AB959" s="123"/>
      <c r="AC959" s="43"/>
    </row>
    <row r="960">
      <c r="E960" s="331"/>
      <c r="K960" s="14"/>
      <c r="L960" s="14"/>
      <c r="M960" s="43"/>
      <c r="N960" s="43"/>
      <c r="O960" s="337"/>
      <c r="P960" s="334"/>
      <c r="Q960" s="334"/>
      <c r="R960" s="123"/>
      <c r="S960" s="43"/>
      <c r="T960" s="43"/>
      <c r="U960" s="43"/>
      <c r="V960" s="44"/>
      <c r="W960" s="43"/>
      <c r="X960" s="43"/>
      <c r="Y960" s="43"/>
      <c r="Z960" s="43"/>
      <c r="AA960" s="43"/>
      <c r="AB960" s="123"/>
      <c r="AC960" s="43"/>
    </row>
    <row r="961">
      <c r="E961" s="331"/>
      <c r="K961" s="14"/>
      <c r="L961" s="14"/>
      <c r="M961" s="43"/>
      <c r="N961" s="43"/>
      <c r="O961" s="337"/>
      <c r="P961" s="334"/>
      <c r="Q961" s="334"/>
      <c r="R961" s="123"/>
      <c r="S961" s="43"/>
      <c r="T961" s="43"/>
      <c r="U961" s="43"/>
      <c r="V961" s="44"/>
      <c r="W961" s="43"/>
      <c r="X961" s="43"/>
      <c r="Y961" s="43"/>
      <c r="Z961" s="43"/>
      <c r="AA961" s="43"/>
      <c r="AB961" s="123"/>
      <c r="AC961" s="43"/>
    </row>
    <row r="962">
      <c r="E962" s="331"/>
      <c r="K962" s="14"/>
      <c r="L962" s="14"/>
      <c r="M962" s="43"/>
      <c r="N962" s="43"/>
      <c r="O962" s="337"/>
      <c r="P962" s="334"/>
      <c r="Q962" s="334"/>
      <c r="R962" s="123"/>
      <c r="S962" s="43"/>
      <c r="T962" s="43"/>
      <c r="U962" s="43"/>
      <c r="V962" s="44"/>
      <c r="W962" s="43"/>
      <c r="X962" s="43"/>
      <c r="Y962" s="43"/>
      <c r="Z962" s="43"/>
      <c r="AA962" s="43"/>
      <c r="AB962" s="123"/>
      <c r="AC962" s="43"/>
    </row>
    <row r="963">
      <c r="E963" s="331"/>
      <c r="K963" s="14"/>
      <c r="L963" s="14"/>
      <c r="M963" s="43"/>
      <c r="N963" s="43"/>
      <c r="O963" s="337"/>
      <c r="P963" s="334"/>
      <c r="Q963" s="334"/>
      <c r="R963" s="123"/>
      <c r="S963" s="43"/>
      <c r="T963" s="43"/>
      <c r="U963" s="43"/>
      <c r="V963" s="44"/>
      <c r="W963" s="43"/>
      <c r="X963" s="43"/>
      <c r="Y963" s="43"/>
      <c r="Z963" s="43"/>
      <c r="AA963" s="43"/>
      <c r="AB963" s="123"/>
      <c r="AC963" s="43"/>
    </row>
    <row r="964">
      <c r="E964" s="331"/>
      <c r="K964" s="14"/>
      <c r="L964" s="14"/>
      <c r="M964" s="43"/>
      <c r="N964" s="43"/>
      <c r="O964" s="337"/>
      <c r="P964" s="334"/>
      <c r="Q964" s="334"/>
      <c r="R964" s="123"/>
      <c r="S964" s="43"/>
      <c r="T964" s="43"/>
      <c r="U964" s="43"/>
      <c r="V964" s="44"/>
      <c r="W964" s="43"/>
      <c r="X964" s="43"/>
      <c r="Y964" s="43"/>
      <c r="Z964" s="43"/>
      <c r="AA964" s="43"/>
      <c r="AB964" s="123"/>
      <c r="AC964" s="43"/>
    </row>
    <row r="965">
      <c r="E965" s="331"/>
      <c r="K965" s="14"/>
      <c r="L965" s="14"/>
      <c r="M965" s="43"/>
      <c r="N965" s="43"/>
      <c r="O965" s="337"/>
      <c r="P965" s="334"/>
      <c r="Q965" s="334"/>
      <c r="R965" s="123"/>
      <c r="S965" s="43"/>
      <c r="T965" s="43"/>
      <c r="U965" s="43"/>
      <c r="V965" s="44"/>
      <c r="W965" s="43"/>
      <c r="X965" s="43"/>
      <c r="Y965" s="43"/>
      <c r="Z965" s="43"/>
      <c r="AA965" s="43"/>
      <c r="AB965" s="123"/>
      <c r="AC965" s="43"/>
    </row>
    <row r="966">
      <c r="E966" s="331"/>
      <c r="K966" s="14"/>
      <c r="L966" s="14"/>
      <c r="M966" s="43"/>
      <c r="N966" s="43"/>
      <c r="O966" s="337"/>
      <c r="P966" s="334"/>
      <c r="Q966" s="334"/>
      <c r="R966" s="123"/>
      <c r="S966" s="43"/>
      <c r="T966" s="43"/>
      <c r="U966" s="43"/>
      <c r="V966" s="44"/>
      <c r="W966" s="43"/>
      <c r="X966" s="43"/>
      <c r="Y966" s="43"/>
      <c r="Z966" s="43"/>
      <c r="AA966" s="43"/>
      <c r="AB966" s="123"/>
      <c r="AC966" s="43"/>
    </row>
    <row r="967">
      <c r="E967" s="331"/>
      <c r="K967" s="14"/>
      <c r="L967" s="14"/>
      <c r="M967" s="43"/>
      <c r="N967" s="43"/>
      <c r="O967" s="337"/>
      <c r="P967" s="334"/>
      <c r="Q967" s="334"/>
      <c r="R967" s="123"/>
      <c r="S967" s="43"/>
      <c r="T967" s="43"/>
      <c r="U967" s="43"/>
      <c r="V967" s="44"/>
      <c r="W967" s="43"/>
      <c r="X967" s="43"/>
      <c r="Y967" s="43"/>
      <c r="Z967" s="43"/>
      <c r="AA967" s="43"/>
      <c r="AB967" s="123"/>
      <c r="AC967" s="43"/>
    </row>
    <row r="968">
      <c r="E968" s="331"/>
      <c r="K968" s="14"/>
      <c r="L968" s="14"/>
      <c r="M968" s="43"/>
      <c r="N968" s="43"/>
      <c r="O968" s="337"/>
      <c r="P968" s="334"/>
      <c r="Q968" s="334"/>
      <c r="R968" s="123"/>
      <c r="S968" s="43"/>
      <c r="T968" s="43"/>
      <c r="U968" s="43"/>
      <c r="V968" s="44"/>
      <c r="W968" s="43"/>
      <c r="X968" s="43"/>
      <c r="Y968" s="43"/>
      <c r="Z968" s="43"/>
      <c r="AA968" s="43"/>
      <c r="AB968" s="123"/>
      <c r="AC968" s="43"/>
    </row>
    <row r="969">
      <c r="E969" s="331"/>
      <c r="K969" s="14"/>
      <c r="L969" s="14"/>
      <c r="M969" s="43"/>
      <c r="N969" s="43"/>
      <c r="O969" s="337"/>
      <c r="P969" s="334"/>
      <c r="Q969" s="334"/>
      <c r="R969" s="123"/>
      <c r="S969" s="43"/>
      <c r="T969" s="43"/>
      <c r="U969" s="43"/>
      <c r="V969" s="44"/>
      <c r="W969" s="43"/>
      <c r="X969" s="43"/>
      <c r="Y969" s="43"/>
      <c r="Z969" s="43"/>
      <c r="AA969" s="43"/>
      <c r="AB969" s="123"/>
      <c r="AC969" s="43"/>
    </row>
    <row r="970">
      <c r="E970" s="331"/>
      <c r="K970" s="14"/>
      <c r="L970" s="14"/>
      <c r="M970" s="43"/>
      <c r="N970" s="43"/>
      <c r="O970" s="337"/>
      <c r="P970" s="334"/>
      <c r="Q970" s="334"/>
      <c r="R970" s="123"/>
      <c r="S970" s="43"/>
      <c r="T970" s="43"/>
      <c r="U970" s="43"/>
      <c r="V970" s="44"/>
      <c r="W970" s="43"/>
      <c r="X970" s="43"/>
      <c r="Y970" s="43"/>
      <c r="Z970" s="43"/>
      <c r="AA970" s="43"/>
      <c r="AB970" s="123"/>
      <c r="AC970" s="43"/>
    </row>
    <row r="971">
      <c r="E971" s="331"/>
      <c r="K971" s="14"/>
      <c r="L971" s="14"/>
      <c r="M971" s="43"/>
      <c r="N971" s="43"/>
      <c r="O971" s="337"/>
      <c r="P971" s="334"/>
      <c r="Q971" s="334"/>
      <c r="R971" s="123"/>
      <c r="S971" s="43"/>
      <c r="T971" s="43"/>
      <c r="U971" s="43"/>
      <c r="V971" s="44"/>
      <c r="W971" s="43"/>
      <c r="X971" s="43"/>
      <c r="Y971" s="43"/>
      <c r="Z971" s="43"/>
      <c r="AA971" s="43"/>
      <c r="AB971" s="123"/>
      <c r="AC971" s="43"/>
    </row>
    <row r="972">
      <c r="E972" s="331"/>
      <c r="K972" s="14"/>
      <c r="L972" s="14"/>
      <c r="M972" s="43"/>
      <c r="N972" s="43"/>
      <c r="O972" s="337"/>
      <c r="P972" s="334"/>
      <c r="Q972" s="334"/>
      <c r="R972" s="123"/>
      <c r="S972" s="43"/>
      <c r="T972" s="43"/>
      <c r="U972" s="43"/>
      <c r="V972" s="44"/>
      <c r="W972" s="43"/>
      <c r="X972" s="43"/>
      <c r="Y972" s="43"/>
      <c r="Z972" s="43"/>
      <c r="AA972" s="43"/>
      <c r="AB972" s="123"/>
      <c r="AC972" s="43"/>
    </row>
    <row r="973">
      <c r="E973" s="331"/>
      <c r="K973" s="14"/>
      <c r="L973" s="14"/>
      <c r="M973" s="43"/>
      <c r="N973" s="43"/>
      <c r="O973" s="337"/>
      <c r="P973" s="334"/>
      <c r="Q973" s="334"/>
      <c r="R973" s="123"/>
      <c r="S973" s="43"/>
      <c r="T973" s="43"/>
      <c r="U973" s="43"/>
      <c r="V973" s="44"/>
      <c r="W973" s="43"/>
      <c r="X973" s="43"/>
      <c r="Y973" s="43"/>
      <c r="Z973" s="43"/>
      <c r="AA973" s="43"/>
      <c r="AB973" s="123"/>
      <c r="AC973" s="43"/>
    </row>
    <row r="974">
      <c r="E974" s="331"/>
      <c r="K974" s="14"/>
      <c r="L974" s="14"/>
      <c r="M974" s="43"/>
      <c r="N974" s="43"/>
      <c r="O974" s="337"/>
      <c r="P974" s="334"/>
      <c r="Q974" s="334"/>
      <c r="R974" s="123"/>
      <c r="S974" s="43"/>
      <c r="T974" s="43"/>
      <c r="U974" s="43"/>
      <c r="V974" s="44"/>
      <c r="W974" s="43"/>
      <c r="X974" s="43"/>
      <c r="Y974" s="43"/>
      <c r="Z974" s="43"/>
      <c r="AA974" s="43"/>
      <c r="AB974" s="123"/>
      <c r="AC974" s="43"/>
    </row>
    <row r="975">
      <c r="E975" s="331"/>
      <c r="K975" s="14"/>
      <c r="L975" s="14"/>
      <c r="M975" s="43"/>
      <c r="N975" s="43"/>
      <c r="O975" s="337"/>
      <c r="P975" s="334"/>
      <c r="Q975" s="334"/>
      <c r="R975" s="123"/>
      <c r="S975" s="43"/>
      <c r="T975" s="43"/>
      <c r="U975" s="43"/>
      <c r="V975" s="44"/>
      <c r="W975" s="43"/>
      <c r="X975" s="43"/>
      <c r="Y975" s="43"/>
      <c r="Z975" s="43"/>
      <c r="AA975" s="43"/>
      <c r="AB975" s="123"/>
      <c r="AC975" s="43"/>
    </row>
    <row r="976">
      <c r="E976" s="331"/>
      <c r="K976" s="14"/>
      <c r="L976" s="14"/>
      <c r="M976" s="43"/>
      <c r="N976" s="43"/>
      <c r="O976" s="337"/>
      <c r="P976" s="334"/>
      <c r="Q976" s="334"/>
      <c r="R976" s="123"/>
      <c r="S976" s="43"/>
      <c r="T976" s="43"/>
      <c r="U976" s="43"/>
      <c r="V976" s="44"/>
      <c r="W976" s="43"/>
      <c r="X976" s="43"/>
      <c r="Y976" s="43"/>
      <c r="Z976" s="43"/>
      <c r="AA976" s="43"/>
      <c r="AB976" s="123"/>
      <c r="AC976" s="43"/>
    </row>
    <row r="977">
      <c r="E977" s="331"/>
      <c r="K977" s="14"/>
      <c r="L977" s="14"/>
      <c r="M977" s="43"/>
      <c r="N977" s="43"/>
      <c r="O977" s="337"/>
      <c r="P977" s="334"/>
      <c r="Q977" s="334"/>
      <c r="R977" s="123"/>
      <c r="S977" s="43"/>
      <c r="T977" s="43"/>
      <c r="U977" s="43"/>
      <c r="V977" s="44"/>
      <c r="W977" s="43"/>
      <c r="X977" s="43"/>
      <c r="Y977" s="43"/>
      <c r="Z977" s="43"/>
      <c r="AA977" s="43"/>
      <c r="AB977" s="123"/>
      <c r="AC977" s="43"/>
    </row>
    <row r="978">
      <c r="E978" s="331"/>
      <c r="K978" s="14"/>
      <c r="L978" s="14"/>
      <c r="M978" s="43"/>
      <c r="N978" s="43"/>
      <c r="O978" s="337"/>
      <c r="P978" s="334"/>
      <c r="Q978" s="334"/>
      <c r="R978" s="123"/>
      <c r="S978" s="43"/>
      <c r="T978" s="43"/>
      <c r="U978" s="43"/>
      <c r="V978" s="44"/>
      <c r="W978" s="43"/>
      <c r="X978" s="43"/>
      <c r="Y978" s="43"/>
      <c r="Z978" s="43"/>
      <c r="AA978" s="43"/>
      <c r="AB978" s="123"/>
      <c r="AC978" s="43"/>
    </row>
    <row r="979">
      <c r="E979" s="331"/>
      <c r="K979" s="14"/>
      <c r="L979" s="14"/>
      <c r="M979" s="43"/>
      <c r="N979" s="43"/>
      <c r="O979" s="337"/>
      <c r="P979" s="334"/>
      <c r="Q979" s="334"/>
      <c r="R979" s="123"/>
      <c r="S979" s="43"/>
      <c r="T979" s="43"/>
      <c r="U979" s="43"/>
      <c r="V979" s="44"/>
      <c r="W979" s="43"/>
      <c r="X979" s="43"/>
      <c r="Y979" s="43"/>
      <c r="Z979" s="43"/>
      <c r="AA979" s="43"/>
      <c r="AB979" s="123"/>
      <c r="AC979" s="43"/>
    </row>
    <row r="980">
      <c r="E980" s="331"/>
      <c r="K980" s="14"/>
      <c r="L980" s="14"/>
      <c r="M980" s="43"/>
      <c r="N980" s="43"/>
      <c r="O980" s="337"/>
      <c r="P980" s="334"/>
      <c r="Q980" s="334"/>
      <c r="R980" s="123"/>
      <c r="S980" s="43"/>
      <c r="T980" s="43"/>
      <c r="U980" s="43"/>
      <c r="V980" s="44"/>
      <c r="W980" s="43"/>
      <c r="X980" s="43"/>
      <c r="Y980" s="43"/>
      <c r="Z980" s="43"/>
      <c r="AA980" s="43"/>
      <c r="AB980" s="123"/>
      <c r="AC980" s="43"/>
    </row>
    <row r="981">
      <c r="E981" s="331"/>
      <c r="K981" s="14"/>
      <c r="L981" s="14"/>
      <c r="M981" s="43"/>
      <c r="N981" s="43"/>
      <c r="O981" s="337"/>
      <c r="P981" s="334"/>
      <c r="Q981" s="334"/>
      <c r="R981" s="123"/>
      <c r="S981" s="43"/>
      <c r="T981" s="43"/>
      <c r="U981" s="43"/>
      <c r="V981" s="44"/>
      <c r="W981" s="43"/>
      <c r="X981" s="43"/>
      <c r="Y981" s="43"/>
      <c r="Z981" s="43"/>
      <c r="AA981" s="43"/>
      <c r="AB981" s="123"/>
      <c r="AC981" s="43"/>
    </row>
    <row r="982">
      <c r="E982" s="331"/>
      <c r="K982" s="14"/>
      <c r="L982" s="14"/>
      <c r="M982" s="43"/>
      <c r="N982" s="43"/>
      <c r="O982" s="337"/>
      <c r="P982" s="334"/>
      <c r="Q982" s="334"/>
      <c r="R982" s="123"/>
      <c r="S982" s="43"/>
      <c r="T982" s="43"/>
      <c r="U982" s="43"/>
      <c r="V982" s="44"/>
      <c r="W982" s="43"/>
      <c r="X982" s="43"/>
      <c r="Y982" s="43"/>
      <c r="Z982" s="43"/>
      <c r="AA982" s="43"/>
      <c r="AB982" s="123"/>
      <c r="AC982" s="43"/>
    </row>
    <row r="983">
      <c r="E983" s="331"/>
      <c r="K983" s="14"/>
      <c r="L983" s="14"/>
      <c r="M983" s="43"/>
      <c r="N983" s="43"/>
      <c r="O983" s="337"/>
      <c r="P983" s="334"/>
      <c r="Q983" s="334"/>
      <c r="R983" s="123"/>
      <c r="S983" s="43"/>
      <c r="T983" s="43"/>
      <c r="U983" s="43"/>
      <c r="V983" s="44"/>
      <c r="W983" s="43"/>
      <c r="X983" s="43"/>
      <c r="Y983" s="43"/>
      <c r="Z983" s="43"/>
      <c r="AA983" s="43"/>
      <c r="AB983" s="123"/>
      <c r="AC983" s="43"/>
    </row>
    <row r="984">
      <c r="E984" s="331"/>
      <c r="K984" s="14"/>
      <c r="L984" s="14"/>
      <c r="M984" s="43"/>
      <c r="N984" s="43"/>
      <c r="O984" s="337"/>
      <c r="P984" s="334"/>
      <c r="Q984" s="334"/>
      <c r="R984" s="123"/>
      <c r="S984" s="43"/>
      <c r="T984" s="43"/>
      <c r="U984" s="43"/>
      <c r="V984" s="44"/>
      <c r="W984" s="43"/>
      <c r="X984" s="43"/>
      <c r="Y984" s="43"/>
      <c r="Z984" s="43"/>
      <c r="AA984" s="43"/>
      <c r="AB984" s="123"/>
      <c r="AC984" s="43"/>
    </row>
    <row r="985">
      <c r="E985" s="331"/>
      <c r="K985" s="14"/>
      <c r="L985" s="14"/>
      <c r="M985" s="43"/>
      <c r="N985" s="43"/>
      <c r="O985" s="337"/>
      <c r="P985" s="334"/>
      <c r="Q985" s="334"/>
      <c r="R985" s="123"/>
      <c r="S985" s="43"/>
      <c r="T985" s="43"/>
      <c r="U985" s="43"/>
      <c r="V985" s="44"/>
      <c r="W985" s="43"/>
      <c r="X985" s="43"/>
      <c r="Y985" s="43"/>
      <c r="Z985" s="43"/>
      <c r="AA985" s="43"/>
      <c r="AB985" s="123"/>
      <c r="AC985" s="43"/>
    </row>
    <row r="986">
      <c r="E986" s="331"/>
      <c r="K986" s="14"/>
      <c r="L986" s="14"/>
      <c r="M986" s="43"/>
      <c r="N986" s="43"/>
      <c r="O986" s="337"/>
      <c r="P986" s="334"/>
      <c r="Q986" s="334"/>
      <c r="R986" s="123"/>
      <c r="S986" s="43"/>
      <c r="T986" s="43"/>
      <c r="U986" s="43"/>
      <c r="V986" s="44"/>
      <c r="W986" s="43"/>
      <c r="X986" s="43"/>
      <c r="Y986" s="43"/>
      <c r="Z986" s="43"/>
      <c r="AA986" s="43"/>
      <c r="AB986" s="123"/>
      <c r="AC986" s="43"/>
    </row>
    <row r="987">
      <c r="E987" s="331"/>
      <c r="K987" s="14"/>
      <c r="L987" s="14"/>
      <c r="M987" s="43"/>
      <c r="N987" s="43"/>
      <c r="O987" s="337"/>
      <c r="P987" s="334"/>
      <c r="Q987" s="334"/>
      <c r="R987" s="123"/>
      <c r="S987" s="43"/>
      <c r="T987" s="43"/>
      <c r="U987" s="43"/>
      <c r="V987" s="44"/>
      <c r="W987" s="43"/>
      <c r="X987" s="43"/>
      <c r="Y987" s="43"/>
      <c r="Z987" s="43"/>
      <c r="AA987" s="43"/>
      <c r="AB987" s="123"/>
      <c r="AC987" s="43"/>
    </row>
    <row r="988">
      <c r="E988" s="331"/>
      <c r="K988" s="14"/>
      <c r="L988" s="14"/>
      <c r="M988" s="43"/>
      <c r="N988" s="43"/>
      <c r="O988" s="337"/>
      <c r="P988" s="334"/>
      <c r="Q988" s="334"/>
      <c r="R988" s="123"/>
      <c r="S988" s="43"/>
      <c r="T988" s="43"/>
      <c r="U988" s="43"/>
      <c r="V988" s="44"/>
      <c r="W988" s="43"/>
      <c r="X988" s="43"/>
      <c r="Y988" s="43"/>
      <c r="Z988" s="43"/>
      <c r="AA988" s="43"/>
      <c r="AB988" s="123"/>
      <c r="AC988" s="43"/>
    </row>
    <row r="989">
      <c r="E989" s="331"/>
      <c r="K989" s="14"/>
      <c r="L989" s="14"/>
      <c r="M989" s="43"/>
      <c r="N989" s="43"/>
      <c r="O989" s="337"/>
      <c r="P989" s="334"/>
      <c r="Q989" s="334"/>
      <c r="R989" s="123"/>
      <c r="S989" s="43"/>
      <c r="T989" s="43"/>
      <c r="U989" s="43"/>
      <c r="V989" s="44"/>
      <c r="W989" s="43"/>
      <c r="X989" s="43"/>
      <c r="Y989" s="43"/>
      <c r="Z989" s="43"/>
      <c r="AA989" s="43"/>
      <c r="AB989" s="123"/>
      <c r="AC989" s="43"/>
    </row>
    <row r="990">
      <c r="E990" s="331"/>
      <c r="K990" s="14"/>
      <c r="L990" s="14"/>
      <c r="M990" s="43"/>
      <c r="N990" s="43"/>
      <c r="O990" s="337"/>
      <c r="P990" s="334"/>
      <c r="Q990" s="334"/>
      <c r="R990" s="123"/>
      <c r="S990" s="43"/>
      <c r="T990" s="43"/>
      <c r="U990" s="43"/>
      <c r="V990" s="44"/>
      <c r="W990" s="43"/>
      <c r="X990" s="43"/>
      <c r="Y990" s="43"/>
      <c r="Z990" s="43"/>
      <c r="AA990" s="43"/>
      <c r="AB990" s="123"/>
      <c r="AC990" s="43"/>
    </row>
    <row r="991">
      <c r="E991" s="331"/>
      <c r="K991" s="14"/>
      <c r="L991" s="14"/>
      <c r="M991" s="43"/>
      <c r="N991" s="43"/>
      <c r="O991" s="337"/>
      <c r="P991" s="334"/>
      <c r="Q991" s="334"/>
      <c r="R991" s="123"/>
      <c r="S991" s="43"/>
      <c r="T991" s="43"/>
      <c r="U991" s="43"/>
      <c r="V991" s="44"/>
      <c r="W991" s="43"/>
      <c r="X991" s="43"/>
      <c r="Y991" s="43"/>
      <c r="Z991" s="43"/>
      <c r="AA991" s="43"/>
      <c r="AB991" s="123"/>
      <c r="AC991" s="43"/>
    </row>
    <row r="992">
      <c r="E992" s="331"/>
      <c r="K992" s="14"/>
      <c r="L992" s="14"/>
      <c r="M992" s="43"/>
      <c r="N992" s="43"/>
      <c r="O992" s="337"/>
      <c r="P992" s="334"/>
      <c r="Q992" s="334"/>
      <c r="R992" s="123"/>
      <c r="S992" s="43"/>
      <c r="T992" s="43"/>
      <c r="U992" s="43"/>
      <c r="V992" s="44"/>
      <c r="W992" s="43"/>
      <c r="X992" s="43"/>
      <c r="Y992" s="43"/>
      <c r="Z992" s="43"/>
      <c r="AA992" s="43"/>
      <c r="AB992" s="123"/>
      <c r="AC992" s="43"/>
    </row>
    <row r="993">
      <c r="E993" s="331"/>
      <c r="K993" s="14"/>
      <c r="L993" s="14"/>
      <c r="M993" s="43"/>
      <c r="N993" s="43"/>
      <c r="O993" s="337"/>
      <c r="P993" s="334"/>
      <c r="Q993" s="334"/>
      <c r="R993" s="123"/>
      <c r="S993" s="43"/>
      <c r="T993" s="43"/>
      <c r="U993" s="43"/>
      <c r="V993" s="44"/>
      <c r="W993" s="43"/>
      <c r="X993" s="43"/>
      <c r="Y993" s="43"/>
      <c r="Z993" s="43"/>
      <c r="AA993" s="43"/>
      <c r="AB993" s="123"/>
      <c r="AC993" s="43"/>
    </row>
    <row r="994">
      <c r="E994" s="331"/>
      <c r="K994" s="14"/>
      <c r="L994" s="14"/>
      <c r="M994" s="43"/>
      <c r="N994" s="43"/>
      <c r="O994" s="337"/>
      <c r="P994" s="334"/>
      <c r="Q994" s="334"/>
      <c r="R994" s="123"/>
      <c r="S994" s="43"/>
      <c r="T994" s="43"/>
      <c r="U994" s="43"/>
      <c r="V994" s="44"/>
      <c r="W994" s="43"/>
      <c r="X994" s="43"/>
      <c r="Y994" s="43"/>
      <c r="Z994" s="43"/>
      <c r="AA994" s="43"/>
      <c r="AB994" s="123"/>
      <c r="AC994" s="43"/>
    </row>
    <row r="995">
      <c r="E995" s="331"/>
      <c r="K995" s="14"/>
      <c r="L995" s="14"/>
      <c r="M995" s="43"/>
      <c r="N995" s="43"/>
      <c r="O995" s="337"/>
      <c r="P995" s="334"/>
      <c r="Q995" s="334"/>
      <c r="R995" s="123"/>
      <c r="S995" s="43"/>
      <c r="T995" s="43"/>
      <c r="U995" s="43"/>
      <c r="V995" s="44"/>
      <c r="W995" s="43"/>
      <c r="X995" s="43"/>
      <c r="Y995" s="43"/>
      <c r="Z995" s="43"/>
      <c r="AA995" s="43"/>
      <c r="AB995" s="123"/>
      <c r="AC995" s="43"/>
    </row>
    <row r="996">
      <c r="E996" s="331"/>
      <c r="K996" s="14"/>
      <c r="L996" s="14"/>
      <c r="M996" s="43"/>
      <c r="N996" s="43"/>
      <c r="O996" s="337"/>
      <c r="P996" s="334"/>
      <c r="Q996" s="334"/>
      <c r="R996" s="123"/>
      <c r="S996" s="43"/>
      <c r="T996" s="43"/>
      <c r="U996" s="43"/>
      <c r="V996" s="44"/>
      <c r="W996" s="43"/>
      <c r="X996" s="43"/>
      <c r="Y996" s="43"/>
      <c r="Z996" s="43"/>
      <c r="AA996" s="43"/>
      <c r="AB996" s="123"/>
      <c r="AC996" s="43"/>
    </row>
    <row r="997">
      <c r="E997" s="331"/>
      <c r="K997" s="14"/>
      <c r="L997" s="14"/>
      <c r="M997" s="43"/>
      <c r="N997" s="43"/>
      <c r="O997" s="337"/>
      <c r="P997" s="334"/>
      <c r="Q997" s="334"/>
      <c r="R997" s="123"/>
      <c r="S997" s="43"/>
      <c r="T997" s="43"/>
      <c r="U997" s="43"/>
      <c r="V997" s="44"/>
      <c r="W997" s="43"/>
      <c r="X997" s="43"/>
      <c r="Y997" s="43"/>
      <c r="Z997" s="43"/>
      <c r="AA997" s="43"/>
      <c r="AB997" s="123"/>
      <c r="AC997" s="43"/>
    </row>
    <row r="998">
      <c r="E998" s="331"/>
      <c r="K998" s="14"/>
      <c r="L998" s="14"/>
      <c r="M998" s="43"/>
      <c r="N998" s="43"/>
      <c r="O998" s="337"/>
      <c r="P998" s="334"/>
      <c r="Q998" s="334"/>
      <c r="R998" s="123"/>
      <c r="S998" s="43"/>
      <c r="T998" s="43"/>
      <c r="U998" s="43"/>
      <c r="V998" s="44"/>
      <c r="W998" s="43"/>
      <c r="X998" s="43"/>
      <c r="Y998" s="43"/>
      <c r="Z998" s="43"/>
      <c r="AA998" s="43"/>
      <c r="AB998" s="123"/>
      <c r="AC998" s="43"/>
    </row>
    <row r="999">
      <c r="E999" s="331"/>
      <c r="K999" s="14"/>
      <c r="L999" s="14"/>
      <c r="M999" s="43"/>
      <c r="N999" s="43"/>
      <c r="O999" s="337"/>
      <c r="P999" s="334"/>
      <c r="Q999" s="334"/>
      <c r="R999" s="123"/>
      <c r="S999" s="43"/>
      <c r="T999" s="43"/>
      <c r="U999" s="43"/>
      <c r="V999" s="44"/>
      <c r="W999" s="43"/>
      <c r="X999" s="43"/>
      <c r="Y999" s="43"/>
      <c r="Z999" s="43"/>
      <c r="AA999" s="43"/>
      <c r="AB999" s="123"/>
      <c r="AC999" s="43"/>
    </row>
    <row r="1000">
      <c r="E1000" s="331"/>
      <c r="K1000" s="14"/>
      <c r="L1000" s="14"/>
      <c r="M1000" s="43"/>
      <c r="N1000" s="43"/>
      <c r="O1000" s="337"/>
      <c r="P1000" s="334"/>
      <c r="Q1000" s="334"/>
      <c r="R1000" s="123"/>
      <c r="S1000" s="43"/>
      <c r="T1000" s="43"/>
      <c r="U1000" s="43"/>
      <c r="V1000" s="44"/>
      <c r="W1000" s="43"/>
      <c r="X1000" s="43"/>
      <c r="Y1000" s="43"/>
      <c r="Z1000" s="43"/>
      <c r="AA1000" s="43"/>
      <c r="AB1000" s="123"/>
      <c r="AC1000" s="43"/>
    </row>
  </sheetData>
  <autoFilter ref="$A$1:$AB$627"/>
  <dataValidations>
    <dataValidation type="list" allowBlank="1" showErrorMessage="1" sqref="O552:O646">
      <formula1>"Dr. Arif Rahman, S.Kom., M.T.,Farid Suryanto, S.Pd., M.T.,Iwan Tri Riyadi Yanto, S.Si., M.I.T., Ph.D,Imam Azhari, S.Si., M.CS,Prof. Dr. Ir. H. Imam Riadi, M.Kom,Dr. Mursid Wahyu Hananto, S.Si., M.Kom.,Sri Handayaningsih, S.T., M.T.,H. Suprihatin, S.Si., M"&amp;".Kom,Tawar, S.Si., M.Kom"</formula1>
    </dataValidation>
  </dataValidations>
  <hyperlinks>
    <hyperlink r:id="rId1" ref="R276"/>
    <hyperlink r:id="rId2" ref="R277"/>
    <hyperlink r:id="rId3" ref="R279"/>
    <hyperlink r:id="rId4" ref="R280"/>
    <hyperlink r:id="rId5" ref="R281"/>
    <hyperlink r:id="rId6" ref="R282"/>
    <hyperlink r:id="rId7" ref="R283"/>
    <hyperlink r:id="rId8" ref="R284"/>
    <hyperlink r:id="rId9" ref="R285"/>
    <hyperlink r:id="rId10" ref="R286"/>
    <hyperlink r:id="rId11" ref="R287"/>
    <hyperlink r:id="rId12" ref="R288"/>
    <hyperlink r:id="rId13" ref="G291"/>
    <hyperlink r:id="rId14" ref="R291"/>
    <hyperlink r:id="rId15" ref="R292"/>
    <hyperlink r:id="rId16" ref="R293"/>
    <hyperlink r:id="rId17" ref="R294"/>
    <hyperlink r:id="rId18" ref="R295"/>
    <hyperlink r:id="rId19" ref="R297"/>
    <hyperlink r:id="rId20" ref="R298"/>
    <hyperlink r:id="rId21" ref="G299"/>
    <hyperlink r:id="rId22" ref="R299"/>
    <hyperlink r:id="rId23" ref="G300"/>
    <hyperlink r:id="rId24" ref="R300"/>
    <hyperlink r:id="rId25" ref="R302"/>
    <hyperlink r:id="rId26" ref="R304"/>
    <hyperlink r:id="rId27" ref="R305"/>
    <hyperlink r:id="rId28" ref="R306"/>
    <hyperlink r:id="rId29" ref="R307"/>
    <hyperlink r:id="rId30" ref="R308"/>
    <hyperlink r:id="rId31" ref="R309"/>
    <hyperlink r:id="rId32" ref="R310"/>
    <hyperlink r:id="rId33" ref="R311"/>
    <hyperlink r:id="rId34" ref="R312"/>
    <hyperlink r:id="rId35" ref="R313"/>
    <hyperlink r:id="rId36" ref="J314"/>
    <hyperlink r:id="rId37" ref="R314"/>
    <hyperlink r:id="rId38" ref="R315"/>
    <hyperlink r:id="rId39" ref="R316"/>
    <hyperlink r:id="rId40" ref="R317"/>
    <hyperlink r:id="rId41" ref="R318"/>
    <hyperlink r:id="rId42" ref="R319"/>
    <hyperlink r:id="rId43" ref="R320"/>
    <hyperlink r:id="rId44" ref="R321"/>
    <hyperlink r:id="rId45" ref="R322"/>
    <hyperlink r:id="rId46" ref="R325"/>
    <hyperlink r:id="rId47" ref="G326"/>
    <hyperlink r:id="rId48" ref="R327"/>
    <hyperlink r:id="rId49" ref="R328"/>
    <hyperlink r:id="rId50" ref="R329"/>
    <hyperlink r:id="rId51" ref="G330"/>
    <hyperlink r:id="rId52" ref="R330"/>
    <hyperlink r:id="rId53" ref="R331"/>
    <hyperlink r:id="rId54" ref="G332"/>
    <hyperlink r:id="rId55" ref="R332"/>
    <hyperlink r:id="rId56" ref="R333"/>
    <hyperlink r:id="rId57" ref="R334"/>
    <hyperlink r:id="rId58" ref="R335"/>
    <hyperlink r:id="rId59" ref="R336"/>
    <hyperlink r:id="rId60" ref="R337"/>
    <hyperlink r:id="rId61" ref="R338"/>
    <hyperlink r:id="rId62" ref="R339"/>
    <hyperlink r:id="rId63" ref="R340"/>
    <hyperlink r:id="rId64" ref="R341"/>
    <hyperlink r:id="rId65" ref="G342"/>
    <hyperlink r:id="rId66" ref="R342"/>
    <hyperlink r:id="rId67" ref="R343"/>
    <hyperlink r:id="rId68" ref="G344"/>
    <hyperlink r:id="rId69" ref="R345"/>
    <hyperlink r:id="rId70" ref="G346"/>
    <hyperlink r:id="rId71" ref="R347"/>
    <hyperlink r:id="rId72" ref="R348"/>
    <hyperlink r:id="rId73" ref="J349"/>
    <hyperlink r:id="rId74" ref="R349"/>
    <hyperlink r:id="rId75" ref="R350"/>
    <hyperlink r:id="rId76" ref="R351"/>
    <hyperlink r:id="rId77" ref="R352"/>
    <hyperlink r:id="rId78" ref="G353"/>
    <hyperlink r:id="rId79" ref="R353"/>
    <hyperlink r:id="rId80" ref="G354"/>
    <hyperlink r:id="rId81" ref="R354"/>
    <hyperlink r:id="rId82" ref="R355"/>
    <hyperlink r:id="rId83" ref="R356"/>
    <hyperlink r:id="rId84" ref="R357"/>
    <hyperlink r:id="rId85" ref="R358"/>
    <hyperlink r:id="rId86" ref="R360"/>
    <hyperlink r:id="rId87" ref="R361"/>
    <hyperlink r:id="rId88" ref="R364"/>
    <hyperlink r:id="rId89" ref="R365"/>
    <hyperlink r:id="rId90" ref="R366"/>
    <hyperlink r:id="rId91" ref="I367"/>
    <hyperlink r:id="rId92" ref="J367"/>
    <hyperlink r:id="rId93" ref="R367"/>
    <hyperlink r:id="rId94" ref="I368"/>
    <hyperlink r:id="rId95" ref="J368"/>
    <hyperlink r:id="rId96" ref="R368"/>
    <hyperlink r:id="rId97" ref="I369"/>
    <hyperlink r:id="rId98" ref="J369"/>
    <hyperlink r:id="rId99" ref="R369"/>
    <hyperlink r:id="rId100" ref="R370"/>
    <hyperlink r:id="rId101" ref="R371"/>
    <hyperlink r:id="rId102" ref="R372"/>
    <hyperlink r:id="rId103" ref="R374"/>
    <hyperlink r:id="rId104" ref="R377"/>
    <hyperlink r:id="rId105" ref="R378"/>
    <hyperlink r:id="rId106" ref="R380"/>
    <hyperlink r:id="rId107" ref="R382"/>
    <hyperlink r:id="rId108" ref="R383"/>
    <hyperlink r:id="rId109" ref="R384"/>
    <hyperlink r:id="rId110" ref="R385"/>
    <hyperlink r:id="rId111" ref="R386"/>
    <hyperlink r:id="rId112" ref="R388"/>
    <hyperlink r:id="rId113" ref="R389"/>
    <hyperlink r:id="rId114" ref="R390"/>
    <hyperlink r:id="rId115" ref="R393"/>
    <hyperlink r:id="rId116" ref="R394"/>
    <hyperlink r:id="rId117" ref="R395"/>
    <hyperlink r:id="rId118" ref="R397"/>
    <hyperlink r:id="rId119" ref="R398"/>
    <hyperlink r:id="rId120" ref="R399"/>
    <hyperlink r:id="rId121" ref="R400"/>
    <hyperlink r:id="rId122" ref="R401"/>
    <hyperlink r:id="rId123" ref="R403"/>
    <hyperlink r:id="rId124" ref="R404"/>
    <hyperlink r:id="rId125" ref="R406"/>
    <hyperlink r:id="rId126" ref="R408"/>
    <hyperlink r:id="rId127" ref="R410"/>
    <hyperlink r:id="rId128" ref="R411"/>
    <hyperlink r:id="rId129" ref="R412"/>
    <hyperlink r:id="rId130" ref="R413"/>
    <hyperlink r:id="rId131" ref="R414"/>
    <hyperlink r:id="rId132" ref="R415"/>
    <hyperlink r:id="rId133" ref="R416"/>
    <hyperlink r:id="rId134" ref="R417"/>
    <hyperlink r:id="rId135" ref="R418"/>
    <hyperlink r:id="rId136" ref="R419"/>
    <hyperlink r:id="rId137" ref="R420"/>
    <hyperlink r:id="rId138" ref="R421"/>
    <hyperlink r:id="rId139" ref="R422"/>
    <hyperlink r:id="rId140" ref="R423"/>
    <hyperlink r:id="rId141" ref="R424"/>
    <hyperlink r:id="rId142" ref="R425"/>
    <hyperlink r:id="rId143" ref="R426"/>
    <hyperlink r:id="rId144" ref="R427"/>
    <hyperlink r:id="rId145" ref="R428"/>
    <hyperlink r:id="rId146" ref="R429"/>
    <hyperlink r:id="rId147" ref="R430"/>
    <hyperlink r:id="rId148" ref="R431"/>
    <hyperlink r:id="rId149" ref="R432"/>
    <hyperlink r:id="rId150" ref="R433"/>
    <hyperlink r:id="rId151" ref="R434"/>
    <hyperlink r:id="rId152" ref="R435"/>
    <hyperlink r:id="rId153" ref="R436"/>
    <hyperlink r:id="rId154" ref="R437"/>
    <hyperlink r:id="rId155" ref="R438"/>
    <hyperlink r:id="rId156" ref="R439"/>
    <hyperlink r:id="rId157" ref="R440"/>
    <hyperlink r:id="rId158" ref="R441"/>
    <hyperlink r:id="rId159" ref="R442"/>
    <hyperlink r:id="rId160" ref="R443"/>
    <hyperlink r:id="rId161" ref="R444"/>
    <hyperlink r:id="rId162" ref="R445"/>
    <hyperlink r:id="rId163" ref="R446"/>
    <hyperlink r:id="rId164" ref="R447"/>
    <hyperlink r:id="rId165" ref="R448"/>
    <hyperlink r:id="rId166" ref="R449"/>
    <hyperlink r:id="rId167" ref="R450"/>
    <hyperlink r:id="rId168" ref="R451"/>
    <hyperlink r:id="rId169" ref="R452"/>
    <hyperlink r:id="rId170" ref="R453"/>
    <hyperlink r:id="rId171" ref="R454"/>
    <hyperlink r:id="rId172" ref="R455"/>
    <hyperlink r:id="rId173" ref="R456"/>
    <hyperlink r:id="rId174" ref="R457"/>
    <hyperlink r:id="rId175" ref="R458"/>
    <hyperlink r:id="rId176" ref="R459"/>
    <hyperlink r:id="rId177" ref="R460"/>
    <hyperlink r:id="rId178" ref="R461"/>
    <hyperlink r:id="rId179" ref="R462"/>
    <hyperlink r:id="rId180" ref="R463"/>
    <hyperlink r:id="rId181" ref="R464"/>
    <hyperlink r:id="rId182" ref="R465"/>
    <hyperlink r:id="rId183" ref="R466"/>
    <hyperlink r:id="rId184" ref="R467"/>
    <hyperlink r:id="rId185" ref="R468"/>
    <hyperlink r:id="rId186" ref="R469"/>
    <hyperlink r:id="rId187" ref="R470"/>
    <hyperlink r:id="rId188" ref="R471"/>
    <hyperlink r:id="rId189" ref="R473"/>
    <hyperlink r:id="rId190" ref="R474"/>
    <hyperlink r:id="rId191" ref="R475"/>
    <hyperlink r:id="rId192" ref="R476"/>
    <hyperlink r:id="rId193" ref="R477"/>
    <hyperlink r:id="rId194" ref="R478"/>
    <hyperlink r:id="rId195" ref="R479"/>
    <hyperlink r:id="rId196" ref="R480"/>
    <hyperlink r:id="rId197" ref="R481"/>
    <hyperlink r:id="rId198" ref="R482"/>
    <hyperlink r:id="rId199" ref="R483"/>
    <hyperlink r:id="rId200" ref="R484"/>
    <hyperlink r:id="rId201" ref="R485"/>
    <hyperlink r:id="rId202" ref="R486"/>
    <hyperlink r:id="rId203" ref="R487"/>
    <hyperlink r:id="rId204" ref="R488"/>
    <hyperlink r:id="rId205" ref="R489"/>
    <hyperlink r:id="rId206" ref="R490"/>
    <hyperlink r:id="rId207" ref="R491"/>
    <hyperlink r:id="rId208" ref="R492"/>
    <hyperlink r:id="rId209" ref="R493"/>
    <hyperlink r:id="rId210" ref="R494"/>
    <hyperlink r:id="rId211" ref="R495"/>
    <hyperlink r:id="rId212" ref="R496"/>
    <hyperlink r:id="rId213" ref="R497"/>
    <hyperlink r:id="rId214" ref="R501"/>
    <hyperlink r:id="rId215" ref="R502"/>
    <hyperlink r:id="rId216" ref="R503"/>
    <hyperlink r:id="rId217" ref="R504"/>
    <hyperlink r:id="rId218" ref="R505"/>
    <hyperlink r:id="rId219" ref="R507"/>
  </hyperlinks>
  <drawing r:id="rId220"/>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4"/>
      <c r="B1" s="338" t="s">
        <v>1</v>
      </c>
      <c r="C1" s="16" t="s">
        <v>2</v>
      </c>
      <c r="D1" s="16" t="s">
        <v>3</v>
      </c>
      <c r="E1" s="16" t="s">
        <v>4</v>
      </c>
      <c r="F1" s="16" t="s">
        <v>5</v>
      </c>
      <c r="G1" s="16" t="s">
        <v>6</v>
      </c>
      <c r="H1" s="16" t="s">
        <v>2940</v>
      </c>
      <c r="I1" s="16" t="s">
        <v>2941</v>
      </c>
      <c r="J1" s="16" t="s">
        <v>7</v>
      </c>
      <c r="K1" s="16" t="s">
        <v>8</v>
      </c>
      <c r="L1" s="16" t="s">
        <v>2942</v>
      </c>
      <c r="M1" s="16" t="s">
        <v>2943</v>
      </c>
      <c r="N1" s="16" t="s">
        <v>2944</v>
      </c>
      <c r="O1" s="16" t="s">
        <v>2945</v>
      </c>
      <c r="P1" s="16" t="s">
        <v>2946</v>
      </c>
      <c r="Q1" s="16"/>
      <c r="R1" s="16" t="s">
        <v>2947</v>
      </c>
      <c r="S1" s="16" t="s">
        <v>2948</v>
      </c>
      <c r="T1" s="16" t="s">
        <v>2949</v>
      </c>
      <c r="U1" s="16" t="s">
        <v>2950</v>
      </c>
      <c r="V1" s="16" t="s">
        <v>2951</v>
      </c>
      <c r="W1" s="16" t="s">
        <v>2952</v>
      </c>
      <c r="X1" s="16" t="s">
        <v>2953</v>
      </c>
      <c r="Y1" s="339" t="s">
        <v>2954</v>
      </c>
      <c r="Z1" s="16"/>
      <c r="AA1" s="54"/>
      <c r="AB1" s="16" t="s">
        <v>2955</v>
      </c>
      <c r="AC1" s="340" t="s">
        <v>16</v>
      </c>
      <c r="AD1" s="340" t="s">
        <v>2956</v>
      </c>
      <c r="AE1" s="340" t="s">
        <v>2957</v>
      </c>
      <c r="AF1" s="340" t="s">
        <v>17</v>
      </c>
      <c r="AG1" s="340" t="s">
        <v>18</v>
      </c>
      <c r="AH1" s="16" t="s">
        <v>19</v>
      </c>
      <c r="AI1" s="54"/>
      <c r="AJ1" s="54"/>
      <c r="AK1" s="54"/>
      <c r="AL1" s="54"/>
      <c r="AM1" s="54"/>
      <c r="AN1" s="54"/>
      <c r="AO1" s="54"/>
      <c r="AP1" s="54"/>
      <c r="AQ1" s="54"/>
      <c r="AR1" s="54"/>
      <c r="AS1" s="54"/>
      <c r="AT1" s="54"/>
    </row>
    <row r="2">
      <c r="A2" s="54"/>
      <c r="B2" s="54" t="s">
        <v>1</v>
      </c>
      <c r="C2" s="54" t="s">
        <v>2</v>
      </c>
      <c r="D2" s="54" t="s">
        <v>3</v>
      </c>
      <c r="E2" s="54" t="s">
        <v>4</v>
      </c>
      <c r="F2" s="54" t="s">
        <v>5</v>
      </c>
      <c r="G2" s="54" t="s">
        <v>6</v>
      </c>
      <c r="H2" s="16" t="s">
        <v>2940</v>
      </c>
      <c r="I2" s="16" t="s">
        <v>2941</v>
      </c>
      <c r="J2" s="54" t="s">
        <v>7</v>
      </c>
      <c r="K2" s="54" t="s">
        <v>8</v>
      </c>
      <c r="L2" s="54" t="s">
        <v>2943</v>
      </c>
      <c r="M2" s="54" t="s">
        <v>2944</v>
      </c>
      <c r="N2" s="54" t="s">
        <v>2945</v>
      </c>
      <c r="O2" s="54" t="s">
        <v>2946</v>
      </c>
      <c r="P2" s="54" t="s">
        <v>2958</v>
      </c>
      <c r="Q2" s="54"/>
      <c r="R2" s="54" t="s">
        <v>2959</v>
      </c>
      <c r="S2" s="54" t="s">
        <v>2960</v>
      </c>
      <c r="T2" s="54" t="s">
        <v>11</v>
      </c>
      <c r="U2" s="54"/>
      <c r="V2" s="54"/>
      <c r="W2" s="54"/>
      <c r="X2" s="54"/>
      <c r="Y2" s="341" t="s">
        <v>2954</v>
      </c>
      <c r="Z2" s="54"/>
      <c r="AA2" s="54"/>
      <c r="AB2" s="341" t="s">
        <v>316</v>
      </c>
      <c r="AC2" s="54"/>
      <c r="AD2" s="54"/>
      <c r="AE2" s="54"/>
      <c r="AF2" s="54"/>
      <c r="AG2" s="54"/>
      <c r="AH2" s="54"/>
      <c r="AI2" s="54"/>
      <c r="AJ2" s="54"/>
      <c r="AK2" s="54"/>
      <c r="AL2" s="54"/>
      <c r="AM2" s="54"/>
      <c r="AN2" s="54"/>
      <c r="AO2" s="54"/>
      <c r="AP2" s="54"/>
      <c r="AQ2" s="54"/>
      <c r="AR2" s="54"/>
      <c r="AS2" s="54"/>
      <c r="AT2" s="54"/>
    </row>
    <row r="3">
      <c r="A3" s="342">
        <v>2015.0</v>
      </c>
      <c r="B3" s="343">
        <v>43959.53868618056</v>
      </c>
      <c r="C3" s="32" t="s">
        <v>2961</v>
      </c>
      <c r="D3" s="342">
        <v>1.500016053E9</v>
      </c>
      <c r="E3" s="32" t="s">
        <v>2962</v>
      </c>
      <c r="F3" s="344" t="s">
        <v>2963</v>
      </c>
      <c r="G3" s="32" t="s">
        <v>2964</v>
      </c>
      <c r="H3" s="32"/>
      <c r="I3" s="32"/>
      <c r="J3" s="32" t="s">
        <v>26</v>
      </c>
      <c r="K3" s="32" t="s">
        <v>183</v>
      </c>
      <c r="L3" s="345"/>
      <c r="M3" s="345"/>
      <c r="N3" s="345"/>
      <c r="O3" s="345"/>
      <c r="P3" s="345"/>
      <c r="Q3" s="32"/>
      <c r="R3" s="32"/>
      <c r="S3" s="32" t="s">
        <v>40</v>
      </c>
      <c r="T3" s="342">
        <v>43985.0</v>
      </c>
      <c r="U3" s="32" t="s">
        <v>55</v>
      </c>
      <c r="V3" s="32"/>
      <c r="W3" s="32"/>
      <c r="X3" s="32"/>
      <c r="Y3" s="346"/>
      <c r="Z3" s="32"/>
      <c r="AA3" s="32"/>
      <c r="AB3" s="341" t="s">
        <v>316</v>
      </c>
      <c r="AC3" s="32"/>
      <c r="AD3" s="32"/>
      <c r="AE3" s="32"/>
      <c r="AF3" s="32"/>
      <c r="AG3" s="32"/>
      <c r="AH3" s="32"/>
      <c r="AI3" s="32"/>
      <c r="AJ3" s="32"/>
      <c r="AK3" s="32"/>
      <c r="AL3" s="32"/>
      <c r="AM3" s="32"/>
      <c r="AN3" s="32"/>
      <c r="AO3" s="32"/>
      <c r="AP3" s="32"/>
      <c r="AQ3" s="32"/>
      <c r="AR3" s="32"/>
      <c r="AS3" s="32"/>
      <c r="AT3" s="32"/>
    </row>
    <row r="4">
      <c r="A4" s="342">
        <v>2014.0</v>
      </c>
      <c r="B4" s="343">
        <v>43962.653383321755</v>
      </c>
      <c r="C4" s="32" t="s">
        <v>2965</v>
      </c>
      <c r="D4" s="342">
        <v>1.400016013E9</v>
      </c>
      <c r="E4" s="32" t="s">
        <v>2966</v>
      </c>
      <c r="F4" s="344" t="s">
        <v>2967</v>
      </c>
      <c r="G4" s="32" t="s">
        <v>2968</v>
      </c>
      <c r="H4" s="32"/>
      <c r="I4" s="32"/>
      <c r="J4" s="32" t="s">
        <v>26</v>
      </c>
      <c r="K4" s="32" t="s">
        <v>230</v>
      </c>
      <c r="L4" s="345"/>
      <c r="M4" s="345"/>
      <c r="N4" s="345"/>
      <c r="O4" s="345"/>
      <c r="P4" s="345"/>
      <c r="Q4" s="32"/>
      <c r="R4" s="32"/>
      <c r="S4" s="32" t="s">
        <v>2969</v>
      </c>
      <c r="T4" s="32" t="s">
        <v>250</v>
      </c>
      <c r="U4" s="32" t="s">
        <v>178</v>
      </c>
      <c r="V4" s="32"/>
      <c r="W4" s="32"/>
      <c r="X4" s="32"/>
      <c r="Y4" s="346"/>
      <c r="Z4" s="32"/>
      <c r="AA4" s="32"/>
      <c r="AB4" s="341" t="s">
        <v>316</v>
      </c>
      <c r="AC4" s="32"/>
      <c r="AD4" s="32"/>
      <c r="AE4" s="32"/>
      <c r="AF4" s="32"/>
      <c r="AG4" s="32"/>
      <c r="AH4" s="32"/>
      <c r="AI4" s="32"/>
      <c r="AJ4" s="32"/>
      <c r="AK4" s="32"/>
      <c r="AL4" s="32"/>
      <c r="AM4" s="32"/>
      <c r="AN4" s="32"/>
      <c r="AO4" s="32"/>
      <c r="AP4" s="32"/>
      <c r="AQ4" s="32"/>
      <c r="AR4" s="32"/>
      <c r="AS4" s="32"/>
      <c r="AT4" s="32"/>
    </row>
    <row r="5">
      <c r="A5" s="342">
        <v>2015.0</v>
      </c>
      <c r="B5" s="343">
        <v>43985.93303900463</v>
      </c>
      <c r="C5" s="32" t="s">
        <v>2970</v>
      </c>
      <c r="D5" s="342">
        <v>1.50001601E9</v>
      </c>
      <c r="E5" s="32" t="s">
        <v>2971</v>
      </c>
      <c r="F5" s="344" t="s">
        <v>2972</v>
      </c>
      <c r="G5" s="32" t="s">
        <v>2973</v>
      </c>
      <c r="H5" s="32"/>
      <c r="I5" s="32"/>
      <c r="J5" s="32" t="s">
        <v>26</v>
      </c>
      <c r="K5" s="32" t="s">
        <v>183</v>
      </c>
      <c r="L5" s="345"/>
      <c r="M5" s="345"/>
      <c r="N5" s="345"/>
      <c r="O5" s="345"/>
      <c r="P5" s="345"/>
      <c r="Q5" s="32"/>
      <c r="R5" s="32"/>
      <c r="S5" s="32" t="s">
        <v>2974</v>
      </c>
      <c r="T5" s="32" t="s">
        <v>2975</v>
      </c>
      <c r="U5" s="32"/>
      <c r="V5" s="32"/>
      <c r="W5" s="32"/>
      <c r="X5" s="32"/>
      <c r="Y5" s="346"/>
      <c r="Z5" s="32"/>
      <c r="AA5" s="32"/>
      <c r="AB5" s="341" t="s">
        <v>316</v>
      </c>
      <c r="AC5" s="32"/>
      <c r="AD5" s="32"/>
      <c r="AE5" s="32"/>
      <c r="AF5" s="32"/>
      <c r="AG5" s="32"/>
      <c r="AH5" s="32"/>
      <c r="AI5" s="32"/>
      <c r="AJ5" s="32"/>
      <c r="AK5" s="32"/>
      <c r="AL5" s="32"/>
      <c r="AM5" s="32"/>
      <c r="AN5" s="32"/>
      <c r="AO5" s="32"/>
      <c r="AP5" s="32"/>
      <c r="AQ5" s="32"/>
      <c r="AR5" s="32"/>
      <c r="AS5" s="32"/>
      <c r="AT5" s="32"/>
    </row>
    <row r="6">
      <c r="A6" s="342">
        <v>2013.0</v>
      </c>
      <c r="B6" s="343">
        <v>44025.36294273148</v>
      </c>
      <c r="C6" s="32" t="s">
        <v>2976</v>
      </c>
      <c r="D6" s="342">
        <v>1.300016039E9</v>
      </c>
      <c r="E6" s="32" t="s">
        <v>2977</v>
      </c>
      <c r="F6" s="344" t="s">
        <v>2978</v>
      </c>
      <c r="G6" s="32" t="s">
        <v>2979</v>
      </c>
      <c r="H6" s="32"/>
      <c r="I6" s="32"/>
      <c r="J6" s="32" t="s">
        <v>26</v>
      </c>
      <c r="K6" s="32" t="s">
        <v>241</v>
      </c>
      <c r="L6" s="345"/>
      <c r="M6" s="345"/>
      <c r="N6" s="345"/>
      <c r="O6" s="345"/>
      <c r="P6" s="345"/>
      <c r="Q6" s="32"/>
      <c r="R6" s="32"/>
      <c r="S6" s="32" t="s">
        <v>2969</v>
      </c>
      <c r="T6" s="32" t="s">
        <v>173</v>
      </c>
      <c r="U6" s="342">
        <v>44174.0</v>
      </c>
      <c r="V6" s="32"/>
      <c r="W6" s="32"/>
      <c r="X6" s="32"/>
      <c r="Y6" s="346"/>
      <c r="Z6" s="32"/>
      <c r="AA6" s="32"/>
      <c r="AB6" s="341" t="s">
        <v>316</v>
      </c>
      <c r="AC6" s="32"/>
      <c r="AD6" s="32"/>
      <c r="AE6" s="32"/>
      <c r="AF6" s="32"/>
      <c r="AG6" s="32"/>
      <c r="AH6" s="32"/>
      <c r="AI6" s="32"/>
      <c r="AJ6" s="32"/>
      <c r="AK6" s="32"/>
      <c r="AL6" s="32"/>
      <c r="AM6" s="32"/>
      <c r="AN6" s="32"/>
      <c r="AO6" s="32"/>
      <c r="AP6" s="32"/>
      <c r="AQ6" s="32"/>
      <c r="AR6" s="32"/>
      <c r="AS6" s="32"/>
      <c r="AT6" s="32"/>
    </row>
    <row r="7">
      <c r="A7" s="342">
        <v>2015.0</v>
      </c>
      <c r="B7" s="343">
        <v>44048.49398746528</v>
      </c>
      <c r="C7" s="32" t="s">
        <v>2980</v>
      </c>
      <c r="D7" s="342">
        <v>1.500016002E9</v>
      </c>
      <c r="E7" s="32" t="s">
        <v>2981</v>
      </c>
      <c r="F7" s="32" t="s">
        <v>2982</v>
      </c>
      <c r="G7" s="32" t="s">
        <v>2983</v>
      </c>
      <c r="H7" s="32"/>
      <c r="I7" s="32"/>
      <c r="J7" s="32" t="s">
        <v>26</v>
      </c>
      <c r="K7" s="32" t="s">
        <v>2379</v>
      </c>
      <c r="L7" s="345"/>
      <c r="M7" s="345"/>
      <c r="N7" s="345"/>
      <c r="O7" s="345"/>
      <c r="P7" s="345"/>
      <c r="Q7" s="32"/>
      <c r="R7" s="345" t="s">
        <v>2984</v>
      </c>
      <c r="S7" s="32" t="s">
        <v>72</v>
      </c>
      <c r="T7" s="32" t="s">
        <v>250</v>
      </c>
      <c r="U7" s="342">
        <v>44174.0</v>
      </c>
      <c r="V7" s="32"/>
      <c r="W7" s="32"/>
      <c r="X7" s="32"/>
      <c r="Y7" s="346"/>
      <c r="Z7" s="32"/>
      <c r="AA7" s="32"/>
      <c r="AB7" s="341" t="s">
        <v>316</v>
      </c>
      <c r="AC7" s="32"/>
      <c r="AD7" s="32"/>
      <c r="AE7" s="32"/>
      <c r="AF7" s="32"/>
      <c r="AG7" s="32"/>
      <c r="AH7" s="32"/>
      <c r="AI7" s="32"/>
      <c r="AJ7" s="32"/>
      <c r="AK7" s="32"/>
      <c r="AL7" s="32"/>
      <c r="AM7" s="32"/>
      <c r="AN7" s="32"/>
      <c r="AO7" s="32"/>
      <c r="AP7" s="32"/>
      <c r="AQ7" s="32"/>
      <c r="AR7" s="32"/>
      <c r="AS7" s="32"/>
      <c r="AT7" s="32"/>
    </row>
    <row r="8">
      <c r="A8" s="342">
        <v>2014.0</v>
      </c>
      <c r="B8" s="343">
        <v>44055.65632978009</v>
      </c>
      <c r="C8" s="32" t="s">
        <v>2985</v>
      </c>
      <c r="D8" s="342">
        <v>1.40001604E9</v>
      </c>
      <c r="E8" s="32" t="s">
        <v>2986</v>
      </c>
      <c r="F8" s="344" t="s">
        <v>2987</v>
      </c>
      <c r="G8" s="32" t="s">
        <v>2988</v>
      </c>
      <c r="H8" s="32"/>
      <c r="I8" s="32"/>
      <c r="J8" s="32" t="s">
        <v>26</v>
      </c>
      <c r="K8" s="32" t="s">
        <v>230</v>
      </c>
      <c r="L8" s="345"/>
      <c r="M8" s="345"/>
      <c r="N8" s="345"/>
      <c r="O8" s="345"/>
      <c r="P8" s="345"/>
      <c r="Q8" s="32"/>
      <c r="R8" s="345" t="s">
        <v>2989</v>
      </c>
      <c r="S8" s="32" t="s">
        <v>97</v>
      </c>
      <c r="T8" s="32" t="s">
        <v>2990</v>
      </c>
      <c r="U8" s="32"/>
      <c r="V8" s="32"/>
      <c r="W8" s="32"/>
      <c r="X8" s="32"/>
      <c r="Y8" s="346"/>
      <c r="Z8" s="32"/>
      <c r="AA8" s="32"/>
      <c r="AB8" s="341" t="s">
        <v>316</v>
      </c>
      <c r="AC8" s="32"/>
      <c r="AD8" s="32"/>
      <c r="AE8" s="32"/>
      <c r="AF8" s="32"/>
      <c r="AG8" s="32"/>
      <c r="AH8" s="32"/>
      <c r="AI8" s="32"/>
      <c r="AJ8" s="32"/>
      <c r="AK8" s="32"/>
      <c r="AL8" s="32"/>
      <c r="AM8" s="32"/>
      <c r="AN8" s="32"/>
      <c r="AO8" s="32"/>
      <c r="AP8" s="32"/>
      <c r="AQ8" s="32"/>
      <c r="AR8" s="32"/>
      <c r="AS8" s="32"/>
      <c r="AT8" s="32"/>
    </row>
    <row r="9">
      <c r="A9" s="93">
        <v>2016.0</v>
      </c>
      <c r="B9" s="343">
        <v>44067.58196055556</v>
      </c>
      <c r="C9" s="32" t="s">
        <v>159</v>
      </c>
      <c r="D9" s="342">
        <v>1.600016089E9</v>
      </c>
      <c r="E9" s="32" t="s">
        <v>160</v>
      </c>
      <c r="F9" s="344" t="s">
        <v>161</v>
      </c>
      <c r="G9" s="32" t="s">
        <v>2991</v>
      </c>
      <c r="H9" s="32"/>
      <c r="I9" s="32"/>
      <c r="J9" s="32" t="s">
        <v>26</v>
      </c>
      <c r="K9" s="32" t="s">
        <v>1900</v>
      </c>
      <c r="L9" s="345"/>
      <c r="M9" s="345"/>
      <c r="N9" s="345"/>
      <c r="O9" s="345"/>
      <c r="P9" s="345"/>
      <c r="Q9" s="32"/>
      <c r="R9" s="345" t="s">
        <v>2992</v>
      </c>
      <c r="S9" s="32" t="s">
        <v>72</v>
      </c>
      <c r="T9" s="32" t="s">
        <v>2993</v>
      </c>
      <c r="U9" s="32"/>
      <c r="V9" s="32"/>
      <c r="W9" s="32"/>
      <c r="X9" s="32"/>
      <c r="Y9" s="346"/>
      <c r="Z9" s="32"/>
      <c r="AA9" s="32"/>
      <c r="AB9" s="341" t="s">
        <v>316</v>
      </c>
      <c r="AC9" s="32"/>
      <c r="AD9" s="32"/>
      <c r="AE9" s="32"/>
      <c r="AF9" s="32"/>
      <c r="AG9" s="32"/>
      <c r="AH9" s="32"/>
      <c r="AI9" s="32"/>
      <c r="AJ9" s="32"/>
      <c r="AK9" s="32"/>
      <c r="AL9" s="32"/>
      <c r="AM9" s="32"/>
      <c r="AN9" s="32"/>
      <c r="AO9" s="32"/>
      <c r="AP9" s="32"/>
      <c r="AQ9" s="32"/>
      <c r="AR9" s="32"/>
      <c r="AS9" s="32"/>
      <c r="AT9" s="32"/>
    </row>
    <row r="10">
      <c r="A10" s="93">
        <v>2016.0</v>
      </c>
      <c r="B10" s="343">
        <v>44069.434707650464</v>
      </c>
      <c r="C10" s="32" t="s">
        <v>137</v>
      </c>
      <c r="D10" s="342">
        <v>1.600016086E9</v>
      </c>
      <c r="E10" s="32" t="s">
        <v>138</v>
      </c>
      <c r="F10" s="344" t="s">
        <v>139</v>
      </c>
      <c r="G10" s="32" t="s">
        <v>2994</v>
      </c>
      <c r="H10" s="32"/>
      <c r="I10" s="32"/>
      <c r="J10" s="32" t="s">
        <v>26</v>
      </c>
      <c r="K10" s="32" t="s">
        <v>1900</v>
      </c>
      <c r="L10" s="345"/>
      <c r="M10" s="345"/>
      <c r="N10" s="345"/>
      <c r="O10" s="345"/>
      <c r="P10" s="345"/>
      <c r="Q10" s="32"/>
      <c r="R10" s="345" t="s">
        <v>2995</v>
      </c>
      <c r="S10" s="32" t="s">
        <v>123</v>
      </c>
      <c r="T10" s="32" t="s">
        <v>2996</v>
      </c>
      <c r="U10" s="32"/>
      <c r="V10" s="32"/>
      <c r="W10" s="32"/>
      <c r="X10" s="32"/>
      <c r="Y10" s="346"/>
      <c r="Z10" s="32"/>
      <c r="AA10" s="32"/>
      <c r="AB10" s="341" t="s">
        <v>316</v>
      </c>
      <c r="AC10" s="32"/>
      <c r="AD10" s="32"/>
      <c r="AE10" s="32"/>
      <c r="AF10" s="32"/>
      <c r="AG10" s="32"/>
      <c r="AH10" s="32"/>
      <c r="AI10" s="32"/>
      <c r="AJ10" s="32"/>
      <c r="AK10" s="32"/>
      <c r="AL10" s="32"/>
      <c r="AM10" s="32"/>
      <c r="AN10" s="32"/>
      <c r="AO10" s="32"/>
      <c r="AP10" s="32"/>
      <c r="AQ10" s="32"/>
      <c r="AR10" s="32"/>
      <c r="AS10" s="32"/>
      <c r="AT10" s="32"/>
    </row>
    <row r="11">
      <c r="A11" s="93">
        <v>2016.0</v>
      </c>
      <c r="B11" s="343">
        <v>44073.49714033565</v>
      </c>
      <c r="C11" s="32" t="s">
        <v>2997</v>
      </c>
      <c r="D11" s="342">
        <v>1.600016039E9</v>
      </c>
      <c r="E11" s="32" t="s">
        <v>57</v>
      </c>
      <c r="F11" s="344" t="s">
        <v>58</v>
      </c>
      <c r="G11" s="32" t="s">
        <v>2998</v>
      </c>
      <c r="H11" s="32"/>
      <c r="I11" s="32"/>
      <c r="J11" s="32" t="s">
        <v>26</v>
      </c>
      <c r="K11" s="32" t="s">
        <v>2379</v>
      </c>
      <c r="L11" s="345"/>
      <c r="M11" s="345"/>
      <c r="N11" s="345"/>
      <c r="O11" s="345"/>
      <c r="P11" s="345"/>
      <c r="Q11" s="32"/>
      <c r="R11" s="32"/>
      <c r="S11" s="32" t="s">
        <v>2969</v>
      </c>
      <c r="T11" s="32" t="s">
        <v>2990</v>
      </c>
      <c r="U11" s="32"/>
      <c r="V11" s="32"/>
      <c r="W11" s="32"/>
      <c r="X11" s="32"/>
      <c r="Y11" s="346"/>
      <c r="Z11" s="32"/>
      <c r="AA11" s="32"/>
      <c r="AB11" s="341" t="s">
        <v>316</v>
      </c>
      <c r="AC11" s="32"/>
      <c r="AD11" s="32"/>
      <c r="AE11" s="32"/>
      <c r="AF11" s="32"/>
      <c r="AG11" s="32"/>
      <c r="AH11" s="32"/>
      <c r="AI11" s="32"/>
      <c r="AJ11" s="32"/>
      <c r="AK11" s="32"/>
      <c r="AL11" s="32"/>
      <c r="AM11" s="32"/>
      <c r="AN11" s="32"/>
      <c r="AO11" s="32"/>
      <c r="AP11" s="32"/>
      <c r="AQ11" s="32"/>
      <c r="AR11" s="32"/>
      <c r="AS11" s="32"/>
      <c r="AT11" s="32"/>
    </row>
    <row r="12">
      <c r="A12" s="342">
        <v>2015.0</v>
      </c>
      <c r="B12" s="343">
        <v>44076.43106501157</v>
      </c>
      <c r="C12" s="32" t="s">
        <v>2999</v>
      </c>
      <c r="D12" s="342">
        <v>1.500016051E9</v>
      </c>
      <c r="E12" s="32" t="s">
        <v>3000</v>
      </c>
      <c r="F12" s="344" t="s">
        <v>3001</v>
      </c>
      <c r="G12" s="32" t="s">
        <v>3002</v>
      </c>
      <c r="H12" s="32"/>
      <c r="I12" s="32"/>
      <c r="J12" s="32" t="s">
        <v>26</v>
      </c>
      <c r="K12" s="32" t="s">
        <v>183</v>
      </c>
      <c r="L12" s="345"/>
      <c r="M12" s="345"/>
      <c r="N12" s="345"/>
      <c r="O12" s="345"/>
      <c r="P12" s="345"/>
      <c r="Q12" s="32"/>
      <c r="R12" s="32"/>
      <c r="S12" s="32" t="s">
        <v>2969</v>
      </c>
      <c r="T12" s="344" t="s">
        <v>3003</v>
      </c>
      <c r="U12" s="32" t="s">
        <v>183</v>
      </c>
      <c r="V12" s="32"/>
      <c r="W12" s="32"/>
      <c r="X12" s="32"/>
      <c r="Y12" s="346"/>
      <c r="Z12" s="32"/>
      <c r="AA12" s="32"/>
      <c r="AB12" s="341" t="s">
        <v>316</v>
      </c>
      <c r="AC12" s="32"/>
      <c r="AD12" s="32"/>
      <c r="AE12" s="32"/>
      <c r="AF12" s="32"/>
      <c r="AG12" s="32"/>
      <c r="AH12" s="32"/>
      <c r="AI12" s="32"/>
      <c r="AJ12" s="32"/>
      <c r="AK12" s="32"/>
      <c r="AL12" s="32"/>
      <c r="AM12" s="32"/>
      <c r="AN12" s="32"/>
      <c r="AO12" s="32"/>
      <c r="AP12" s="32"/>
      <c r="AQ12" s="32"/>
      <c r="AR12" s="32"/>
      <c r="AS12" s="32"/>
      <c r="AT12" s="32"/>
    </row>
    <row r="13">
      <c r="A13" s="342">
        <v>2015.0</v>
      </c>
      <c r="B13" s="343">
        <v>44077.40676795139</v>
      </c>
      <c r="C13" s="32" t="s">
        <v>3004</v>
      </c>
      <c r="D13" s="342">
        <v>1.500016018E9</v>
      </c>
      <c r="E13" s="32" t="s">
        <v>3005</v>
      </c>
      <c r="F13" s="344" t="s">
        <v>3006</v>
      </c>
      <c r="G13" s="32" t="s">
        <v>3007</v>
      </c>
      <c r="H13" s="32"/>
      <c r="I13" s="32"/>
      <c r="J13" s="32" t="s">
        <v>26</v>
      </c>
      <c r="K13" s="32" t="s">
        <v>1900</v>
      </c>
      <c r="L13" s="345"/>
      <c r="M13" s="345"/>
      <c r="N13" s="345"/>
      <c r="O13" s="345"/>
      <c r="P13" s="345"/>
      <c r="Q13" s="32"/>
      <c r="R13" s="32"/>
      <c r="S13" s="32" t="s">
        <v>72</v>
      </c>
      <c r="T13" s="344" t="s">
        <v>3008</v>
      </c>
      <c r="U13" s="32" t="s">
        <v>1900</v>
      </c>
      <c r="V13" s="32"/>
      <c r="W13" s="32"/>
      <c r="X13" s="32"/>
      <c r="Y13" s="346"/>
      <c r="Z13" s="32"/>
      <c r="AA13" s="32"/>
      <c r="AB13" s="341" t="s">
        <v>316</v>
      </c>
      <c r="AC13" s="32"/>
      <c r="AD13" s="32"/>
      <c r="AE13" s="32"/>
      <c r="AF13" s="32"/>
      <c r="AG13" s="32"/>
      <c r="AH13" s="32"/>
      <c r="AI13" s="32"/>
      <c r="AJ13" s="32"/>
      <c r="AK13" s="32"/>
      <c r="AL13" s="32"/>
      <c r="AM13" s="32"/>
      <c r="AN13" s="32"/>
      <c r="AO13" s="32"/>
      <c r="AP13" s="32"/>
      <c r="AQ13" s="32"/>
      <c r="AR13" s="32"/>
      <c r="AS13" s="32"/>
      <c r="AT13" s="32"/>
    </row>
    <row r="14">
      <c r="A14" s="342">
        <v>2015.0</v>
      </c>
      <c r="B14" s="343">
        <v>44077.49767789352</v>
      </c>
      <c r="C14" s="32" t="s">
        <v>3009</v>
      </c>
      <c r="D14" s="342">
        <v>1.500016025E9</v>
      </c>
      <c r="E14" s="32" t="s">
        <v>3010</v>
      </c>
      <c r="F14" s="344" t="s">
        <v>3011</v>
      </c>
      <c r="G14" s="32" t="s">
        <v>3012</v>
      </c>
      <c r="H14" s="32"/>
      <c r="I14" s="32"/>
      <c r="J14" s="32" t="s">
        <v>26</v>
      </c>
      <c r="K14" s="32" t="s">
        <v>3013</v>
      </c>
      <c r="L14" s="345"/>
      <c r="M14" s="345"/>
      <c r="N14" s="345"/>
      <c r="O14" s="345"/>
      <c r="P14" s="345"/>
      <c r="Q14" s="32"/>
      <c r="R14" s="32"/>
      <c r="S14" s="32" t="s">
        <v>3014</v>
      </c>
      <c r="T14" s="344" t="s">
        <v>3015</v>
      </c>
      <c r="U14" s="32" t="s">
        <v>3013</v>
      </c>
      <c r="V14" s="32"/>
      <c r="W14" s="32"/>
      <c r="X14" s="32"/>
      <c r="Y14" s="347">
        <v>44345.0</v>
      </c>
      <c r="Z14" s="32"/>
      <c r="AA14" s="32"/>
      <c r="AB14" s="341" t="s">
        <v>316</v>
      </c>
      <c r="AC14" s="32"/>
      <c r="AD14" s="32"/>
      <c r="AE14" s="32"/>
      <c r="AF14" s="32"/>
      <c r="AG14" s="32"/>
      <c r="AH14" s="32"/>
      <c r="AI14" s="32"/>
      <c r="AJ14" s="32"/>
      <c r="AK14" s="32"/>
      <c r="AL14" s="32"/>
      <c r="AM14" s="32"/>
      <c r="AN14" s="32"/>
      <c r="AO14" s="32"/>
      <c r="AP14" s="32"/>
      <c r="AQ14" s="32"/>
      <c r="AR14" s="32"/>
      <c r="AS14" s="32"/>
      <c r="AT14" s="32"/>
    </row>
    <row r="15">
      <c r="A15" s="93">
        <v>2016.0</v>
      </c>
      <c r="B15" s="343">
        <v>44078.351804895836</v>
      </c>
      <c r="C15" s="32" t="s">
        <v>98</v>
      </c>
      <c r="D15" s="342">
        <v>1.600016038E9</v>
      </c>
      <c r="E15" s="32" t="s">
        <v>99</v>
      </c>
      <c r="F15" s="344" t="s">
        <v>3016</v>
      </c>
      <c r="G15" s="32" t="s">
        <v>3017</v>
      </c>
      <c r="H15" s="32"/>
      <c r="I15" s="32"/>
      <c r="J15" s="32" t="s">
        <v>26</v>
      </c>
      <c r="K15" s="32" t="s">
        <v>1900</v>
      </c>
      <c r="L15" s="345"/>
      <c r="M15" s="345"/>
      <c r="N15" s="345"/>
      <c r="O15" s="345"/>
      <c r="P15" s="345"/>
      <c r="Q15" s="32"/>
      <c r="R15" s="32"/>
      <c r="S15" s="32" t="s">
        <v>123</v>
      </c>
      <c r="T15" s="344" t="s">
        <v>3018</v>
      </c>
      <c r="U15" s="32" t="s">
        <v>1900</v>
      </c>
      <c r="V15" s="32"/>
      <c r="W15" s="32"/>
      <c r="X15" s="32"/>
      <c r="Y15" s="346"/>
      <c r="Z15" s="32"/>
      <c r="AA15" s="32"/>
      <c r="AB15" s="341" t="s">
        <v>316</v>
      </c>
      <c r="AC15" s="32"/>
      <c r="AD15" s="32"/>
      <c r="AE15" s="32"/>
      <c r="AF15" s="32"/>
      <c r="AG15" s="32"/>
      <c r="AH15" s="32"/>
      <c r="AI15" s="32"/>
      <c r="AJ15" s="32"/>
      <c r="AK15" s="32"/>
      <c r="AL15" s="32"/>
      <c r="AM15" s="32"/>
      <c r="AN15" s="32"/>
      <c r="AO15" s="32"/>
      <c r="AP15" s="32"/>
      <c r="AQ15" s="32"/>
      <c r="AR15" s="32"/>
      <c r="AS15" s="32"/>
      <c r="AT15" s="32"/>
    </row>
    <row r="16">
      <c r="A16" s="342">
        <v>2013.0</v>
      </c>
      <c r="B16" s="343">
        <v>44081.507794432866</v>
      </c>
      <c r="C16" s="32" t="s">
        <v>3019</v>
      </c>
      <c r="D16" s="342">
        <v>1.300016054E9</v>
      </c>
      <c r="E16" s="32" t="s">
        <v>3020</v>
      </c>
      <c r="F16" s="344" t="s">
        <v>3021</v>
      </c>
      <c r="G16" s="32" t="s">
        <v>3022</v>
      </c>
      <c r="H16" s="32"/>
      <c r="I16" s="32"/>
      <c r="J16" s="32" t="s">
        <v>26</v>
      </c>
      <c r="K16" s="32" t="s">
        <v>183</v>
      </c>
      <c r="L16" s="345"/>
      <c r="M16" s="345"/>
      <c r="N16" s="345"/>
      <c r="O16" s="345"/>
      <c r="P16" s="345"/>
      <c r="Q16" s="32"/>
      <c r="R16" s="32"/>
      <c r="S16" s="32" t="s">
        <v>123</v>
      </c>
      <c r="T16" s="344" t="s">
        <v>3023</v>
      </c>
      <c r="U16" s="32" t="s">
        <v>183</v>
      </c>
      <c r="V16" s="32"/>
      <c r="W16" s="32"/>
      <c r="X16" s="32"/>
      <c r="Y16" s="346"/>
      <c r="Z16" s="32"/>
      <c r="AA16" s="32"/>
      <c r="AB16" s="341" t="s">
        <v>316</v>
      </c>
      <c r="AC16" s="32"/>
      <c r="AD16" s="32"/>
      <c r="AE16" s="32"/>
      <c r="AF16" s="32"/>
      <c r="AG16" s="32"/>
      <c r="AH16" s="32"/>
      <c r="AI16" s="32"/>
      <c r="AJ16" s="32"/>
      <c r="AK16" s="32"/>
      <c r="AL16" s="32"/>
      <c r="AM16" s="32"/>
      <c r="AN16" s="32"/>
      <c r="AO16" s="32"/>
      <c r="AP16" s="32"/>
      <c r="AQ16" s="32"/>
      <c r="AR16" s="32"/>
      <c r="AS16" s="32"/>
      <c r="AT16" s="32"/>
    </row>
    <row r="17">
      <c r="A17" s="342">
        <v>2013.0</v>
      </c>
      <c r="B17" s="343">
        <v>44082.26435078704</v>
      </c>
      <c r="C17" s="32" t="s">
        <v>3024</v>
      </c>
      <c r="D17" s="342">
        <v>1.300016035E9</v>
      </c>
      <c r="E17" s="32" t="s">
        <v>3025</v>
      </c>
      <c r="F17" s="32" t="s">
        <v>3026</v>
      </c>
      <c r="G17" s="32" t="s">
        <v>3027</v>
      </c>
      <c r="H17" s="32"/>
      <c r="I17" s="32"/>
      <c r="J17" s="32" t="s">
        <v>26</v>
      </c>
      <c r="K17" s="32" t="s">
        <v>2379</v>
      </c>
      <c r="L17" s="345"/>
      <c r="M17" s="345"/>
      <c r="N17" s="345"/>
      <c r="O17" s="345"/>
      <c r="P17" s="345"/>
      <c r="Q17" s="32"/>
      <c r="R17" s="32"/>
      <c r="S17" s="32" t="s">
        <v>123</v>
      </c>
      <c r="T17" s="344" t="s">
        <v>3028</v>
      </c>
      <c r="U17" s="32" t="s">
        <v>2379</v>
      </c>
      <c r="V17" s="32"/>
      <c r="W17" s="32"/>
      <c r="X17" s="32"/>
      <c r="Y17" s="346"/>
      <c r="Z17" s="32"/>
      <c r="AA17" s="32"/>
      <c r="AB17" s="341" t="s">
        <v>316</v>
      </c>
      <c r="AC17" s="32"/>
      <c r="AD17" s="32"/>
      <c r="AE17" s="32"/>
      <c r="AF17" s="32"/>
      <c r="AG17" s="32"/>
      <c r="AH17" s="32"/>
      <c r="AI17" s="32"/>
      <c r="AJ17" s="32"/>
      <c r="AK17" s="32"/>
      <c r="AL17" s="32"/>
      <c r="AM17" s="32"/>
      <c r="AN17" s="32"/>
      <c r="AO17" s="32"/>
      <c r="AP17" s="32"/>
      <c r="AQ17" s="32"/>
      <c r="AR17" s="32"/>
      <c r="AS17" s="32"/>
      <c r="AT17" s="32"/>
    </row>
    <row r="18">
      <c r="A18" s="93">
        <v>2016.0</v>
      </c>
      <c r="B18" s="343">
        <v>44088.61216134259</v>
      </c>
      <c r="C18" s="32" t="s">
        <v>22</v>
      </c>
      <c r="D18" s="342">
        <v>1.600016098E9</v>
      </c>
      <c r="E18" s="32" t="s">
        <v>23</v>
      </c>
      <c r="F18" s="344" t="s">
        <v>24</v>
      </c>
      <c r="G18" s="32" t="s">
        <v>3029</v>
      </c>
      <c r="H18" s="32"/>
      <c r="I18" s="32"/>
      <c r="J18" s="32" t="s">
        <v>26</v>
      </c>
      <c r="K18" s="32" t="s">
        <v>2379</v>
      </c>
      <c r="L18" s="345"/>
      <c r="M18" s="345"/>
      <c r="N18" s="345"/>
      <c r="O18" s="345"/>
      <c r="P18" s="345"/>
      <c r="Q18" s="32"/>
      <c r="R18" s="32"/>
      <c r="S18" s="32" t="s">
        <v>2974</v>
      </c>
      <c r="T18" s="32"/>
      <c r="U18" s="32"/>
      <c r="V18" s="32"/>
      <c r="W18" s="32"/>
      <c r="X18" s="32"/>
      <c r="Y18" s="346"/>
      <c r="Z18" s="32"/>
      <c r="AA18" s="32"/>
      <c r="AB18" s="341" t="s">
        <v>316</v>
      </c>
      <c r="AC18" s="32"/>
      <c r="AD18" s="32"/>
      <c r="AE18" s="32"/>
      <c r="AF18" s="32"/>
      <c r="AG18" s="32"/>
      <c r="AH18" s="32"/>
      <c r="AI18" s="32"/>
      <c r="AJ18" s="32"/>
      <c r="AK18" s="32"/>
      <c r="AL18" s="32"/>
      <c r="AM18" s="32"/>
      <c r="AN18" s="32"/>
      <c r="AO18" s="32"/>
      <c r="AP18" s="32"/>
      <c r="AQ18" s="32"/>
      <c r="AR18" s="32"/>
      <c r="AS18" s="32"/>
      <c r="AT18" s="32"/>
    </row>
    <row r="19">
      <c r="A19" s="93">
        <v>2016.0</v>
      </c>
      <c r="B19" s="343">
        <v>44089.53137361111</v>
      </c>
      <c r="C19" s="32" t="s">
        <v>129</v>
      </c>
      <c r="D19" s="342">
        <v>1.611016082E9</v>
      </c>
      <c r="E19" s="32" t="s">
        <v>130</v>
      </c>
      <c r="F19" s="344" t="s">
        <v>131</v>
      </c>
      <c r="G19" s="32" t="s">
        <v>3030</v>
      </c>
      <c r="H19" s="32"/>
      <c r="I19" s="32"/>
      <c r="J19" s="32" t="s">
        <v>26</v>
      </c>
      <c r="K19" s="32" t="s">
        <v>1900</v>
      </c>
      <c r="L19" s="345"/>
      <c r="M19" s="345"/>
      <c r="N19" s="345"/>
      <c r="O19" s="345"/>
      <c r="P19" s="345"/>
      <c r="Q19" s="32"/>
      <c r="R19" s="32"/>
      <c r="S19" s="32" t="s">
        <v>123</v>
      </c>
      <c r="T19" s="32"/>
      <c r="U19" s="32"/>
      <c r="V19" s="32"/>
      <c r="W19" s="32"/>
      <c r="X19" s="32"/>
      <c r="Y19" s="346"/>
      <c r="Z19" s="32"/>
      <c r="AA19" s="32"/>
      <c r="AB19" s="341" t="s">
        <v>316</v>
      </c>
      <c r="AC19" s="32"/>
      <c r="AD19" s="32"/>
      <c r="AE19" s="32"/>
      <c r="AF19" s="32"/>
      <c r="AG19" s="32"/>
      <c r="AH19" s="32"/>
      <c r="AI19" s="32"/>
      <c r="AJ19" s="32"/>
      <c r="AK19" s="32"/>
      <c r="AL19" s="32"/>
      <c r="AM19" s="32"/>
      <c r="AN19" s="32"/>
      <c r="AO19" s="32"/>
      <c r="AP19" s="32"/>
      <c r="AQ19" s="32"/>
      <c r="AR19" s="32"/>
      <c r="AS19" s="32"/>
      <c r="AT19" s="32"/>
    </row>
    <row r="20">
      <c r="A20" s="93">
        <v>2016.0</v>
      </c>
      <c r="B20" s="343">
        <v>44091.842189166666</v>
      </c>
      <c r="C20" s="32" t="s">
        <v>64</v>
      </c>
      <c r="D20" s="342">
        <v>1.611016083E9</v>
      </c>
      <c r="E20" s="32" t="s">
        <v>65</v>
      </c>
      <c r="F20" s="344" t="s">
        <v>66</v>
      </c>
      <c r="G20" s="32" t="s">
        <v>3031</v>
      </c>
      <c r="H20" s="32"/>
      <c r="I20" s="32"/>
      <c r="J20" s="32" t="s">
        <v>26</v>
      </c>
      <c r="K20" s="32" t="s">
        <v>2379</v>
      </c>
      <c r="L20" s="345"/>
      <c r="M20" s="345"/>
      <c r="N20" s="345"/>
      <c r="O20" s="345"/>
      <c r="P20" s="345"/>
      <c r="Q20" s="32"/>
      <c r="R20" s="32"/>
      <c r="S20" s="32" t="s">
        <v>123</v>
      </c>
      <c r="T20" s="32"/>
      <c r="U20" s="32"/>
      <c r="V20" s="32"/>
      <c r="W20" s="32"/>
      <c r="X20" s="32"/>
      <c r="Y20" s="346"/>
      <c r="Z20" s="32"/>
      <c r="AA20" s="32"/>
      <c r="AB20" s="341" t="s">
        <v>316</v>
      </c>
      <c r="AC20" s="32"/>
      <c r="AD20" s="32"/>
      <c r="AE20" s="32"/>
      <c r="AF20" s="32"/>
      <c r="AG20" s="32"/>
      <c r="AH20" s="32"/>
      <c r="AI20" s="32"/>
      <c r="AJ20" s="32"/>
      <c r="AK20" s="32"/>
      <c r="AL20" s="32"/>
      <c r="AM20" s="32"/>
      <c r="AN20" s="32"/>
      <c r="AO20" s="32"/>
      <c r="AP20" s="32"/>
      <c r="AQ20" s="32"/>
      <c r="AR20" s="32"/>
      <c r="AS20" s="32"/>
      <c r="AT20" s="32"/>
    </row>
    <row r="21">
      <c r="A21" s="93">
        <v>2016.0</v>
      </c>
      <c r="B21" s="343">
        <v>44092.48505383102</v>
      </c>
      <c r="C21" s="32" t="s">
        <v>46</v>
      </c>
      <c r="D21" s="342">
        <v>1.611016081E9</v>
      </c>
      <c r="E21" s="32" t="s">
        <v>47</v>
      </c>
      <c r="F21" s="344" t="s">
        <v>3032</v>
      </c>
      <c r="G21" s="32" t="s">
        <v>3033</v>
      </c>
      <c r="H21" s="32"/>
      <c r="I21" s="32"/>
      <c r="J21" s="32" t="s">
        <v>26</v>
      </c>
      <c r="K21" s="32" t="s">
        <v>2379</v>
      </c>
      <c r="L21" s="345"/>
      <c r="M21" s="345"/>
      <c r="N21" s="345"/>
      <c r="O21" s="345"/>
      <c r="P21" s="345"/>
      <c r="Q21" s="32"/>
      <c r="R21" s="32"/>
      <c r="S21" s="32" t="s">
        <v>123</v>
      </c>
      <c r="T21" s="32"/>
      <c r="U21" s="32"/>
      <c r="V21" s="32"/>
      <c r="W21" s="32"/>
      <c r="X21" s="32"/>
      <c r="Y21" s="346"/>
      <c r="Z21" s="32"/>
      <c r="AA21" s="32"/>
      <c r="AB21" s="341" t="s">
        <v>316</v>
      </c>
      <c r="AC21" s="32"/>
      <c r="AD21" s="32"/>
      <c r="AE21" s="32"/>
      <c r="AF21" s="32"/>
      <c r="AG21" s="32"/>
      <c r="AH21" s="32"/>
      <c r="AI21" s="32"/>
      <c r="AJ21" s="32"/>
      <c r="AK21" s="32"/>
      <c r="AL21" s="32"/>
      <c r="AM21" s="32"/>
      <c r="AN21" s="32"/>
      <c r="AO21" s="32"/>
      <c r="AP21" s="32"/>
      <c r="AQ21" s="32"/>
      <c r="AR21" s="32"/>
      <c r="AS21" s="32"/>
      <c r="AT21" s="32"/>
    </row>
    <row r="22">
      <c r="A22" s="93">
        <v>2016.0</v>
      </c>
      <c r="B22" s="343">
        <v>44097.810584363426</v>
      </c>
      <c r="C22" s="32" t="s">
        <v>215</v>
      </c>
      <c r="D22" s="342">
        <v>1.600016037E9</v>
      </c>
      <c r="E22" s="32" t="s">
        <v>216</v>
      </c>
      <c r="F22" s="344" t="s">
        <v>3034</v>
      </c>
      <c r="G22" s="32" t="s">
        <v>3035</v>
      </c>
      <c r="H22" s="32"/>
      <c r="I22" s="32"/>
      <c r="J22" s="32" t="s">
        <v>26</v>
      </c>
      <c r="K22" s="32" t="s">
        <v>3013</v>
      </c>
      <c r="L22" s="345"/>
      <c r="M22" s="345"/>
      <c r="N22" s="345"/>
      <c r="O22" s="345"/>
      <c r="P22" s="345"/>
      <c r="Q22" s="32"/>
      <c r="R22" s="32"/>
      <c r="S22" s="32" t="s">
        <v>40</v>
      </c>
      <c r="T22" s="32" t="s">
        <v>3036</v>
      </c>
      <c r="U22" s="32"/>
      <c r="V22" s="32"/>
      <c r="W22" s="32"/>
      <c r="X22" s="32"/>
      <c r="Y22" s="346"/>
      <c r="Z22" s="32"/>
      <c r="AA22" s="32"/>
      <c r="AB22" s="341" t="s">
        <v>316</v>
      </c>
      <c r="AC22" s="32"/>
      <c r="AD22" s="32"/>
      <c r="AE22" s="32"/>
      <c r="AF22" s="32"/>
      <c r="AG22" s="32"/>
      <c r="AH22" s="32"/>
      <c r="AI22" s="32"/>
      <c r="AJ22" s="32"/>
      <c r="AK22" s="32"/>
      <c r="AL22" s="32"/>
      <c r="AM22" s="32"/>
      <c r="AN22" s="32"/>
      <c r="AO22" s="32"/>
      <c r="AP22" s="32"/>
      <c r="AQ22" s="32"/>
      <c r="AR22" s="32"/>
      <c r="AS22" s="32"/>
      <c r="AT22" s="32"/>
    </row>
    <row r="23">
      <c r="A23" s="93">
        <v>2016.0</v>
      </c>
      <c r="B23" s="343">
        <v>44099.44854586806</v>
      </c>
      <c r="C23" s="32" t="s">
        <v>46</v>
      </c>
      <c r="D23" s="342">
        <v>1.611016081E9</v>
      </c>
      <c r="E23" s="32" t="s">
        <v>47</v>
      </c>
      <c r="F23" s="344" t="s">
        <v>3032</v>
      </c>
      <c r="G23" s="32" t="s">
        <v>3037</v>
      </c>
      <c r="H23" s="32"/>
      <c r="I23" s="32"/>
      <c r="J23" s="32" t="s">
        <v>26</v>
      </c>
      <c r="K23" s="32" t="s">
        <v>2379</v>
      </c>
      <c r="L23" s="345"/>
      <c r="M23" s="345"/>
      <c r="N23" s="345"/>
      <c r="O23" s="345"/>
      <c r="P23" s="345"/>
      <c r="Q23" s="32"/>
      <c r="R23" s="32"/>
      <c r="S23" s="32" t="s">
        <v>2969</v>
      </c>
      <c r="T23" s="32" t="s">
        <v>3038</v>
      </c>
      <c r="U23" s="32"/>
      <c r="V23" s="32"/>
      <c r="W23" s="32"/>
      <c r="X23" s="32"/>
      <c r="Y23" s="346"/>
      <c r="Z23" s="32"/>
      <c r="AA23" s="32"/>
      <c r="AB23" s="341" t="s">
        <v>316</v>
      </c>
      <c r="AC23" s="32"/>
      <c r="AD23" s="32"/>
      <c r="AE23" s="32"/>
      <c r="AF23" s="32"/>
      <c r="AG23" s="32"/>
      <c r="AH23" s="32"/>
      <c r="AI23" s="32"/>
      <c r="AJ23" s="32"/>
      <c r="AK23" s="32"/>
      <c r="AL23" s="32"/>
      <c r="AM23" s="32"/>
      <c r="AN23" s="32"/>
      <c r="AO23" s="32"/>
      <c r="AP23" s="32"/>
      <c r="AQ23" s="32"/>
      <c r="AR23" s="32"/>
      <c r="AS23" s="32"/>
      <c r="AT23" s="32"/>
    </row>
    <row r="24">
      <c r="A24" s="93">
        <v>2016.0</v>
      </c>
      <c r="B24" s="343">
        <v>44099.48608905093</v>
      </c>
      <c r="C24" s="32" t="s">
        <v>64</v>
      </c>
      <c r="D24" s="342">
        <v>1.611016083E9</v>
      </c>
      <c r="E24" s="32" t="s">
        <v>65</v>
      </c>
      <c r="F24" s="344" t="s">
        <v>66</v>
      </c>
      <c r="G24" s="32" t="s">
        <v>3031</v>
      </c>
      <c r="H24" s="32"/>
      <c r="I24" s="32"/>
      <c r="J24" s="32" t="s">
        <v>26</v>
      </c>
      <c r="K24" s="32" t="s">
        <v>2379</v>
      </c>
      <c r="L24" s="345"/>
      <c r="M24" s="345"/>
      <c r="N24" s="345"/>
      <c r="O24" s="345"/>
      <c r="P24" s="345"/>
      <c r="Q24" s="32"/>
      <c r="R24" s="32"/>
      <c r="S24" s="32" t="s">
        <v>2969</v>
      </c>
      <c r="T24" s="32" t="s">
        <v>3039</v>
      </c>
      <c r="U24" s="32"/>
      <c r="V24" s="32"/>
      <c r="W24" s="32"/>
      <c r="X24" s="32"/>
      <c r="Y24" s="346"/>
      <c r="Z24" s="32"/>
      <c r="AA24" s="32"/>
      <c r="AB24" s="341" t="s">
        <v>316</v>
      </c>
      <c r="AC24" s="32"/>
      <c r="AD24" s="32"/>
      <c r="AE24" s="32"/>
      <c r="AF24" s="32"/>
      <c r="AG24" s="32"/>
      <c r="AH24" s="32"/>
      <c r="AI24" s="32"/>
      <c r="AJ24" s="32"/>
      <c r="AK24" s="32"/>
      <c r="AL24" s="32"/>
      <c r="AM24" s="32"/>
      <c r="AN24" s="32"/>
      <c r="AO24" s="32"/>
      <c r="AP24" s="32"/>
      <c r="AQ24" s="32"/>
      <c r="AR24" s="32"/>
      <c r="AS24" s="32"/>
      <c r="AT24" s="32"/>
    </row>
    <row r="25">
      <c r="A25" s="93">
        <v>2016.0</v>
      </c>
      <c r="B25" s="343">
        <v>44103.80612019676</v>
      </c>
      <c r="C25" s="32" t="s">
        <v>3040</v>
      </c>
      <c r="D25" s="342">
        <v>1.60001601E9</v>
      </c>
      <c r="E25" s="32" t="s">
        <v>104</v>
      </c>
      <c r="F25" s="344" t="s">
        <v>105</v>
      </c>
      <c r="G25" s="32" t="s">
        <v>3041</v>
      </c>
      <c r="H25" s="32"/>
      <c r="I25" s="32"/>
      <c r="J25" s="32" t="s">
        <v>26</v>
      </c>
      <c r="K25" s="32" t="s">
        <v>2379</v>
      </c>
      <c r="L25" s="345"/>
      <c r="M25" s="345"/>
      <c r="N25" s="345"/>
      <c r="O25" s="345"/>
      <c r="P25" s="345"/>
      <c r="Q25" s="32"/>
      <c r="R25" s="32"/>
      <c r="S25" s="32" t="s">
        <v>72</v>
      </c>
      <c r="T25" s="32" t="s">
        <v>3042</v>
      </c>
      <c r="U25" s="32"/>
      <c r="V25" s="32"/>
      <c r="W25" s="32"/>
      <c r="X25" s="32"/>
      <c r="Y25" s="346"/>
      <c r="Z25" s="32"/>
      <c r="AA25" s="32"/>
      <c r="AB25" s="341" t="s">
        <v>316</v>
      </c>
      <c r="AC25" s="32"/>
      <c r="AD25" s="32"/>
      <c r="AE25" s="32"/>
      <c r="AF25" s="32"/>
      <c r="AG25" s="32"/>
      <c r="AH25" s="32"/>
      <c r="AI25" s="32"/>
      <c r="AJ25" s="32"/>
      <c r="AK25" s="32"/>
      <c r="AL25" s="32"/>
      <c r="AM25" s="32"/>
      <c r="AN25" s="32"/>
      <c r="AO25" s="32"/>
      <c r="AP25" s="32"/>
      <c r="AQ25" s="32"/>
      <c r="AR25" s="32"/>
      <c r="AS25" s="32"/>
      <c r="AT25" s="32"/>
    </row>
    <row r="26">
      <c r="A26" s="93">
        <v>2016.0</v>
      </c>
      <c r="B26" s="348">
        <v>44107.53663278936</v>
      </c>
      <c r="C26" s="54" t="s">
        <v>60</v>
      </c>
      <c r="D26" s="93">
        <v>1.600016093E9</v>
      </c>
      <c r="E26" s="54" t="s">
        <v>61</v>
      </c>
      <c r="F26" s="56" t="s">
        <v>3043</v>
      </c>
      <c r="G26" s="54" t="s">
        <v>63</v>
      </c>
      <c r="H26" s="54"/>
      <c r="I26" s="54"/>
      <c r="J26" s="54" t="s">
        <v>26</v>
      </c>
      <c r="K26" s="54" t="s">
        <v>2379</v>
      </c>
      <c r="L26" s="57"/>
      <c r="M26" s="57"/>
      <c r="N26" s="57"/>
      <c r="O26" s="57"/>
      <c r="P26" s="57"/>
      <c r="Q26" s="54"/>
      <c r="R26" s="54"/>
      <c r="S26" s="54" t="s">
        <v>123</v>
      </c>
      <c r="T26" s="54" t="s">
        <v>3044</v>
      </c>
      <c r="U26" s="349"/>
      <c r="V26" s="54"/>
      <c r="W26" s="54"/>
      <c r="X26" s="54"/>
      <c r="Y26" s="350"/>
      <c r="Z26" s="54"/>
      <c r="AA26" s="54"/>
      <c r="AB26" s="341" t="s">
        <v>316</v>
      </c>
      <c r="AC26" s="54"/>
      <c r="AD26" s="54"/>
      <c r="AE26" s="54"/>
      <c r="AF26" s="54"/>
      <c r="AG26" s="54"/>
      <c r="AH26" s="54"/>
      <c r="AI26" s="54"/>
      <c r="AJ26" s="54"/>
      <c r="AK26" s="54"/>
      <c r="AL26" s="54"/>
      <c r="AM26" s="54"/>
      <c r="AN26" s="54"/>
      <c r="AO26" s="54"/>
      <c r="AP26" s="54"/>
      <c r="AQ26" s="54"/>
      <c r="AR26" s="54"/>
      <c r="AS26" s="54"/>
      <c r="AT26" s="54"/>
    </row>
    <row r="27">
      <c r="A27" s="93">
        <v>2016.0</v>
      </c>
      <c r="B27" s="348">
        <v>44123.399322129626</v>
      </c>
      <c r="C27" s="54" t="s">
        <v>3045</v>
      </c>
      <c r="D27" s="93">
        <v>1.600016044E9</v>
      </c>
      <c r="E27" s="54" t="s">
        <v>142</v>
      </c>
      <c r="F27" s="56" t="s">
        <v>143</v>
      </c>
      <c r="G27" s="54" t="s">
        <v>3046</v>
      </c>
      <c r="H27" s="54"/>
      <c r="I27" s="54"/>
      <c r="J27" s="54" t="s">
        <v>26</v>
      </c>
      <c r="K27" s="54" t="s">
        <v>2379</v>
      </c>
      <c r="L27" s="57"/>
      <c r="M27" s="57"/>
      <c r="N27" s="57"/>
      <c r="O27" s="57"/>
      <c r="P27" s="57"/>
      <c r="Q27" s="54"/>
      <c r="R27" s="54"/>
      <c r="S27" s="54" t="s">
        <v>97</v>
      </c>
      <c r="T27" s="351" t="s">
        <v>3047</v>
      </c>
      <c r="U27" s="54"/>
      <c r="V27" s="54"/>
      <c r="W27" s="54"/>
      <c r="X27" s="54"/>
      <c r="Y27" s="352">
        <v>44373.0</v>
      </c>
      <c r="Z27" s="54"/>
      <c r="AA27" s="54"/>
      <c r="AB27" s="341" t="s">
        <v>316</v>
      </c>
      <c r="AC27" s="54"/>
      <c r="AD27" s="54"/>
      <c r="AE27" s="54"/>
      <c r="AF27" s="54"/>
      <c r="AG27" s="54"/>
      <c r="AH27" s="54"/>
      <c r="AI27" s="54"/>
      <c r="AJ27" s="54"/>
      <c r="AK27" s="54"/>
      <c r="AL27" s="54"/>
      <c r="AM27" s="54"/>
      <c r="AN27" s="54"/>
      <c r="AO27" s="54"/>
      <c r="AP27" s="54"/>
      <c r="AQ27" s="54"/>
      <c r="AR27" s="54"/>
      <c r="AS27" s="54"/>
      <c r="AT27" s="54"/>
    </row>
    <row r="28">
      <c r="A28" s="93">
        <v>2016.0</v>
      </c>
      <c r="B28" s="348">
        <v>44126.373520775465</v>
      </c>
      <c r="C28" s="54" t="s">
        <v>51</v>
      </c>
      <c r="D28" s="93">
        <v>1.600016106E9</v>
      </c>
      <c r="E28" s="54" t="s">
        <v>3048</v>
      </c>
      <c r="F28" s="56" t="s">
        <v>3049</v>
      </c>
      <c r="G28" s="54" t="s">
        <v>3050</v>
      </c>
      <c r="H28" s="54"/>
      <c r="I28" s="54"/>
      <c r="J28" s="54" t="s">
        <v>26</v>
      </c>
      <c r="K28" s="54" t="s">
        <v>2379</v>
      </c>
      <c r="L28" s="57"/>
      <c r="M28" s="57"/>
      <c r="N28" s="57"/>
      <c r="O28" s="57"/>
      <c r="P28" s="57"/>
      <c r="Q28" s="54"/>
      <c r="R28" s="54"/>
      <c r="S28" s="54" t="s">
        <v>40</v>
      </c>
      <c r="T28" s="351" t="s">
        <v>3051</v>
      </c>
      <c r="U28" s="54"/>
      <c r="V28" s="54"/>
      <c r="W28" s="54"/>
      <c r="X28" s="54"/>
      <c r="Y28" s="350"/>
      <c r="Z28" s="54"/>
      <c r="AA28" s="54"/>
      <c r="AB28" s="341" t="s">
        <v>316</v>
      </c>
      <c r="AC28" s="54"/>
      <c r="AD28" s="54"/>
      <c r="AE28" s="54"/>
      <c r="AF28" s="54"/>
      <c r="AG28" s="54"/>
      <c r="AH28" s="54"/>
      <c r="AI28" s="54"/>
      <c r="AJ28" s="54"/>
      <c r="AK28" s="54"/>
      <c r="AL28" s="54"/>
      <c r="AM28" s="54"/>
      <c r="AN28" s="54"/>
      <c r="AO28" s="54"/>
      <c r="AP28" s="54"/>
      <c r="AQ28" s="54"/>
      <c r="AR28" s="54"/>
      <c r="AS28" s="54"/>
      <c r="AT28" s="54"/>
    </row>
    <row r="29">
      <c r="A29" s="93">
        <v>2016.0</v>
      </c>
      <c r="B29" s="348">
        <v>44134.8752844213</v>
      </c>
      <c r="C29" s="54" t="s">
        <v>30</v>
      </c>
      <c r="D29" s="93">
        <v>1.600016004E9</v>
      </c>
      <c r="E29" s="54" t="s">
        <v>31</v>
      </c>
      <c r="F29" s="56" t="s">
        <v>32</v>
      </c>
      <c r="G29" s="54" t="s">
        <v>33</v>
      </c>
      <c r="H29" s="54"/>
      <c r="I29" s="54"/>
      <c r="J29" s="54" t="s">
        <v>26</v>
      </c>
      <c r="K29" s="54" t="s">
        <v>2379</v>
      </c>
      <c r="L29" s="57"/>
      <c r="M29" s="57"/>
      <c r="N29" s="57"/>
      <c r="O29" s="57"/>
      <c r="P29" s="57"/>
      <c r="Q29" s="54"/>
      <c r="R29" s="54"/>
      <c r="S29" s="54" t="s">
        <v>97</v>
      </c>
      <c r="T29" s="54" t="s">
        <v>3052</v>
      </c>
      <c r="U29" s="54"/>
      <c r="V29" s="54"/>
      <c r="W29" s="54"/>
      <c r="X29" s="54"/>
      <c r="Y29" s="350"/>
      <c r="Z29" s="54"/>
      <c r="AA29" s="54"/>
      <c r="AB29" s="341" t="s">
        <v>316</v>
      </c>
      <c r="AC29" s="54"/>
      <c r="AD29" s="54"/>
      <c r="AE29" s="54"/>
      <c r="AF29" s="54"/>
      <c r="AG29" s="54"/>
      <c r="AH29" s="54"/>
      <c r="AI29" s="54"/>
      <c r="AJ29" s="54"/>
      <c r="AK29" s="54"/>
      <c r="AL29" s="54"/>
      <c r="AM29" s="54"/>
      <c r="AN29" s="54"/>
      <c r="AO29" s="54"/>
      <c r="AP29" s="54"/>
      <c r="AQ29" s="54"/>
      <c r="AR29" s="54"/>
      <c r="AS29" s="54"/>
      <c r="AT29" s="54"/>
    </row>
    <row r="30">
      <c r="A30" s="93">
        <v>2016.0</v>
      </c>
      <c r="B30" s="348">
        <v>44134.88796865741</v>
      </c>
      <c r="C30" s="54" t="s">
        <v>93</v>
      </c>
      <c r="D30" s="93">
        <v>1.600016012E9</v>
      </c>
      <c r="E30" s="54" t="s">
        <v>94</v>
      </c>
      <c r="F30" s="56" t="s">
        <v>3053</v>
      </c>
      <c r="G30" s="54" t="s">
        <v>3054</v>
      </c>
      <c r="H30" s="54"/>
      <c r="I30" s="54"/>
      <c r="J30" s="54" t="s">
        <v>26</v>
      </c>
      <c r="K30" s="54" t="s">
        <v>2379</v>
      </c>
      <c r="L30" s="57"/>
      <c r="M30" s="57"/>
      <c r="N30" s="57"/>
      <c r="O30" s="57"/>
      <c r="P30" s="57"/>
      <c r="Q30" s="54"/>
      <c r="R30" s="54"/>
      <c r="S30" s="54" t="s">
        <v>2969</v>
      </c>
      <c r="T30" s="54" t="s">
        <v>3055</v>
      </c>
      <c r="U30" s="54"/>
      <c r="V30" s="54"/>
      <c r="W30" s="54"/>
      <c r="X30" s="54"/>
      <c r="Y30" s="350"/>
      <c r="Z30" s="54"/>
      <c r="AA30" s="54"/>
      <c r="AB30" s="341" t="s">
        <v>316</v>
      </c>
      <c r="AC30" s="54"/>
      <c r="AD30" s="54"/>
      <c r="AE30" s="54"/>
      <c r="AF30" s="54"/>
      <c r="AG30" s="54"/>
      <c r="AH30" s="54"/>
      <c r="AI30" s="54"/>
      <c r="AJ30" s="54"/>
      <c r="AK30" s="54"/>
      <c r="AL30" s="54"/>
      <c r="AM30" s="54"/>
      <c r="AN30" s="54"/>
      <c r="AO30" s="54"/>
      <c r="AP30" s="54"/>
      <c r="AQ30" s="54"/>
      <c r="AR30" s="54"/>
      <c r="AS30" s="54"/>
      <c r="AT30" s="54"/>
    </row>
    <row r="31">
      <c r="A31" s="93">
        <v>2016.0</v>
      </c>
      <c r="B31" s="348">
        <v>44146.452227870366</v>
      </c>
      <c r="C31" s="54" t="s">
        <v>119</v>
      </c>
      <c r="D31" s="93">
        <v>1.600016048E9</v>
      </c>
      <c r="E31" s="54" t="s">
        <v>3056</v>
      </c>
      <c r="F31" s="56" t="s">
        <v>121</v>
      </c>
      <c r="G31" s="54" t="s">
        <v>122</v>
      </c>
      <c r="H31" s="54"/>
      <c r="I31" s="54"/>
      <c r="J31" s="54" t="s">
        <v>26</v>
      </c>
      <c r="K31" s="54" t="s">
        <v>2379</v>
      </c>
      <c r="L31" s="57"/>
      <c r="M31" s="57"/>
      <c r="N31" s="57"/>
      <c r="O31" s="57"/>
      <c r="P31" s="57"/>
      <c r="Q31" s="54"/>
      <c r="R31" s="54"/>
      <c r="S31" s="54" t="s">
        <v>3013</v>
      </c>
      <c r="T31" s="54" t="s">
        <v>3057</v>
      </c>
      <c r="U31" s="54"/>
      <c r="V31" s="54"/>
      <c r="W31" s="54"/>
      <c r="X31" s="54"/>
      <c r="Y31" s="350"/>
      <c r="Z31" s="54"/>
      <c r="AA31" s="54"/>
      <c r="AB31" s="341" t="s">
        <v>316</v>
      </c>
      <c r="AC31" s="54"/>
      <c r="AD31" s="54"/>
      <c r="AE31" s="54"/>
      <c r="AF31" s="54"/>
      <c r="AG31" s="54"/>
      <c r="AH31" s="54"/>
      <c r="AI31" s="54"/>
      <c r="AJ31" s="54"/>
      <c r="AK31" s="54"/>
      <c r="AL31" s="54"/>
      <c r="AM31" s="54"/>
      <c r="AN31" s="54"/>
      <c r="AO31" s="54"/>
      <c r="AP31" s="54"/>
      <c r="AQ31" s="54"/>
      <c r="AR31" s="54"/>
      <c r="AS31" s="54"/>
      <c r="AT31" s="54"/>
    </row>
    <row r="32">
      <c r="A32" s="342">
        <v>2015.0</v>
      </c>
      <c r="B32" s="348">
        <v>44147.35551201389</v>
      </c>
      <c r="C32" s="54" t="s">
        <v>3058</v>
      </c>
      <c r="D32" s="93">
        <v>1.500016071E9</v>
      </c>
      <c r="E32" s="54" t="s">
        <v>3059</v>
      </c>
      <c r="F32" s="56" t="s">
        <v>3060</v>
      </c>
      <c r="G32" s="54" t="s">
        <v>3061</v>
      </c>
      <c r="H32" s="54"/>
      <c r="I32" s="54"/>
      <c r="J32" s="54" t="s">
        <v>26</v>
      </c>
      <c r="K32" s="54" t="s">
        <v>2379</v>
      </c>
      <c r="L32" s="57"/>
      <c r="M32" s="57"/>
      <c r="N32" s="57"/>
      <c r="O32" s="57"/>
      <c r="P32" s="57"/>
      <c r="Q32" s="54"/>
      <c r="R32" s="54"/>
      <c r="S32" s="54" t="s">
        <v>3062</v>
      </c>
      <c r="T32" s="54" t="s">
        <v>3063</v>
      </c>
      <c r="U32" s="54"/>
      <c r="V32" s="54"/>
      <c r="W32" s="54"/>
      <c r="X32" s="54"/>
      <c r="Y32" s="352">
        <v>44770.0</v>
      </c>
      <c r="Z32" s="54"/>
      <c r="AA32" s="54"/>
      <c r="AB32" s="341" t="s">
        <v>316</v>
      </c>
      <c r="AC32" s="54"/>
      <c r="AD32" s="54"/>
      <c r="AE32" s="54"/>
      <c r="AF32" s="54"/>
      <c r="AG32" s="54"/>
      <c r="AH32" s="54"/>
      <c r="AI32" s="54"/>
      <c r="AJ32" s="54"/>
      <c r="AK32" s="54"/>
      <c r="AL32" s="54"/>
      <c r="AM32" s="54"/>
      <c r="AN32" s="54"/>
      <c r="AO32" s="54"/>
      <c r="AP32" s="54"/>
      <c r="AQ32" s="54"/>
      <c r="AR32" s="54"/>
      <c r="AS32" s="54"/>
      <c r="AT32" s="54"/>
    </row>
    <row r="33">
      <c r="A33" s="93">
        <v>2016.0</v>
      </c>
      <c r="B33" s="348">
        <v>44153.431563171296</v>
      </c>
      <c r="C33" s="54" t="s">
        <v>41</v>
      </c>
      <c r="D33" s="93">
        <v>1.600016067E9</v>
      </c>
      <c r="E33" s="54" t="s">
        <v>42</v>
      </c>
      <c r="F33" s="56" t="s">
        <v>43</v>
      </c>
      <c r="G33" s="54" t="s">
        <v>3064</v>
      </c>
      <c r="H33" s="54"/>
      <c r="I33" s="54"/>
      <c r="J33" s="54" t="s">
        <v>26</v>
      </c>
      <c r="K33" s="54" t="s">
        <v>2379</v>
      </c>
      <c r="L33" s="57"/>
      <c r="M33" s="57"/>
      <c r="N33" s="57"/>
      <c r="O33" s="57"/>
      <c r="P33" s="57"/>
      <c r="Q33" s="54"/>
      <c r="R33" s="54"/>
      <c r="S33" s="54" t="s">
        <v>117</v>
      </c>
      <c r="T33" s="54" t="s">
        <v>3065</v>
      </c>
      <c r="U33" s="54"/>
      <c r="V33" s="54"/>
      <c r="W33" s="54"/>
      <c r="X33" s="54"/>
      <c r="Y33" s="350"/>
      <c r="Z33" s="54"/>
      <c r="AA33" s="54"/>
      <c r="AB33" s="341" t="s">
        <v>316</v>
      </c>
      <c r="AC33" s="54"/>
      <c r="AD33" s="54"/>
      <c r="AE33" s="54"/>
      <c r="AF33" s="54"/>
      <c r="AG33" s="54"/>
      <c r="AH33" s="54"/>
      <c r="AI33" s="54"/>
      <c r="AJ33" s="54"/>
      <c r="AK33" s="54"/>
      <c r="AL33" s="54"/>
      <c r="AM33" s="54"/>
      <c r="AN33" s="54"/>
      <c r="AO33" s="54"/>
      <c r="AP33" s="54"/>
      <c r="AQ33" s="54"/>
      <c r="AR33" s="54"/>
      <c r="AS33" s="54"/>
      <c r="AT33" s="54"/>
    </row>
    <row r="34">
      <c r="A34" s="93">
        <v>2016.0</v>
      </c>
      <c r="B34" s="348">
        <v>44172.765186585646</v>
      </c>
      <c r="C34" s="54" t="s">
        <v>73</v>
      </c>
      <c r="D34" s="93">
        <v>1.600016016E9</v>
      </c>
      <c r="E34" s="54" t="s">
        <v>74</v>
      </c>
      <c r="F34" s="54" t="s">
        <v>3066</v>
      </c>
      <c r="G34" s="54" t="s">
        <v>3067</v>
      </c>
      <c r="H34" s="54"/>
      <c r="I34" s="54"/>
      <c r="J34" s="54" t="s">
        <v>26</v>
      </c>
      <c r="K34" s="54" t="s">
        <v>2379</v>
      </c>
      <c r="L34" s="57"/>
      <c r="M34" s="57"/>
      <c r="N34" s="57"/>
      <c r="O34" s="57"/>
      <c r="P34" s="57"/>
      <c r="Q34" s="54"/>
      <c r="R34" s="54"/>
      <c r="S34" s="54" t="s">
        <v>3013</v>
      </c>
      <c r="T34" s="54" t="s">
        <v>3068</v>
      </c>
      <c r="U34" s="54"/>
      <c r="V34" s="54"/>
      <c r="W34" s="54"/>
      <c r="X34" s="54"/>
      <c r="Y34" s="350"/>
      <c r="Z34" s="54"/>
      <c r="AA34" s="54"/>
      <c r="AB34" s="341" t="s">
        <v>316</v>
      </c>
      <c r="AC34" s="54"/>
      <c r="AD34" s="54"/>
      <c r="AE34" s="54"/>
      <c r="AF34" s="54"/>
      <c r="AG34" s="54"/>
      <c r="AH34" s="54"/>
      <c r="AI34" s="54"/>
      <c r="AJ34" s="54"/>
      <c r="AK34" s="54"/>
      <c r="AL34" s="54"/>
      <c r="AM34" s="54"/>
      <c r="AN34" s="54"/>
      <c r="AO34" s="54"/>
      <c r="AP34" s="54"/>
      <c r="AQ34" s="54"/>
      <c r="AR34" s="54"/>
      <c r="AS34" s="54"/>
      <c r="AT34" s="54"/>
    </row>
    <row r="35">
      <c r="A35" s="93">
        <v>2016.0</v>
      </c>
      <c r="B35" s="348">
        <v>44173.42950292824</v>
      </c>
      <c r="C35" s="54" t="s">
        <v>108</v>
      </c>
      <c r="D35" s="93">
        <v>1.600016112E9</v>
      </c>
      <c r="E35" s="54" t="s">
        <v>109</v>
      </c>
      <c r="F35" s="56" t="s">
        <v>3069</v>
      </c>
      <c r="G35" s="54" t="s">
        <v>3070</v>
      </c>
      <c r="H35" s="54"/>
      <c r="I35" s="54"/>
      <c r="J35" s="54" t="s">
        <v>26</v>
      </c>
      <c r="K35" s="54" t="s">
        <v>2379</v>
      </c>
      <c r="L35" s="57"/>
      <c r="M35" s="57"/>
      <c r="N35" s="57"/>
      <c r="O35" s="57"/>
      <c r="P35" s="57"/>
      <c r="Q35" s="54"/>
      <c r="R35" s="54"/>
      <c r="S35" s="54" t="s">
        <v>117</v>
      </c>
      <c r="T35" s="54" t="s">
        <v>3071</v>
      </c>
      <c r="U35" s="54"/>
      <c r="V35" s="54"/>
      <c r="W35" s="54"/>
      <c r="X35" s="54"/>
      <c r="Y35" s="350"/>
      <c r="Z35" s="54"/>
      <c r="AA35" s="54"/>
      <c r="AB35" s="341" t="s">
        <v>316</v>
      </c>
      <c r="AC35" s="54"/>
      <c r="AD35" s="54"/>
      <c r="AE35" s="54"/>
      <c r="AF35" s="54"/>
      <c r="AG35" s="54"/>
      <c r="AH35" s="54"/>
      <c r="AI35" s="54"/>
      <c r="AJ35" s="54"/>
      <c r="AK35" s="54"/>
      <c r="AL35" s="54"/>
      <c r="AM35" s="54"/>
      <c r="AN35" s="54"/>
      <c r="AO35" s="54"/>
      <c r="AP35" s="54"/>
      <c r="AQ35" s="54"/>
      <c r="AR35" s="54"/>
      <c r="AS35" s="54"/>
      <c r="AT35" s="54"/>
    </row>
    <row r="36">
      <c r="A36" s="54"/>
      <c r="B36" s="348">
        <v>44186.712276087965</v>
      </c>
      <c r="C36" s="54" t="s">
        <v>3072</v>
      </c>
      <c r="D36" s="93">
        <v>1.600016026E9</v>
      </c>
      <c r="E36" s="54" t="s">
        <v>223</v>
      </c>
      <c r="F36" s="56" t="s">
        <v>224</v>
      </c>
      <c r="G36" s="54" t="s">
        <v>3073</v>
      </c>
      <c r="H36" s="54"/>
      <c r="I36" s="54"/>
      <c r="J36" s="54" t="s">
        <v>26</v>
      </c>
      <c r="K36" s="54" t="s">
        <v>2379</v>
      </c>
      <c r="L36" s="57"/>
      <c r="M36" s="57"/>
      <c r="N36" s="57"/>
      <c r="O36" s="57"/>
      <c r="P36" s="57"/>
      <c r="Q36" s="54"/>
      <c r="R36" s="54"/>
      <c r="S36" s="54" t="s">
        <v>2969</v>
      </c>
      <c r="T36" s="54" t="s">
        <v>3074</v>
      </c>
      <c r="U36" s="54"/>
      <c r="V36" s="54"/>
      <c r="W36" s="54"/>
      <c r="X36" s="54"/>
      <c r="Y36" s="352">
        <v>44373.0</v>
      </c>
      <c r="Z36" s="54"/>
      <c r="AA36" s="54"/>
      <c r="AB36" s="341" t="s">
        <v>316</v>
      </c>
      <c r="AC36" s="54"/>
      <c r="AD36" s="54"/>
      <c r="AE36" s="54"/>
      <c r="AF36" s="54"/>
      <c r="AG36" s="54"/>
      <c r="AH36" s="54"/>
      <c r="AI36" s="54"/>
      <c r="AJ36" s="54"/>
      <c r="AK36" s="54"/>
      <c r="AL36" s="54"/>
      <c r="AM36" s="54"/>
      <c r="AN36" s="54"/>
      <c r="AO36" s="54"/>
      <c r="AP36" s="54"/>
      <c r="AQ36" s="54"/>
      <c r="AR36" s="54"/>
      <c r="AS36" s="54"/>
      <c r="AT36" s="54"/>
    </row>
    <row r="37">
      <c r="A37" s="93">
        <v>2016.0</v>
      </c>
      <c r="B37" s="348">
        <v>44186.71314521991</v>
      </c>
      <c r="C37" s="54" t="s">
        <v>3075</v>
      </c>
      <c r="D37" s="93">
        <v>1.600016018E9</v>
      </c>
      <c r="E37" s="54" t="s">
        <v>86</v>
      </c>
      <c r="F37" s="56" t="s">
        <v>87</v>
      </c>
      <c r="G37" s="54" t="s">
        <v>88</v>
      </c>
      <c r="H37" s="54"/>
      <c r="I37" s="54"/>
      <c r="J37" s="54" t="s">
        <v>26</v>
      </c>
      <c r="K37" s="54" t="s">
        <v>2379</v>
      </c>
      <c r="L37" s="57"/>
      <c r="M37" s="57"/>
      <c r="N37" s="57"/>
      <c r="O37" s="57"/>
      <c r="P37" s="57"/>
      <c r="Q37" s="54"/>
      <c r="R37" s="54"/>
      <c r="S37" s="54" t="s">
        <v>2969</v>
      </c>
      <c r="T37" s="54" t="s">
        <v>3076</v>
      </c>
      <c r="U37" s="54"/>
      <c r="V37" s="54"/>
      <c r="W37" s="54"/>
      <c r="X37" s="54"/>
      <c r="Y37" s="352">
        <v>44310.0</v>
      </c>
      <c r="Z37" s="54"/>
      <c r="AA37" s="54"/>
      <c r="AB37" s="341" t="s">
        <v>316</v>
      </c>
      <c r="AC37" s="54"/>
      <c r="AD37" s="54"/>
      <c r="AE37" s="54"/>
      <c r="AF37" s="54"/>
      <c r="AG37" s="54"/>
      <c r="AH37" s="54"/>
      <c r="AI37" s="54"/>
      <c r="AJ37" s="54"/>
      <c r="AK37" s="54"/>
      <c r="AL37" s="54"/>
      <c r="AM37" s="54"/>
      <c r="AN37" s="54"/>
      <c r="AO37" s="54"/>
      <c r="AP37" s="54"/>
      <c r="AQ37" s="54"/>
      <c r="AR37" s="54"/>
      <c r="AS37" s="54"/>
      <c r="AT37" s="54"/>
    </row>
    <row r="38">
      <c r="A38" s="93">
        <v>2015.0</v>
      </c>
      <c r="B38" s="348">
        <v>44187.661073043986</v>
      </c>
      <c r="C38" s="54" t="s">
        <v>3077</v>
      </c>
      <c r="D38" s="93">
        <v>1.500016052E9</v>
      </c>
      <c r="E38" s="54" t="s">
        <v>3078</v>
      </c>
      <c r="F38" s="56" t="s">
        <v>3079</v>
      </c>
      <c r="G38" s="54" t="s">
        <v>3080</v>
      </c>
      <c r="H38" s="54"/>
      <c r="I38" s="54"/>
      <c r="J38" s="54" t="s">
        <v>26</v>
      </c>
      <c r="K38" s="54" t="s">
        <v>2379</v>
      </c>
      <c r="L38" s="57"/>
      <c r="M38" s="57"/>
      <c r="N38" s="57"/>
      <c r="O38" s="57"/>
      <c r="P38" s="57"/>
      <c r="Q38" s="54"/>
      <c r="R38" s="54"/>
      <c r="S38" s="54" t="s">
        <v>3062</v>
      </c>
      <c r="T38" s="54" t="s">
        <v>3081</v>
      </c>
      <c r="U38" s="54"/>
      <c r="V38" s="54"/>
      <c r="W38" s="54"/>
      <c r="X38" s="54"/>
      <c r="Y38" s="352">
        <v>44770.0</v>
      </c>
      <c r="Z38" s="54"/>
      <c r="AA38" s="54"/>
      <c r="AB38" s="341" t="s">
        <v>316</v>
      </c>
      <c r="AC38" s="54"/>
      <c r="AD38" s="54"/>
      <c r="AE38" s="54"/>
      <c r="AF38" s="54"/>
      <c r="AG38" s="54"/>
      <c r="AH38" s="54"/>
      <c r="AI38" s="54"/>
      <c r="AJ38" s="54"/>
      <c r="AK38" s="54"/>
      <c r="AL38" s="54"/>
      <c r="AM38" s="54"/>
      <c r="AN38" s="54"/>
      <c r="AO38" s="54"/>
      <c r="AP38" s="54"/>
      <c r="AQ38" s="54"/>
      <c r="AR38" s="54"/>
      <c r="AS38" s="54"/>
      <c r="AT38" s="54"/>
    </row>
    <row r="39">
      <c r="A39" s="93">
        <v>2016.0</v>
      </c>
      <c r="B39" s="348">
        <v>44191.93869869213</v>
      </c>
      <c r="C39" s="54" t="s">
        <v>113</v>
      </c>
      <c r="D39" s="93">
        <v>1.600016091E9</v>
      </c>
      <c r="E39" s="54" t="s">
        <v>3082</v>
      </c>
      <c r="F39" s="56" t="s">
        <v>115</v>
      </c>
      <c r="G39" s="54" t="s">
        <v>116</v>
      </c>
      <c r="H39" s="54"/>
      <c r="I39" s="54"/>
      <c r="J39" s="54" t="s">
        <v>26</v>
      </c>
      <c r="K39" s="54" t="s">
        <v>117</v>
      </c>
      <c r="L39" s="57"/>
      <c r="M39" s="57"/>
      <c r="N39" s="57"/>
      <c r="O39" s="57"/>
      <c r="P39" s="57"/>
      <c r="Q39" s="54"/>
      <c r="R39" s="54"/>
      <c r="S39" s="54" t="s">
        <v>3062</v>
      </c>
      <c r="T39" s="54" t="s">
        <v>3083</v>
      </c>
      <c r="U39" s="54"/>
      <c r="V39" s="54"/>
      <c r="W39" s="54"/>
      <c r="X39" s="54"/>
      <c r="Y39" s="350"/>
      <c r="Z39" s="54"/>
      <c r="AA39" s="54"/>
      <c r="AB39" s="341" t="s">
        <v>316</v>
      </c>
      <c r="AC39" s="54"/>
      <c r="AD39" s="54"/>
      <c r="AE39" s="54"/>
      <c r="AF39" s="54"/>
      <c r="AG39" s="54"/>
      <c r="AH39" s="54"/>
      <c r="AI39" s="54"/>
      <c r="AJ39" s="54"/>
      <c r="AK39" s="54"/>
      <c r="AL39" s="54"/>
      <c r="AM39" s="54"/>
      <c r="AN39" s="54"/>
      <c r="AO39" s="54"/>
      <c r="AP39" s="54"/>
      <c r="AQ39" s="54"/>
      <c r="AR39" s="54"/>
      <c r="AS39" s="54"/>
      <c r="AT39" s="54"/>
    </row>
    <row r="40">
      <c r="A40" s="93">
        <v>2016.0</v>
      </c>
      <c r="B40" s="348">
        <v>44192.34819236111</v>
      </c>
      <c r="C40" s="54" t="s">
        <v>124</v>
      </c>
      <c r="D40" s="93">
        <v>1.600016042E9</v>
      </c>
      <c r="E40" s="54" t="s">
        <v>125</v>
      </c>
      <c r="F40" s="56" t="s">
        <v>126</v>
      </c>
      <c r="G40" s="54" t="s">
        <v>3084</v>
      </c>
      <c r="H40" s="54"/>
      <c r="I40" s="54"/>
      <c r="J40" s="54" t="s">
        <v>26</v>
      </c>
      <c r="K40" s="54" t="s">
        <v>2379</v>
      </c>
      <c r="L40" s="57"/>
      <c r="M40" s="57"/>
      <c r="N40" s="57"/>
      <c r="O40" s="57"/>
      <c r="P40" s="57"/>
      <c r="Q40" s="54"/>
      <c r="R40" s="54"/>
      <c r="S40" s="54" t="s">
        <v>117</v>
      </c>
      <c r="T40" s="54" t="s">
        <v>3085</v>
      </c>
      <c r="U40" s="54"/>
      <c r="V40" s="54"/>
      <c r="W40" s="54"/>
      <c r="X40" s="54"/>
      <c r="Y40" s="350"/>
      <c r="Z40" s="54"/>
      <c r="AA40" s="54"/>
      <c r="AB40" s="341" t="s">
        <v>316</v>
      </c>
      <c r="AC40" s="54"/>
      <c r="AD40" s="54"/>
      <c r="AE40" s="54"/>
      <c r="AF40" s="54"/>
      <c r="AG40" s="54"/>
      <c r="AH40" s="54"/>
      <c r="AI40" s="54"/>
      <c r="AJ40" s="54"/>
      <c r="AK40" s="54"/>
      <c r="AL40" s="54"/>
      <c r="AM40" s="54"/>
      <c r="AN40" s="54"/>
      <c r="AO40" s="54"/>
      <c r="AP40" s="54"/>
      <c r="AQ40" s="54"/>
      <c r="AR40" s="54"/>
      <c r="AS40" s="54"/>
      <c r="AT40" s="54"/>
    </row>
    <row r="41">
      <c r="A41" s="93">
        <v>2016.0</v>
      </c>
      <c r="B41" s="348">
        <v>44210.496444062504</v>
      </c>
      <c r="C41" s="54" t="s">
        <v>68</v>
      </c>
      <c r="D41" s="93">
        <v>1.600016043E9</v>
      </c>
      <c r="E41" s="54" t="s">
        <v>69</v>
      </c>
      <c r="F41" s="56" t="s">
        <v>3086</v>
      </c>
      <c r="G41" s="54" t="s">
        <v>3087</v>
      </c>
      <c r="H41" s="54"/>
      <c r="I41" s="54"/>
      <c r="J41" s="54" t="s">
        <v>26</v>
      </c>
      <c r="K41" s="54" t="s">
        <v>2379</v>
      </c>
      <c r="L41" s="57"/>
      <c r="M41" s="57"/>
      <c r="N41" s="57"/>
      <c r="O41" s="57"/>
      <c r="P41" s="57"/>
      <c r="Q41" s="54"/>
      <c r="R41" s="54"/>
      <c r="S41" s="54" t="s">
        <v>3013</v>
      </c>
      <c r="T41" s="57" t="s">
        <v>3088</v>
      </c>
      <c r="U41" s="54"/>
      <c r="V41" s="54"/>
      <c r="W41" s="54"/>
      <c r="X41" s="54"/>
      <c r="Y41" s="352">
        <v>44345.0</v>
      </c>
      <c r="Z41" s="54"/>
      <c r="AA41" s="54"/>
      <c r="AB41" s="341" t="s">
        <v>316</v>
      </c>
      <c r="AC41" s="54"/>
      <c r="AD41" s="54"/>
      <c r="AE41" s="54"/>
      <c r="AF41" s="54"/>
      <c r="AG41" s="54"/>
      <c r="AH41" s="54"/>
      <c r="AI41" s="54"/>
      <c r="AJ41" s="54"/>
      <c r="AK41" s="54"/>
      <c r="AL41" s="54"/>
      <c r="AM41" s="54"/>
      <c r="AN41" s="54"/>
      <c r="AO41" s="54"/>
      <c r="AP41" s="54"/>
      <c r="AQ41" s="54"/>
      <c r="AR41" s="54"/>
      <c r="AS41" s="54"/>
      <c r="AT41" s="54"/>
    </row>
    <row r="42">
      <c r="A42" s="342">
        <v>2014.0</v>
      </c>
      <c r="B42" s="348">
        <v>44224.57728212963</v>
      </c>
      <c r="C42" s="54" t="s">
        <v>3089</v>
      </c>
      <c r="D42" s="93">
        <v>1.400016014E9</v>
      </c>
      <c r="E42" s="54" t="s">
        <v>3090</v>
      </c>
      <c r="F42" s="56" t="s">
        <v>3091</v>
      </c>
      <c r="G42" s="54" t="s">
        <v>3092</v>
      </c>
      <c r="H42" s="54"/>
      <c r="I42" s="54"/>
      <c r="J42" s="54" t="s">
        <v>26</v>
      </c>
      <c r="K42" s="54" t="s">
        <v>3013</v>
      </c>
      <c r="L42" s="57"/>
      <c r="M42" s="57"/>
      <c r="N42" s="57"/>
      <c r="O42" s="57"/>
      <c r="P42" s="57"/>
      <c r="Q42" s="54"/>
      <c r="R42" s="54"/>
      <c r="S42" s="54" t="s">
        <v>2969</v>
      </c>
      <c r="T42" s="57" t="s">
        <v>3093</v>
      </c>
      <c r="U42" s="54"/>
      <c r="V42" s="54"/>
      <c r="W42" s="54"/>
      <c r="X42" s="54"/>
      <c r="Y42" s="352">
        <v>44310.0</v>
      </c>
      <c r="Z42" s="54"/>
      <c r="AA42" s="54"/>
      <c r="AB42" s="341" t="s">
        <v>316</v>
      </c>
      <c r="AC42" s="54"/>
      <c r="AD42" s="54"/>
      <c r="AE42" s="54"/>
      <c r="AF42" s="54"/>
      <c r="AG42" s="54"/>
      <c r="AH42" s="54"/>
      <c r="AI42" s="54"/>
      <c r="AJ42" s="54"/>
      <c r="AK42" s="54"/>
      <c r="AL42" s="54"/>
      <c r="AM42" s="54"/>
      <c r="AN42" s="54"/>
      <c r="AO42" s="54"/>
      <c r="AP42" s="54"/>
      <c r="AQ42" s="54"/>
      <c r="AR42" s="54"/>
      <c r="AS42" s="54"/>
      <c r="AT42" s="54"/>
    </row>
    <row r="43">
      <c r="A43" s="342">
        <v>2014.0</v>
      </c>
      <c r="B43" s="348">
        <v>44243.48745523149</v>
      </c>
      <c r="C43" s="54" t="s">
        <v>3094</v>
      </c>
      <c r="D43" s="93">
        <v>1.400016027E9</v>
      </c>
      <c r="E43" s="54" t="s">
        <v>3095</v>
      </c>
      <c r="F43" s="56" t="s">
        <v>3096</v>
      </c>
      <c r="G43" s="54" t="s">
        <v>3097</v>
      </c>
      <c r="H43" s="54"/>
      <c r="I43" s="54"/>
      <c r="J43" s="54" t="s">
        <v>26</v>
      </c>
      <c r="K43" s="54" t="s">
        <v>1900</v>
      </c>
      <c r="L43" s="57"/>
      <c r="M43" s="57"/>
      <c r="N43" s="57"/>
      <c r="O43" s="57"/>
      <c r="P43" s="57"/>
      <c r="Q43" s="54"/>
      <c r="R43" s="54"/>
      <c r="S43" s="54" t="s">
        <v>40</v>
      </c>
      <c r="T43" s="57" t="s">
        <v>3098</v>
      </c>
      <c r="U43" s="54"/>
      <c r="V43" s="54"/>
      <c r="W43" s="54"/>
      <c r="X43" s="54"/>
      <c r="Y43" s="352">
        <v>44340.0</v>
      </c>
      <c r="Z43" s="54"/>
      <c r="AA43" s="54"/>
      <c r="AB43" s="341" t="s">
        <v>316</v>
      </c>
      <c r="AC43" s="54"/>
      <c r="AD43" s="54"/>
      <c r="AE43" s="54"/>
      <c r="AF43" s="54"/>
      <c r="AG43" s="54"/>
      <c r="AH43" s="54"/>
      <c r="AI43" s="54"/>
      <c r="AJ43" s="54"/>
      <c r="AK43" s="54"/>
      <c r="AL43" s="54"/>
      <c r="AM43" s="54"/>
      <c r="AN43" s="54"/>
      <c r="AO43" s="54"/>
      <c r="AP43" s="54"/>
      <c r="AQ43" s="54"/>
      <c r="AR43" s="54"/>
      <c r="AS43" s="54"/>
      <c r="AT43" s="54"/>
    </row>
    <row r="44">
      <c r="A44" s="93">
        <v>2016.0</v>
      </c>
      <c r="B44" s="348">
        <v>44246.603362939815</v>
      </c>
      <c r="C44" s="54" t="s">
        <v>164</v>
      </c>
      <c r="D44" s="93">
        <v>1.600016021E9</v>
      </c>
      <c r="E44" s="57" t="s">
        <v>3099</v>
      </c>
      <c r="F44" s="56" t="s">
        <v>3100</v>
      </c>
      <c r="G44" s="54" t="s">
        <v>167</v>
      </c>
      <c r="H44" s="54"/>
      <c r="I44" s="54"/>
      <c r="J44" s="54" t="s">
        <v>26</v>
      </c>
      <c r="K44" s="54" t="s">
        <v>2379</v>
      </c>
      <c r="L44" s="57"/>
      <c r="M44" s="57"/>
      <c r="N44" s="57"/>
      <c r="O44" s="57"/>
      <c r="P44" s="57"/>
      <c r="Q44" s="54"/>
      <c r="R44" s="54"/>
      <c r="S44" s="54" t="s">
        <v>3013</v>
      </c>
      <c r="T44" s="57" t="s">
        <v>3101</v>
      </c>
      <c r="U44" s="54"/>
      <c r="V44" s="54"/>
      <c r="W44" s="54"/>
      <c r="X44" s="54"/>
      <c r="Y44" s="352">
        <v>44373.0</v>
      </c>
      <c r="Z44" s="54"/>
      <c r="AA44" s="54"/>
      <c r="AB44" s="341" t="s">
        <v>316</v>
      </c>
      <c r="AC44" s="54"/>
      <c r="AD44" s="54"/>
      <c r="AE44" s="54"/>
      <c r="AF44" s="54"/>
      <c r="AG44" s="54"/>
      <c r="AH44" s="54"/>
      <c r="AI44" s="54"/>
      <c r="AJ44" s="54"/>
      <c r="AK44" s="54"/>
      <c r="AL44" s="54"/>
      <c r="AM44" s="54"/>
      <c r="AN44" s="54"/>
      <c r="AO44" s="54"/>
      <c r="AP44" s="54"/>
      <c r="AQ44" s="54"/>
      <c r="AR44" s="54"/>
      <c r="AS44" s="54"/>
      <c r="AT44" s="54"/>
    </row>
    <row r="45">
      <c r="A45" s="93">
        <v>2016.0</v>
      </c>
      <c r="B45" s="348">
        <v>44246.67586420139</v>
      </c>
      <c r="C45" s="54" t="s">
        <v>169</v>
      </c>
      <c r="D45" s="93">
        <v>1.600016034E9</v>
      </c>
      <c r="E45" s="54" t="s">
        <v>170</v>
      </c>
      <c r="F45" s="56" t="s">
        <v>171</v>
      </c>
      <c r="G45" s="54" t="s">
        <v>3102</v>
      </c>
      <c r="H45" s="54"/>
      <c r="I45" s="54"/>
      <c r="J45" s="54" t="s">
        <v>26</v>
      </c>
      <c r="K45" s="54" t="s">
        <v>2379</v>
      </c>
      <c r="L45" s="57"/>
      <c r="M45" s="57"/>
      <c r="N45" s="57"/>
      <c r="O45" s="57"/>
      <c r="P45" s="57"/>
      <c r="Q45" s="54"/>
      <c r="R45" s="54"/>
      <c r="S45" s="54" t="s">
        <v>3013</v>
      </c>
      <c r="T45" s="57" t="s">
        <v>3103</v>
      </c>
      <c r="U45" s="54"/>
      <c r="V45" s="54"/>
      <c r="W45" s="54"/>
      <c r="X45" s="54"/>
      <c r="Y45" s="350"/>
      <c r="Z45" s="54"/>
      <c r="AA45" s="54"/>
      <c r="AB45" s="341" t="s">
        <v>316</v>
      </c>
      <c r="AC45" s="54"/>
      <c r="AD45" s="54"/>
      <c r="AE45" s="54"/>
      <c r="AF45" s="54"/>
      <c r="AG45" s="54"/>
      <c r="AH45" s="54"/>
      <c r="AI45" s="54"/>
      <c r="AJ45" s="54"/>
      <c r="AK45" s="54"/>
      <c r="AL45" s="54"/>
      <c r="AM45" s="54"/>
      <c r="AN45" s="54"/>
      <c r="AO45" s="54"/>
      <c r="AP45" s="54"/>
      <c r="AQ45" s="54"/>
      <c r="AR45" s="54"/>
      <c r="AS45" s="54"/>
      <c r="AT45" s="54"/>
    </row>
    <row r="46">
      <c r="A46" s="93">
        <v>2016.0</v>
      </c>
      <c r="B46" s="348">
        <v>44249.52103962963</v>
      </c>
      <c r="C46" s="54" t="s">
        <v>179</v>
      </c>
      <c r="D46" s="93">
        <v>1.600016046E9</v>
      </c>
      <c r="E46" s="54" t="s">
        <v>180</v>
      </c>
      <c r="F46" s="56" t="s">
        <v>181</v>
      </c>
      <c r="G46" s="54" t="s">
        <v>3104</v>
      </c>
      <c r="H46" s="54"/>
      <c r="I46" s="54"/>
      <c r="J46" s="54" t="s">
        <v>26</v>
      </c>
      <c r="K46" s="54" t="s">
        <v>183</v>
      </c>
      <c r="L46" s="57"/>
      <c r="M46" s="57"/>
      <c r="N46" s="57"/>
      <c r="O46" s="57"/>
      <c r="P46" s="57"/>
      <c r="Q46" s="54"/>
      <c r="R46" s="54"/>
      <c r="S46" s="54" t="s">
        <v>3105</v>
      </c>
      <c r="T46" s="57" t="s">
        <v>3106</v>
      </c>
      <c r="U46" s="54"/>
      <c r="V46" s="54"/>
      <c r="W46" s="54"/>
      <c r="X46" s="54"/>
      <c r="Y46" s="352">
        <v>44310.0</v>
      </c>
      <c r="Z46" s="54"/>
      <c r="AA46" s="54"/>
      <c r="AB46" s="341" t="s">
        <v>316</v>
      </c>
      <c r="AC46" s="54"/>
      <c r="AD46" s="54"/>
      <c r="AE46" s="54"/>
      <c r="AF46" s="54"/>
      <c r="AG46" s="54"/>
      <c r="AH46" s="54"/>
      <c r="AI46" s="54"/>
      <c r="AJ46" s="54"/>
      <c r="AK46" s="54"/>
      <c r="AL46" s="54"/>
      <c r="AM46" s="54"/>
      <c r="AN46" s="54"/>
      <c r="AO46" s="54"/>
      <c r="AP46" s="54"/>
      <c r="AQ46" s="54"/>
      <c r="AR46" s="54"/>
      <c r="AS46" s="54"/>
      <c r="AT46" s="54"/>
    </row>
    <row r="47">
      <c r="A47" s="342">
        <v>2014.0</v>
      </c>
      <c r="B47" s="348">
        <v>44252.67962613426</v>
      </c>
      <c r="C47" s="54" t="s">
        <v>3107</v>
      </c>
      <c r="D47" s="93">
        <v>1.400016011E9</v>
      </c>
      <c r="E47" s="54" t="s">
        <v>3108</v>
      </c>
      <c r="F47" s="56" t="s">
        <v>3109</v>
      </c>
      <c r="G47" s="54" t="s">
        <v>3110</v>
      </c>
      <c r="H47" s="54"/>
      <c r="I47" s="54"/>
      <c r="J47" s="54" t="s">
        <v>26</v>
      </c>
      <c r="K47" s="54" t="s">
        <v>1900</v>
      </c>
      <c r="L47" s="57"/>
      <c r="M47" s="57"/>
      <c r="N47" s="57"/>
      <c r="O47" s="57"/>
      <c r="P47" s="57"/>
      <c r="Q47" s="54"/>
      <c r="R47" s="54"/>
      <c r="S47" s="54" t="s">
        <v>117</v>
      </c>
      <c r="T47" s="54"/>
      <c r="U47" s="54"/>
      <c r="V47" s="54"/>
      <c r="W47" s="54"/>
      <c r="X47" s="54"/>
      <c r="Y47" s="352">
        <v>44373.0</v>
      </c>
      <c r="Z47" s="54"/>
      <c r="AA47" s="54"/>
      <c r="AB47" s="341" t="s">
        <v>316</v>
      </c>
      <c r="AC47" s="54"/>
      <c r="AD47" s="54"/>
      <c r="AE47" s="54"/>
      <c r="AF47" s="54"/>
      <c r="AG47" s="54"/>
      <c r="AH47" s="54"/>
      <c r="AI47" s="54"/>
      <c r="AJ47" s="54"/>
      <c r="AK47" s="54"/>
      <c r="AL47" s="54"/>
      <c r="AM47" s="54"/>
      <c r="AN47" s="54"/>
      <c r="AO47" s="54"/>
      <c r="AP47" s="54"/>
      <c r="AQ47" s="54"/>
      <c r="AR47" s="54"/>
      <c r="AS47" s="54"/>
      <c r="AT47" s="54"/>
    </row>
    <row r="48">
      <c r="A48" s="342">
        <v>2014.0</v>
      </c>
      <c r="B48" s="348">
        <v>44253.651904259255</v>
      </c>
      <c r="C48" s="54" t="s">
        <v>3111</v>
      </c>
      <c r="D48" s="93">
        <v>1.400016007E9</v>
      </c>
      <c r="E48" s="54" t="s">
        <v>3112</v>
      </c>
      <c r="F48" s="54" t="s">
        <v>3113</v>
      </c>
      <c r="G48" s="54" t="s">
        <v>3114</v>
      </c>
      <c r="H48" s="54"/>
      <c r="I48" s="54"/>
      <c r="J48" s="54" t="s">
        <v>26</v>
      </c>
      <c r="K48" s="54" t="s">
        <v>230</v>
      </c>
      <c r="L48" s="57"/>
      <c r="M48" s="57"/>
      <c r="N48" s="57"/>
      <c r="O48" s="57"/>
      <c r="P48" s="57"/>
      <c r="Q48" s="54"/>
      <c r="R48" s="54"/>
      <c r="S48" s="54" t="s">
        <v>123</v>
      </c>
      <c r="T48" s="57" t="s">
        <v>3115</v>
      </c>
      <c r="U48" s="54"/>
      <c r="V48" s="54"/>
      <c r="W48" s="54"/>
      <c r="X48" s="54"/>
      <c r="Y48" s="352">
        <v>44345.0</v>
      </c>
      <c r="Z48" s="54"/>
      <c r="AA48" s="54"/>
      <c r="AB48" s="341" t="s">
        <v>316</v>
      </c>
      <c r="AC48" s="54"/>
      <c r="AD48" s="54"/>
      <c r="AE48" s="54"/>
      <c r="AF48" s="54"/>
      <c r="AG48" s="54"/>
      <c r="AH48" s="54"/>
      <c r="AI48" s="54"/>
      <c r="AJ48" s="54"/>
      <c r="AK48" s="54"/>
      <c r="AL48" s="54"/>
      <c r="AM48" s="54"/>
      <c r="AN48" s="54"/>
      <c r="AO48" s="54"/>
      <c r="AP48" s="54"/>
      <c r="AQ48" s="54"/>
      <c r="AR48" s="54"/>
      <c r="AS48" s="54"/>
      <c r="AT48" s="54"/>
    </row>
    <row r="49">
      <c r="A49" s="342">
        <v>2014.0</v>
      </c>
      <c r="B49" s="348">
        <v>44253.65409034722</v>
      </c>
      <c r="C49" s="54" t="s">
        <v>3116</v>
      </c>
      <c r="D49" s="93">
        <v>1.400016033E9</v>
      </c>
      <c r="E49" s="54" t="s">
        <v>3117</v>
      </c>
      <c r="F49" s="54" t="s">
        <v>3118</v>
      </c>
      <c r="G49" s="54" t="s">
        <v>3119</v>
      </c>
      <c r="H49" s="54"/>
      <c r="I49" s="54"/>
      <c r="J49" s="54" t="s">
        <v>26</v>
      </c>
      <c r="K49" s="54" t="s">
        <v>230</v>
      </c>
      <c r="L49" s="57"/>
      <c r="M49" s="57"/>
      <c r="N49" s="57"/>
      <c r="O49" s="57"/>
      <c r="P49" s="57"/>
      <c r="Q49" s="54"/>
      <c r="R49" s="54"/>
      <c r="S49" s="54" t="s">
        <v>117</v>
      </c>
      <c r="T49" s="57" t="s">
        <v>3120</v>
      </c>
      <c r="U49" s="54"/>
      <c r="V49" s="54"/>
      <c r="W49" s="54"/>
      <c r="X49" s="54"/>
      <c r="Y49" s="352">
        <v>44345.0</v>
      </c>
      <c r="Z49" s="54"/>
      <c r="AA49" s="54"/>
      <c r="AB49" s="341" t="s">
        <v>316</v>
      </c>
      <c r="AC49" s="54"/>
      <c r="AD49" s="54"/>
      <c r="AE49" s="54"/>
      <c r="AF49" s="54"/>
      <c r="AG49" s="54"/>
      <c r="AH49" s="54"/>
      <c r="AI49" s="54"/>
      <c r="AJ49" s="54"/>
      <c r="AK49" s="54"/>
      <c r="AL49" s="54"/>
      <c r="AM49" s="54"/>
      <c r="AN49" s="54"/>
      <c r="AO49" s="54"/>
      <c r="AP49" s="54"/>
      <c r="AQ49" s="54"/>
      <c r="AR49" s="54"/>
      <c r="AS49" s="54"/>
      <c r="AT49" s="54"/>
    </row>
    <row r="50">
      <c r="A50" s="93">
        <v>2016.0</v>
      </c>
      <c r="B50" s="348">
        <v>44254.49997777778</v>
      </c>
      <c r="C50" s="54" t="s">
        <v>207</v>
      </c>
      <c r="D50" s="93">
        <v>1.600016028E9</v>
      </c>
      <c r="E50" s="54" t="s">
        <v>208</v>
      </c>
      <c r="F50" s="56" t="s">
        <v>209</v>
      </c>
      <c r="G50" s="54" t="s">
        <v>210</v>
      </c>
      <c r="H50" s="54"/>
      <c r="I50" s="54"/>
      <c r="J50" s="54" t="s">
        <v>26</v>
      </c>
      <c r="K50" s="54" t="s">
        <v>183</v>
      </c>
      <c r="L50" s="57"/>
      <c r="M50" s="57"/>
      <c r="N50" s="57"/>
      <c r="O50" s="57"/>
      <c r="P50" s="57"/>
      <c r="Q50" s="54"/>
      <c r="R50" s="54"/>
      <c r="S50" s="54" t="s">
        <v>3105</v>
      </c>
      <c r="T50" s="54"/>
      <c r="U50" s="54"/>
      <c r="V50" s="54"/>
      <c r="W50" s="54"/>
      <c r="X50" s="54"/>
      <c r="Y50" s="352">
        <v>44345.0</v>
      </c>
      <c r="Z50" s="54"/>
      <c r="AA50" s="54"/>
      <c r="AB50" s="341" t="s">
        <v>316</v>
      </c>
      <c r="AC50" s="54"/>
      <c r="AD50" s="54"/>
      <c r="AE50" s="54"/>
      <c r="AF50" s="54"/>
      <c r="AG50" s="54"/>
      <c r="AH50" s="54"/>
      <c r="AI50" s="54"/>
      <c r="AJ50" s="54"/>
      <c r="AK50" s="54"/>
      <c r="AL50" s="54"/>
      <c r="AM50" s="54"/>
      <c r="AN50" s="54"/>
      <c r="AO50" s="54"/>
      <c r="AP50" s="54"/>
      <c r="AQ50" s="54"/>
      <c r="AR50" s="54"/>
      <c r="AS50" s="54"/>
      <c r="AT50" s="54"/>
    </row>
    <row r="51">
      <c r="A51" s="353">
        <v>0.0</v>
      </c>
      <c r="B51" s="338" t="s">
        <v>1</v>
      </c>
      <c r="C51" s="16" t="s">
        <v>2</v>
      </c>
      <c r="D51" s="16" t="s">
        <v>3</v>
      </c>
      <c r="E51" s="16" t="s">
        <v>4</v>
      </c>
      <c r="F51" s="16" t="s">
        <v>5</v>
      </c>
      <c r="G51" s="16" t="s">
        <v>6</v>
      </c>
      <c r="H51" s="16" t="s">
        <v>2940</v>
      </c>
      <c r="I51" s="16" t="s">
        <v>2941</v>
      </c>
      <c r="J51" s="16" t="s">
        <v>7</v>
      </c>
      <c r="K51" s="16" t="s">
        <v>8</v>
      </c>
      <c r="L51" s="16" t="s">
        <v>3121</v>
      </c>
      <c r="M51" s="16"/>
      <c r="N51" s="16"/>
      <c r="O51" s="16"/>
      <c r="P51" s="16"/>
      <c r="Q51" s="16"/>
      <c r="R51" s="16" t="s">
        <v>2947</v>
      </c>
      <c r="S51" s="16" t="s">
        <v>2948</v>
      </c>
      <c r="T51" s="16" t="s">
        <v>2949</v>
      </c>
      <c r="U51" s="16" t="s">
        <v>2950</v>
      </c>
      <c r="V51" s="16" t="s">
        <v>3122</v>
      </c>
      <c r="W51" s="16" t="s">
        <v>2952</v>
      </c>
      <c r="X51" s="16" t="s">
        <v>2953</v>
      </c>
      <c r="Y51" s="339" t="s">
        <v>2954</v>
      </c>
      <c r="Z51" s="16"/>
      <c r="AA51" s="54"/>
      <c r="AB51" s="341" t="s">
        <v>316</v>
      </c>
      <c r="AC51" s="54"/>
      <c r="AD51" s="54"/>
      <c r="AE51" s="54"/>
      <c r="AF51" s="54"/>
      <c r="AG51" s="54"/>
      <c r="AH51" s="54"/>
      <c r="AI51" s="54"/>
      <c r="AJ51" s="54"/>
      <c r="AK51" s="54"/>
      <c r="AL51" s="54"/>
      <c r="AM51" s="54"/>
      <c r="AN51" s="54"/>
      <c r="AO51" s="54"/>
      <c r="AP51" s="54"/>
      <c r="AQ51" s="54"/>
      <c r="AR51" s="54"/>
      <c r="AS51" s="54"/>
      <c r="AT51" s="54"/>
    </row>
    <row r="52">
      <c r="A52" s="93">
        <v>2016.0</v>
      </c>
      <c r="B52" s="348">
        <v>44282.43840134259</v>
      </c>
      <c r="C52" s="54" t="s">
        <v>237</v>
      </c>
      <c r="D52" s="93">
        <v>1.600016027E9</v>
      </c>
      <c r="E52" s="54" t="s">
        <v>238</v>
      </c>
      <c r="F52" s="54" t="s">
        <v>3123</v>
      </c>
      <c r="G52" s="354" t="s">
        <v>3124</v>
      </c>
      <c r="H52" s="355">
        <v>44057.0</v>
      </c>
      <c r="I52" s="355">
        <v>44022.0</v>
      </c>
      <c r="J52" s="54" t="s">
        <v>26</v>
      </c>
      <c r="K52" s="54" t="s">
        <v>241</v>
      </c>
      <c r="L52" s="54" t="s">
        <v>183</v>
      </c>
      <c r="M52" s="356"/>
      <c r="N52" s="356"/>
      <c r="O52" s="57"/>
      <c r="P52" s="57"/>
      <c r="Q52" s="57"/>
      <c r="R52" s="57" t="s">
        <v>3125</v>
      </c>
      <c r="S52" s="54"/>
      <c r="T52" s="54" t="s">
        <v>241</v>
      </c>
      <c r="U52" s="54" t="s">
        <v>183</v>
      </c>
      <c r="V52" s="54" t="s">
        <v>2951</v>
      </c>
      <c r="W52" s="93" t="s">
        <v>3126</v>
      </c>
      <c r="X52" s="357">
        <v>44291.0</v>
      </c>
      <c r="Y52" s="352">
        <v>44373.0</v>
      </c>
      <c r="Z52" s="54"/>
      <c r="AA52" s="54"/>
      <c r="AB52" s="341" t="s">
        <v>316</v>
      </c>
      <c r="AC52" s="54"/>
      <c r="AD52" s="54"/>
      <c r="AE52" s="54"/>
      <c r="AF52" s="54"/>
      <c r="AG52" s="54"/>
      <c r="AH52" s="54"/>
      <c r="AI52" s="54"/>
      <c r="AJ52" s="54"/>
      <c r="AK52" s="54"/>
      <c r="AL52" s="54"/>
      <c r="AM52" s="54"/>
      <c r="AN52" s="54"/>
      <c r="AO52" s="54"/>
      <c r="AP52" s="54"/>
      <c r="AQ52" s="54"/>
      <c r="AR52" s="54"/>
      <c r="AS52" s="54"/>
      <c r="AT52" s="54"/>
    </row>
    <row r="53">
      <c r="A53" s="93">
        <v>2016.0</v>
      </c>
      <c r="B53" s="348">
        <v>44284.594130405094</v>
      </c>
      <c r="C53" s="54" t="s">
        <v>266</v>
      </c>
      <c r="D53" s="93">
        <v>1.600016088E9</v>
      </c>
      <c r="E53" s="54" t="s">
        <v>267</v>
      </c>
      <c r="F53" s="56" t="s">
        <v>268</v>
      </c>
      <c r="G53" s="54" t="s">
        <v>3127</v>
      </c>
      <c r="H53" s="355">
        <v>44095.0</v>
      </c>
      <c r="I53" s="355">
        <v>44128.0</v>
      </c>
      <c r="J53" s="54" t="s">
        <v>26</v>
      </c>
      <c r="K53" s="54" t="s">
        <v>1900</v>
      </c>
      <c r="L53" s="54" t="s">
        <v>3013</v>
      </c>
      <c r="M53" s="57"/>
      <c r="N53" s="54"/>
      <c r="O53" s="57"/>
      <c r="P53" s="57"/>
      <c r="Q53" s="57"/>
      <c r="R53" s="57" t="s">
        <v>3128</v>
      </c>
      <c r="S53" s="54"/>
      <c r="T53" s="54" t="s">
        <v>1900</v>
      </c>
      <c r="U53" s="54" t="s">
        <v>3013</v>
      </c>
      <c r="V53" s="358" t="s">
        <v>3129</v>
      </c>
      <c r="W53" s="93" t="s">
        <v>3130</v>
      </c>
      <c r="X53" s="357">
        <v>44292.0</v>
      </c>
      <c r="Y53" s="352">
        <v>44345.0</v>
      </c>
      <c r="Z53" s="54"/>
      <c r="AA53" s="54"/>
      <c r="AB53" s="341" t="s">
        <v>316</v>
      </c>
      <c r="AC53" s="54"/>
      <c r="AD53" s="54"/>
      <c r="AE53" s="54"/>
      <c r="AF53" s="54"/>
      <c r="AG53" s="54"/>
      <c r="AH53" s="54"/>
      <c r="AI53" s="54"/>
      <c r="AJ53" s="54"/>
      <c r="AK53" s="54"/>
      <c r="AL53" s="54"/>
      <c r="AM53" s="54"/>
      <c r="AN53" s="54"/>
      <c r="AO53" s="54"/>
      <c r="AP53" s="54"/>
      <c r="AQ53" s="54"/>
      <c r="AR53" s="54"/>
      <c r="AS53" s="54"/>
      <c r="AT53" s="54"/>
    </row>
    <row r="54">
      <c r="A54" s="342">
        <v>2014.0</v>
      </c>
      <c r="B54" s="348">
        <v>44302.58486756944</v>
      </c>
      <c r="C54" s="54" t="s">
        <v>3131</v>
      </c>
      <c r="D54" s="93">
        <v>1.400016049E9</v>
      </c>
      <c r="E54" s="54" t="s">
        <v>3132</v>
      </c>
      <c r="F54" s="56" t="s">
        <v>3133</v>
      </c>
      <c r="G54" s="54" t="s">
        <v>3134</v>
      </c>
      <c r="H54" s="355">
        <v>43594.0</v>
      </c>
      <c r="I54" s="54"/>
      <c r="J54" s="54" t="s">
        <v>399</v>
      </c>
      <c r="K54" s="54" t="s">
        <v>3013</v>
      </c>
      <c r="L54" s="54" t="s">
        <v>1900</v>
      </c>
      <c r="M54" s="57"/>
      <c r="N54" s="57"/>
      <c r="O54" s="57"/>
      <c r="P54" s="57"/>
      <c r="Q54" s="57"/>
      <c r="R54" s="54" t="s">
        <v>3135</v>
      </c>
      <c r="S54" s="54"/>
      <c r="T54" s="54" t="s">
        <v>3013</v>
      </c>
      <c r="U54" s="54" t="s">
        <v>1900</v>
      </c>
      <c r="V54" s="54" t="s">
        <v>3136</v>
      </c>
      <c r="W54" s="93" t="s">
        <v>3137</v>
      </c>
      <c r="X54" s="359">
        <v>44310.0</v>
      </c>
      <c r="Y54" s="352">
        <v>44401.0</v>
      </c>
      <c r="Z54" s="360"/>
      <c r="AA54" s="54"/>
      <c r="AB54" s="341" t="s">
        <v>316</v>
      </c>
      <c r="AC54" s="54"/>
      <c r="AD54" s="54"/>
      <c r="AE54" s="54"/>
      <c r="AF54" s="54"/>
      <c r="AG54" s="54"/>
      <c r="AH54" s="54"/>
      <c r="AI54" s="54"/>
      <c r="AJ54" s="54"/>
      <c r="AK54" s="54"/>
      <c r="AL54" s="54"/>
      <c r="AM54" s="54"/>
      <c r="AN54" s="54"/>
      <c r="AO54" s="54"/>
      <c r="AP54" s="54"/>
      <c r="AQ54" s="54"/>
      <c r="AR54" s="54"/>
      <c r="AS54" s="54"/>
      <c r="AT54" s="54"/>
    </row>
    <row r="55">
      <c r="A55" s="93">
        <v>2016.0</v>
      </c>
      <c r="B55" s="348">
        <v>44308.658287847225</v>
      </c>
      <c r="C55" s="54" t="s">
        <v>77</v>
      </c>
      <c r="D55" s="93">
        <v>1.600016079E9</v>
      </c>
      <c r="E55" s="54" t="s">
        <v>3138</v>
      </c>
      <c r="F55" s="56" t="s">
        <v>79</v>
      </c>
      <c r="G55" s="54" t="s">
        <v>3139</v>
      </c>
      <c r="H55" s="355">
        <v>44058.0</v>
      </c>
      <c r="I55" s="355">
        <v>43962.0</v>
      </c>
      <c r="J55" s="54" t="s">
        <v>399</v>
      </c>
      <c r="K55" s="54" t="s">
        <v>2379</v>
      </c>
      <c r="L55" s="54" t="s">
        <v>1900</v>
      </c>
      <c r="M55" s="57"/>
      <c r="N55" s="57"/>
      <c r="O55" s="57"/>
      <c r="P55" s="57"/>
      <c r="Q55" s="57"/>
      <c r="R55" s="54" t="s">
        <v>3140</v>
      </c>
      <c r="S55" s="54"/>
      <c r="T55" s="54" t="s">
        <v>2379</v>
      </c>
      <c r="U55" s="54" t="s">
        <v>1900</v>
      </c>
      <c r="V55" s="54" t="s">
        <v>117</v>
      </c>
      <c r="W55" s="342" t="s">
        <v>3141</v>
      </c>
      <c r="X55" s="359">
        <v>44321.0</v>
      </c>
      <c r="Y55" s="352">
        <v>44373.0</v>
      </c>
      <c r="Z55" s="54"/>
      <c r="AA55" s="54"/>
      <c r="AB55" s="341" t="s">
        <v>316</v>
      </c>
      <c r="AC55" s="54"/>
      <c r="AD55" s="54"/>
      <c r="AE55" s="54"/>
      <c r="AF55" s="54"/>
      <c r="AG55" s="54"/>
      <c r="AH55" s="54"/>
      <c r="AI55" s="54"/>
      <c r="AJ55" s="54"/>
      <c r="AK55" s="54"/>
      <c r="AL55" s="54"/>
      <c r="AM55" s="54"/>
      <c r="AN55" s="54"/>
      <c r="AO55" s="54"/>
      <c r="AP55" s="54"/>
      <c r="AQ55" s="54"/>
      <c r="AR55" s="54"/>
      <c r="AS55" s="54"/>
      <c r="AT55" s="54"/>
    </row>
    <row r="56">
      <c r="A56" s="93">
        <v>2016.0</v>
      </c>
      <c r="B56" s="348">
        <v>44309.321358773144</v>
      </c>
      <c r="C56" s="54" t="s">
        <v>169</v>
      </c>
      <c r="D56" s="93">
        <v>1.600016034E9</v>
      </c>
      <c r="E56" s="54" t="s">
        <v>3142</v>
      </c>
      <c r="F56" s="56" t="s">
        <v>171</v>
      </c>
      <c r="G56" s="54" t="s">
        <v>3143</v>
      </c>
      <c r="H56" s="355">
        <v>43836.0</v>
      </c>
      <c r="I56" s="355">
        <v>43992.0</v>
      </c>
      <c r="J56" s="54" t="s">
        <v>399</v>
      </c>
      <c r="K56" s="54" t="s">
        <v>2379</v>
      </c>
      <c r="L56" s="54" t="s">
        <v>117</v>
      </c>
      <c r="M56" s="57"/>
      <c r="N56" s="57"/>
      <c r="O56" s="57"/>
      <c r="P56" s="57"/>
      <c r="Q56" s="57"/>
      <c r="R56" s="54" t="s">
        <v>3144</v>
      </c>
      <c r="S56" s="54"/>
      <c r="T56" s="54" t="s">
        <v>2379</v>
      </c>
      <c r="U56" s="54" t="s">
        <v>117</v>
      </c>
      <c r="V56" s="54" t="s">
        <v>3145</v>
      </c>
      <c r="W56" s="93" t="s">
        <v>3137</v>
      </c>
      <c r="X56" s="357">
        <v>44373.0</v>
      </c>
      <c r="Y56" s="350"/>
      <c r="Z56" s="54"/>
      <c r="AA56" s="54"/>
      <c r="AB56" s="341" t="s">
        <v>316</v>
      </c>
      <c r="AC56" s="54"/>
      <c r="AD56" s="54"/>
      <c r="AE56" s="54"/>
      <c r="AF56" s="54"/>
      <c r="AG56" s="54"/>
      <c r="AH56" s="54"/>
      <c r="AI56" s="54"/>
      <c r="AJ56" s="54"/>
      <c r="AK56" s="54"/>
      <c r="AL56" s="54"/>
      <c r="AM56" s="54"/>
      <c r="AN56" s="54"/>
      <c r="AO56" s="54"/>
      <c r="AP56" s="54"/>
      <c r="AQ56" s="54"/>
      <c r="AR56" s="54"/>
      <c r="AS56" s="54"/>
      <c r="AT56" s="54"/>
    </row>
    <row r="57">
      <c r="A57" s="93">
        <v>2016.0</v>
      </c>
      <c r="B57" s="348">
        <v>44312.39133077546</v>
      </c>
      <c r="C57" s="54" t="s">
        <v>35</v>
      </c>
      <c r="D57" s="93">
        <v>1.600016017E9</v>
      </c>
      <c r="E57" s="54" t="s">
        <v>3146</v>
      </c>
      <c r="F57" s="56" t="s">
        <v>37</v>
      </c>
      <c r="G57" s="54" t="s">
        <v>3147</v>
      </c>
      <c r="H57" s="355">
        <v>43839.0</v>
      </c>
      <c r="I57" s="355">
        <v>43957.0</v>
      </c>
      <c r="J57" s="54" t="s">
        <v>399</v>
      </c>
      <c r="K57" s="54" t="s">
        <v>1900</v>
      </c>
      <c r="L57" s="54" t="s">
        <v>230</v>
      </c>
      <c r="M57" s="57"/>
      <c r="N57" s="57"/>
      <c r="O57" s="57"/>
      <c r="P57" s="57"/>
      <c r="Q57" s="57"/>
      <c r="R57" s="57"/>
      <c r="S57" s="54" t="s">
        <v>3147</v>
      </c>
      <c r="T57" s="54" t="s">
        <v>1900</v>
      </c>
      <c r="U57" s="54" t="s">
        <v>230</v>
      </c>
      <c r="V57" s="54" t="s">
        <v>703</v>
      </c>
      <c r="W57" s="342" t="s">
        <v>3148</v>
      </c>
      <c r="X57" s="359">
        <v>44322.0</v>
      </c>
      <c r="Y57" s="352">
        <v>44401.0</v>
      </c>
      <c r="Z57" s="54"/>
      <c r="AA57" s="54"/>
      <c r="AB57" s="341" t="s">
        <v>316</v>
      </c>
      <c r="AC57" s="54"/>
      <c r="AD57" s="54"/>
      <c r="AE57" s="54"/>
      <c r="AF57" s="54"/>
      <c r="AG57" s="54"/>
      <c r="AH57" s="54"/>
      <c r="AI57" s="54"/>
      <c r="AJ57" s="54"/>
      <c r="AK57" s="54"/>
      <c r="AL57" s="54"/>
      <c r="AM57" s="54"/>
      <c r="AN57" s="54"/>
      <c r="AO57" s="54"/>
      <c r="AP57" s="54"/>
      <c r="AQ57" s="54"/>
      <c r="AR57" s="54"/>
      <c r="AS57" s="54"/>
      <c r="AT57" s="54"/>
    </row>
    <row r="58">
      <c r="A58" s="342">
        <v>2014.0</v>
      </c>
      <c r="B58" s="343">
        <v>44316.4033684375</v>
      </c>
      <c r="C58" s="32" t="s">
        <v>3149</v>
      </c>
      <c r="D58" s="342">
        <v>1.400016028E9</v>
      </c>
      <c r="E58" s="32" t="s">
        <v>3150</v>
      </c>
      <c r="F58" s="344" t="s">
        <v>3151</v>
      </c>
      <c r="G58" s="32" t="s">
        <v>3152</v>
      </c>
      <c r="H58" s="361">
        <v>43529.0</v>
      </c>
      <c r="I58" s="361">
        <v>43595.0</v>
      </c>
      <c r="J58" s="32" t="s">
        <v>399</v>
      </c>
      <c r="K58" s="32" t="s">
        <v>1900</v>
      </c>
      <c r="L58" s="32" t="s">
        <v>241</v>
      </c>
      <c r="M58" s="345"/>
      <c r="N58" s="345"/>
      <c r="O58" s="345"/>
      <c r="P58" s="345"/>
      <c r="Q58" s="345"/>
      <c r="R58" s="345"/>
      <c r="S58" s="32" t="s">
        <v>3153</v>
      </c>
      <c r="T58" s="32" t="s">
        <v>3154</v>
      </c>
      <c r="U58" s="32" t="s">
        <v>241</v>
      </c>
      <c r="V58" s="32" t="s">
        <v>3136</v>
      </c>
      <c r="W58" s="342" t="s">
        <v>3137</v>
      </c>
      <c r="X58" s="359">
        <v>44352.0</v>
      </c>
      <c r="Y58" s="341" t="s">
        <v>3155</v>
      </c>
      <c r="Z58" s="32"/>
      <c r="AA58" s="32"/>
      <c r="AB58" s="341" t="s">
        <v>316</v>
      </c>
      <c r="AC58" s="32"/>
      <c r="AD58" s="32"/>
      <c r="AE58" s="32"/>
      <c r="AF58" s="32"/>
      <c r="AG58" s="32"/>
      <c r="AH58" s="32"/>
      <c r="AI58" s="32"/>
      <c r="AJ58" s="32"/>
      <c r="AK58" s="32"/>
      <c r="AL58" s="32"/>
      <c r="AM58" s="32"/>
      <c r="AN58" s="32"/>
      <c r="AO58" s="32"/>
      <c r="AP58" s="32"/>
      <c r="AQ58" s="32"/>
      <c r="AR58" s="32"/>
      <c r="AS58" s="32"/>
      <c r="AT58" s="32"/>
    </row>
    <row r="59">
      <c r="A59" s="93">
        <v>2015.0</v>
      </c>
      <c r="B59" s="348">
        <v>44357.44830541666</v>
      </c>
      <c r="C59" s="54" t="s">
        <v>261</v>
      </c>
      <c r="D59" s="93">
        <v>1.500016048E9</v>
      </c>
      <c r="E59" s="54" t="s">
        <v>3156</v>
      </c>
      <c r="F59" s="56" t="s">
        <v>263</v>
      </c>
      <c r="G59" s="54" t="s">
        <v>264</v>
      </c>
      <c r="H59" s="355">
        <v>43831.0</v>
      </c>
      <c r="I59" s="355">
        <v>44103.0</v>
      </c>
      <c r="J59" s="54" t="s">
        <v>399</v>
      </c>
      <c r="K59" s="54" t="s">
        <v>1900</v>
      </c>
      <c r="L59" s="54" t="s">
        <v>117</v>
      </c>
      <c r="M59" s="57"/>
      <c r="N59" s="57"/>
      <c r="O59" s="57"/>
      <c r="P59" s="57"/>
      <c r="Q59" s="57"/>
      <c r="R59" s="57"/>
      <c r="S59" s="54" t="s">
        <v>3157</v>
      </c>
      <c r="T59" s="54" t="s">
        <v>3158</v>
      </c>
      <c r="U59" s="54" t="s">
        <v>117</v>
      </c>
      <c r="V59" s="54" t="s">
        <v>3159</v>
      </c>
      <c r="W59" s="93" t="s">
        <v>3148</v>
      </c>
      <c r="X59" s="362">
        <v>44364.0</v>
      </c>
      <c r="Y59" s="363">
        <v>44770.0</v>
      </c>
      <c r="Z59" s="54"/>
      <c r="AA59" s="54"/>
      <c r="AB59" s="341" t="s">
        <v>316</v>
      </c>
      <c r="AC59" s="54"/>
      <c r="AD59" s="54"/>
      <c r="AE59" s="54"/>
      <c r="AF59" s="54"/>
      <c r="AG59" s="54"/>
      <c r="AH59" s="54"/>
      <c r="AI59" s="54"/>
      <c r="AJ59" s="54"/>
      <c r="AK59" s="54"/>
      <c r="AL59" s="54"/>
      <c r="AM59" s="54"/>
      <c r="AN59" s="54"/>
      <c r="AO59" s="54"/>
      <c r="AP59" s="54"/>
      <c r="AQ59" s="54"/>
      <c r="AR59" s="54"/>
      <c r="AS59" s="54"/>
      <c r="AT59" s="54"/>
    </row>
    <row r="60">
      <c r="A60" s="93">
        <v>2017.0</v>
      </c>
      <c r="B60" s="348">
        <v>44357.85216559027</v>
      </c>
      <c r="C60" s="54" t="s">
        <v>311</v>
      </c>
      <c r="D60" s="93">
        <v>1.700016088E9</v>
      </c>
      <c r="E60" s="54" t="s">
        <v>312</v>
      </c>
      <c r="F60" s="56" t="s">
        <v>3160</v>
      </c>
      <c r="G60" s="54" t="s">
        <v>314</v>
      </c>
      <c r="H60" s="355">
        <v>44267.0</v>
      </c>
      <c r="I60" s="355">
        <v>44253.0</v>
      </c>
      <c r="J60" s="54" t="s">
        <v>399</v>
      </c>
      <c r="K60" s="54" t="s">
        <v>117</v>
      </c>
      <c r="L60" s="54" t="s">
        <v>183</v>
      </c>
      <c r="M60" s="57"/>
      <c r="N60" s="57"/>
      <c r="O60" s="57"/>
      <c r="P60" s="57"/>
      <c r="Q60" s="57"/>
      <c r="R60" s="57"/>
      <c r="S60" s="54" t="s">
        <v>3161</v>
      </c>
      <c r="T60" s="54" t="s">
        <v>117</v>
      </c>
      <c r="U60" s="54" t="s">
        <v>183</v>
      </c>
      <c r="V60" s="54" t="s">
        <v>703</v>
      </c>
      <c r="W60" s="93" t="s">
        <v>3162</v>
      </c>
      <c r="X60" s="357">
        <v>44365.0</v>
      </c>
      <c r="Y60" s="352">
        <v>44373.0</v>
      </c>
      <c r="Z60" s="54"/>
      <c r="AA60" s="54"/>
      <c r="AB60" s="341" t="s">
        <v>316</v>
      </c>
      <c r="AC60" s="54"/>
      <c r="AD60" s="54"/>
      <c r="AE60" s="54"/>
      <c r="AF60" s="54"/>
      <c r="AG60" s="54"/>
      <c r="AH60" s="54"/>
      <c r="AI60" s="54"/>
      <c r="AJ60" s="54"/>
      <c r="AK60" s="54"/>
      <c r="AL60" s="54"/>
      <c r="AM60" s="54"/>
      <c r="AN60" s="54"/>
      <c r="AO60" s="54"/>
      <c r="AP60" s="54"/>
      <c r="AQ60" s="54"/>
      <c r="AR60" s="54"/>
      <c r="AS60" s="54"/>
      <c r="AT60" s="54"/>
    </row>
    <row r="61">
      <c r="A61" s="93">
        <v>2014.0</v>
      </c>
      <c r="B61" s="348">
        <v>44364.42292482639</v>
      </c>
      <c r="C61" s="54" t="s">
        <v>3163</v>
      </c>
      <c r="D61" s="93">
        <v>1.400016024E9</v>
      </c>
      <c r="E61" s="54" t="s">
        <v>3164</v>
      </c>
      <c r="F61" s="56" t="s">
        <v>3165</v>
      </c>
      <c r="G61" s="54" t="s">
        <v>3166</v>
      </c>
      <c r="H61" s="355">
        <v>43466.0</v>
      </c>
      <c r="I61" s="355">
        <v>43559.0</v>
      </c>
      <c r="J61" s="54" t="s">
        <v>399</v>
      </c>
      <c r="K61" s="54" t="s">
        <v>1900</v>
      </c>
      <c r="L61" s="54" t="s">
        <v>230</v>
      </c>
      <c r="M61" s="57"/>
      <c r="N61" s="57"/>
      <c r="O61" s="57"/>
      <c r="P61" s="57"/>
      <c r="Q61" s="57"/>
      <c r="R61" s="57"/>
      <c r="S61" s="54" t="s">
        <v>3167</v>
      </c>
      <c r="T61" s="54" t="s">
        <v>1900</v>
      </c>
      <c r="U61" s="54" t="s">
        <v>230</v>
      </c>
      <c r="V61" s="54" t="s">
        <v>241</v>
      </c>
      <c r="W61" s="342" t="s">
        <v>3137</v>
      </c>
      <c r="X61" s="362">
        <v>44373.0</v>
      </c>
      <c r="Y61" s="352">
        <v>44391.0</v>
      </c>
      <c r="Z61" s="54"/>
      <c r="AA61" s="54"/>
      <c r="AB61" s="341" t="s">
        <v>316</v>
      </c>
      <c r="AC61" s="54"/>
      <c r="AD61" s="54"/>
      <c r="AE61" s="54"/>
      <c r="AF61" s="54"/>
      <c r="AG61" s="54"/>
      <c r="AH61" s="54"/>
      <c r="AI61" s="54"/>
      <c r="AJ61" s="54"/>
      <c r="AK61" s="54"/>
      <c r="AL61" s="54"/>
      <c r="AM61" s="54"/>
      <c r="AN61" s="54"/>
      <c r="AO61" s="54"/>
      <c r="AP61" s="54"/>
      <c r="AQ61" s="54"/>
      <c r="AR61" s="54"/>
      <c r="AS61" s="54"/>
      <c r="AT61" s="54"/>
    </row>
    <row r="62">
      <c r="A62" s="93">
        <v>2016.0</v>
      </c>
      <c r="B62" s="348">
        <v>44376.08610893518</v>
      </c>
      <c r="C62" s="54" t="s">
        <v>193</v>
      </c>
      <c r="D62" s="93">
        <v>1.600016077E9</v>
      </c>
      <c r="E62" s="54" t="s">
        <v>3168</v>
      </c>
      <c r="F62" s="56" t="s">
        <v>195</v>
      </c>
      <c r="G62" s="54" t="s">
        <v>196</v>
      </c>
      <c r="H62" s="355">
        <v>43799.0</v>
      </c>
      <c r="I62" s="355">
        <v>43992.0</v>
      </c>
      <c r="J62" s="54" t="s">
        <v>399</v>
      </c>
      <c r="K62" s="54" t="s">
        <v>183</v>
      </c>
      <c r="L62" s="54" t="s">
        <v>241</v>
      </c>
      <c r="M62" s="57"/>
      <c r="N62" s="57"/>
      <c r="O62" s="57"/>
      <c r="P62" s="57"/>
      <c r="Q62" s="57"/>
      <c r="R62" s="57"/>
      <c r="S62" s="54" t="s">
        <v>3169</v>
      </c>
      <c r="T62" s="54" t="s">
        <v>183</v>
      </c>
      <c r="U62" s="54" t="s">
        <v>241</v>
      </c>
      <c r="V62" s="54" t="s">
        <v>3170</v>
      </c>
      <c r="W62" s="93" t="s">
        <v>3126</v>
      </c>
      <c r="X62" s="362">
        <v>44389.0</v>
      </c>
      <c r="Y62" s="350"/>
      <c r="Z62" s="54"/>
      <c r="AA62" s="54"/>
      <c r="AB62" s="341" t="s">
        <v>316</v>
      </c>
      <c r="AC62" s="54"/>
      <c r="AD62" s="54"/>
      <c r="AE62" s="54"/>
      <c r="AF62" s="54"/>
      <c r="AG62" s="54"/>
      <c r="AH62" s="54"/>
      <c r="AI62" s="54"/>
      <c r="AJ62" s="54"/>
      <c r="AK62" s="54"/>
      <c r="AL62" s="54"/>
      <c r="AM62" s="54"/>
      <c r="AN62" s="54"/>
      <c r="AO62" s="54"/>
      <c r="AP62" s="54"/>
      <c r="AQ62" s="54"/>
      <c r="AR62" s="54"/>
      <c r="AS62" s="54"/>
      <c r="AT62" s="54"/>
    </row>
    <row r="63">
      <c r="A63" s="93">
        <v>2015.0</v>
      </c>
      <c r="B63" s="348">
        <v>44376.55218508102</v>
      </c>
      <c r="C63" s="54" t="s">
        <v>291</v>
      </c>
      <c r="D63" s="93">
        <v>1.500016034E9</v>
      </c>
      <c r="E63" s="54" t="s">
        <v>292</v>
      </c>
      <c r="F63" s="56" t="s">
        <v>3171</v>
      </c>
      <c r="G63" s="54" t="s">
        <v>294</v>
      </c>
      <c r="H63" s="355">
        <v>44244.0</v>
      </c>
      <c r="I63" s="355">
        <v>44243.0</v>
      </c>
      <c r="J63" s="54" t="s">
        <v>399</v>
      </c>
      <c r="K63" s="54" t="s">
        <v>230</v>
      </c>
      <c r="L63" s="54" t="s">
        <v>1900</v>
      </c>
      <c r="M63" s="57"/>
      <c r="N63" s="57"/>
      <c r="O63" s="57"/>
      <c r="P63" s="57"/>
      <c r="Q63" s="57"/>
      <c r="R63" s="57"/>
      <c r="S63" s="54" t="s">
        <v>3172</v>
      </c>
      <c r="T63" s="54" t="s">
        <v>230</v>
      </c>
      <c r="U63" s="54" t="s">
        <v>1900</v>
      </c>
      <c r="V63" s="54" t="s">
        <v>117</v>
      </c>
      <c r="W63" s="93" t="s">
        <v>3130</v>
      </c>
      <c r="X63" s="362">
        <v>44390.0</v>
      </c>
      <c r="Y63" s="341" t="s">
        <v>3173</v>
      </c>
      <c r="Z63" s="54"/>
      <c r="AA63" s="54"/>
      <c r="AB63" s="341" t="s">
        <v>316</v>
      </c>
      <c r="AC63" s="54"/>
      <c r="AD63" s="54"/>
      <c r="AE63" s="54"/>
      <c r="AF63" s="54"/>
      <c r="AG63" s="54"/>
      <c r="AH63" s="54"/>
      <c r="AI63" s="54"/>
      <c r="AJ63" s="54"/>
      <c r="AK63" s="54"/>
      <c r="AL63" s="54"/>
      <c r="AM63" s="54"/>
      <c r="AN63" s="54"/>
      <c r="AO63" s="54"/>
      <c r="AP63" s="54"/>
      <c r="AQ63" s="54"/>
      <c r="AR63" s="54"/>
      <c r="AS63" s="54"/>
      <c r="AT63" s="54"/>
    </row>
    <row r="64">
      <c r="A64" s="93">
        <v>2015.0</v>
      </c>
      <c r="B64" s="348">
        <v>44379.13893423611</v>
      </c>
      <c r="C64" s="54" t="s">
        <v>226</v>
      </c>
      <c r="D64" s="93">
        <v>1.500016037E9</v>
      </c>
      <c r="E64" s="54" t="s">
        <v>227</v>
      </c>
      <c r="F64" s="56" t="s">
        <v>228</v>
      </c>
      <c r="G64" s="54" t="s">
        <v>3174</v>
      </c>
      <c r="H64" s="355">
        <v>44016.0</v>
      </c>
      <c r="I64" s="355">
        <v>44015.0</v>
      </c>
      <c r="J64" s="54" t="s">
        <v>399</v>
      </c>
      <c r="K64" s="54" t="s">
        <v>230</v>
      </c>
      <c r="L64" s="54" t="s">
        <v>117</v>
      </c>
      <c r="M64" s="57"/>
      <c r="N64" s="57"/>
      <c r="O64" s="57"/>
      <c r="P64" s="57"/>
      <c r="Q64" s="57"/>
      <c r="R64" s="57"/>
      <c r="S64" s="54" t="s">
        <v>3175</v>
      </c>
      <c r="T64" s="54" t="s">
        <v>230</v>
      </c>
      <c r="U64" s="54" t="s">
        <v>117</v>
      </c>
      <c r="V64" s="54" t="s">
        <v>2951</v>
      </c>
      <c r="W64" s="93" t="s">
        <v>3148</v>
      </c>
      <c r="X64" s="357">
        <v>44385.0</v>
      </c>
      <c r="Y64" s="341" t="s">
        <v>3155</v>
      </c>
      <c r="Z64" s="54"/>
      <c r="AA64" s="54"/>
      <c r="AB64" s="341" t="s">
        <v>316</v>
      </c>
      <c r="AC64" s="54"/>
      <c r="AD64" s="54"/>
      <c r="AE64" s="54"/>
      <c r="AF64" s="54"/>
      <c r="AG64" s="54"/>
      <c r="AH64" s="54"/>
      <c r="AI64" s="54"/>
      <c r="AJ64" s="54"/>
      <c r="AK64" s="54"/>
      <c r="AL64" s="54"/>
      <c r="AM64" s="54"/>
      <c r="AN64" s="54"/>
      <c r="AO64" s="54"/>
      <c r="AP64" s="54"/>
      <c r="AQ64" s="54"/>
      <c r="AR64" s="54"/>
      <c r="AS64" s="54"/>
      <c r="AT64" s="54"/>
    </row>
    <row r="65">
      <c r="A65" s="93">
        <v>2017.0</v>
      </c>
      <c r="B65" s="348">
        <v>44378.44976560185</v>
      </c>
      <c r="C65" s="54" t="s">
        <v>3176</v>
      </c>
      <c r="D65" s="93">
        <v>1.700016087E9</v>
      </c>
      <c r="E65" s="54" t="s">
        <v>3177</v>
      </c>
      <c r="F65" s="56" t="s">
        <v>350</v>
      </c>
      <c r="G65" s="54" t="s">
        <v>351</v>
      </c>
      <c r="H65" s="355">
        <v>44263.0</v>
      </c>
      <c r="I65" s="355">
        <v>44363.0</v>
      </c>
      <c r="J65" s="54" t="s">
        <v>399</v>
      </c>
      <c r="K65" s="54" t="s">
        <v>117</v>
      </c>
      <c r="L65" s="54" t="s">
        <v>183</v>
      </c>
      <c r="M65" s="57"/>
      <c r="N65" s="57"/>
      <c r="O65" s="57"/>
      <c r="P65" s="57"/>
      <c r="Q65" s="57"/>
      <c r="R65" s="57"/>
      <c r="S65" s="54" t="s">
        <v>3178</v>
      </c>
      <c r="T65" s="54" t="s">
        <v>117</v>
      </c>
      <c r="U65" s="54" t="s">
        <v>183</v>
      </c>
      <c r="V65" s="54" t="s">
        <v>703</v>
      </c>
      <c r="W65" s="93" t="s">
        <v>3162</v>
      </c>
      <c r="X65" s="357">
        <v>44386.0</v>
      </c>
      <c r="Y65" s="341" t="s">
        <v>3155</v>
      </c>
      <c r="Z65" s="54"/>
      <c r="AA65" s="54"/>
      <c r="AB65" s="341" t="s">
        <v>316</v>
      </c>
      <c r="AC65" s="54"/>
      <c r="AD65" s="54"/>
      <c r="AE65" s="54"/>
      <c r="AF65" s="54"/>
      <c r="AG65" s="54"/>
      <c r="AH65" s="54"/>
      <c r="AI65" s="54"/>
      <c r="AJ65" s="54"/>
      <c r="AK65" s="54"/>
      <c r="AL65" s="54"/>
      <c r="AM65" s="54"/>
      <c r="AN65" s="54"/>
      <c r="AO65" s="54"/>
      <c r="AP65" s="54"/>
      <c r="AQ65" s="54"/>
      <c r="AR65" s="54"/>
      <c r="AS65" s="54"/>
      <c r="AT65" s="54"/>
    </row>
    <row r="66">
      <c r="A66" s="93">
        <v>2014.0</v>
      </c>
      <c r="B66" s="348">
        <v>44382.50511078704</v>
      </c>
      <c r="C66" s="54" t="s">
        <v>3179</v>
      </c>
      <c r="D66" s="93">
        <v>1.400016017E9</v>
      </c>
      <c r="E66" s="54" t="s">
        <v>3180</v>
      </c>
      <c r="F66" s="56" t="s">
        <v>3181</v>
      </c>
      <c r="G66" s="54" t="s">
        <v>3182</v>
      </c>
      <c r="H66" s="355">
        <v>43560.0</v>
      </c>
      <c r="I66" s="355">
        <v>43593.0</v>
      </c>
      <c r="J66" s="54" t="s">
        <v>399</v>
      </c>
      <c r="K66" s="54" t="s">
        <v>230</v>
      </c>
      <c r="L66" s="54" t="s">
        <v>241</v>
      </c>
      <c r="M66" s="57"/>
      <c r="N66" s="57"/>
      <c r="O66" s="57"/>
      <c r="P66" s="57"/>
      <c r="Q66" s="57"/>
      <c r="R66" s="57"/>
      <c r="S66" s="54" t="s">
        <v>3183</v>
      </c>
      <c r="T66" s="54" t="s">
        <v>230</v>
      </c>
      <c r="U66" s="54" t="s">
        <v>241</v>
      </c>
      <c r="V66" s="54" t="s">
        <v>3170</v>
      </c>
      <c r="W66" s="93" t="s">
        <v>3130</v>
      </c>
      <c r="X66" s="362">
        <v>44390.0</v>
      </c>
      <c r="Y66" s="341" t="s">
        <v>3155</v>
      </c>
      <c r="Z66" s="54"/>
      <c r="AA66" s="54"/>
      <c r="AB66" s="341" t="s">
        <v>316</v>
      </c>
      <c r="AC66" s="54"/>
      <c r="AD66" s="54"/>
      <c r="AE66" s="54"/>
      <c r="AF66" s="54"/>
      <c r="AG66" s="54"/>
      <c r="AH66" s="54"/>
      <c r="AI66" s="54"/>
      <c r="AJ66" s="54"/>
      <c r="AK66" s="54"/>
      <c r="AL66" s="54"/>
      <c r="AM66" s="54"/>
      <c r="AN66" s="54"/>
      <c r="AO66" s="54"/>
      <c r="AP66" s="54"/>
      <c r="AQ66" s="54"/>
      <c r="AR66" s="54"/>
      <c r="AS66" s="54"/>
      <c r="AT66" s="54"/>
    </row>
    <row r="67">
      <c r="A67" s="93">
        <v>2016.0</v>
      </c>
      <c r="B67" s="348">
        <v>44383.705034432875</v>
      </c>
      <c r="C67" s="54" t="s">
        <v>246</v>
      </c>
      <c r="D67" s="93">
        <v>1.600016095E9</v>
      </c>
      <c r="E67" s="54" t="s">
        <v>247</v>
      </c>
      <c r="F67" s="56" t="s">
        <v>248</v>
      </c>
      <c r="G67" s="54" t="s">
        <v>3184</v>
      </c>
      <c r="H67" s="355">
        <v>44071.0</v>
      </c>
      <c r="I67" s="355">
        <v>44056.0</v>
      </c>
      <c r="J67" s="54" t="s">
        <v>399</v>
      </c>
      <c r="K67" s="54" t="s">
        <v>117</v>
      </c>
      <c r="L67" s="54" t="s">
        <v>1900</v>
      </c>
      <c r="M67" s="57"/>
      <c r="N67" s="57"/>
      <c r="O67" s="57"/>
      <c r="P67" s="57"/>
      <c r="Q67" s="57"/>
      <c r="R67" s="57"/>
      <c r="S67" s="54" t="s">
        <v>3185</v>
      </c>
      <c r="T67" s="54" t="s">
        <v>117</v>
      </c>
      <c r="U67" s="54" t="s">
        <v>1900</v>
      </c>
      <c r="V67" s="54" t="s">
        <v>703</v>
      </c>
      <c r="W67" s="93" t="s">
        <v>3130</v>
      </c>
      <c r="X67" s="362">
        <v>44390.0</v>
      </c>
      <c r="Y67" s="341" t="s">
        <v>3155</v>
      </c>
      <c r="Z67" s="54"/>
      <c r="AA67" s="54"/>
      <c r="AB67" s="341" t="s">
        <v>316</v>
      </c>
      <c r="AC67" s="54"/>
      <c r="AD67" s="54"/>
      <c r="AE67" s="54"/>
      <c r="AF67" s="54"/>
      <c r="AG67" s="54"/>
      <c r="AH67" s="54"/>
      <c r="AI67" s="54"/>
      <c r="AJ67" s="54"/>
      <c r="AK67" s="54"/>
      <c r="AL67" s="54"/>
      <c r="AM67" s="54"/>
      <c r="AN67" s="54"/>
      <c r="AO67" s="54"/>
      <c r="AP67" s="54"/>
      <c r="AQ67" s="54"/>
      <c r="AR67" s="54"/>
      <c r="AS67" s="54"/>
      <c r="AT67" s="54"/>
    </row>
    <row r="68">
      <c r="A68" s="93">
        <v>2017.0</v>
      </c>
      <c r="B68" s="348">
        <v>44399.66135516204</v>
      </c>
      <c r="C68" s="54" t="s">
        <v>365</v>
      </c>
      <c r="D68" s="93">
        <v>1.700016075E9</v>
      </c>
      <c r="E68" s="54" t="s">
        <v>366</v>
      </c>
      <c r="F68" s="56" t="s">
        <v>367</v>
      </c>
      <c r="G68" s="54" t="s">
        <v>3186</v>
      </c>
      <c r="H68" s="355">
        <v>44199.0</v>
      </c>
      <c r="I68" s="355">
        <v>44302.0</v>
      </c>
      <c r="J68" s="54" t="s">
        <v>399</v>
      </c>
      <c r="K68" s="54" t="s">
        <v>117</v>
      </c>
      <c r="L68" s="54" t="s">
        <v>183</v>
      </c>
      <c r="M68" s="57"/>
      <c r="N68" s="57"/>
      <c r="O68" s="57"/>
      <c r="P68" s="57"/>
      <c r="Q68" s="57"/>
      <c r="R68" s="57"/>
      <c r="S68" s="54" t="s">
        <v>3187</v>
      </c>
      <c r="T68" s="54" t="s">
        <v>117</v>
      </c>
      <c r="U68" s="54" t="s">
        <v>183</v>
      </c>
      <c r="V68" s="54" t="s">
        <v>2951</v>
      </c>
      <c r="W68" s="342" t="s">
        <v>3137</v>
      </c>
      <c r="X68" s="362">
        <v>44408.0</v>
      </c>
      <c r="Y68" s="341" t="s">
        <v>3188</v>
      </c>
      <c r="Z68" s="54"/>
      <c r="AA68" s="54"/>
      <c r="AB68" s="341" t="s">
        <v>316</v>
      </c>
      <c r="AC68" s="54"/>
      <c r="AD68" s="54"/>
      <c r="AE68" s="54"/>
      <c r="AF68" s="54"/>
      <c r="AG68" s="54"/>
      <c r="AH68" s="54"/>
      <c r="AI68" s="54"/>
      <c r="AJ68" s="54"/>
      <c r="AK68" s="54"/>
      <c r="AL68" s="54"/>
      <c r="AM68" s="54"/>
      <c r="AN68" s="54"/>
      <c r="AO68" s="54"/>
      <c r="AP68" s="54"/>
      <c r="AQ68" s="54"/>
      <c r="AR68" s="54"/>
      <c r="AS68" s="54"/>
      <c r="AT68" s="54"/>
    </row>
    <row r="69">
      <c r="A69" s="93">
        <v>2017.0</v>
      </c>
      <c r="B69" s="348">
        <v>44413.617440891205</v>
      </c>
      <c r="C69" s="54" t="s">
        <v>3189</v>
      </c>
      <c r="D69" s="93">
        <v>1.700016061E9</v>
      </c>
      <c r="E69" s="54" t="s">
        <v>336</v>
      </c>
      <c r="F69" s="56" t="s">
        <v>337</v>
      </c>
      <c r="G69" s="54" t="s">
        <v>3190</v>
      </c>
      <c r="H69" s="355">
        <v>44270.0</v>
      </c>
      <c r="I69" s="355">
        <v>44303.0</v>
      </c>
      <c r="J69" s="54" t="s">
        <v>399</v>
      </c>
      <c r="K69" s="54" t="s">
        <v>2379</v>
      </c>
      <c r="L69" s="54" t="s">
        <v>3013</v>
      </c>
      <c r="M69" s="57"/>
      <c r="N69" s="57"/>
      <c r="O69" s="57"/>
      <c r="P69" s="57"/>
      <c r="Q69" s="57"/>
      <c r="R69" s="57"/>
      <c r="S69" s="54" t="s">
        <v>3191</v>
      </c>
      <c r="T69" s="54" t="s">
        <v>2379</v>
      </c>
      <c r="U69" s="54" t="s">
        <v>3013</v>
      </c>
      <c r="V69" s="54" t="s">
        <v>2951</v>
      </c>
      <c r="W69" s="93" t="s">
        <v>3162</v>
      </c>
      <c r="X69" s="54" t="s">
        <v>3192</v>
      </c>
      <c r="Y69" s="341" t="s">
        <v>3193</v>
      </c>
      <c r="Z69" s="54"/>
      <c r="AA69" s="54"/>
      <c r="AB69" s="341" t="s">
        <v>316</v>
      </c>
      <c r="AC69" s="54"/>
      <c r="AD69" s="54"/>
      <c r="AE69" s="54"/>
      <c r="AF69" s="54"/>
      <c r="AG69" s="54"/>
      <c r="AH69" s="54"/>
      <c r="AI69" s="54"/>
      <c r="AJ69" s="54"/>
      <c r="AK69" s="54"/>
      <c r="AL69" s="54"/>
      <c r="AM69" s="54"/>
      <c r="AN69" s="54"/>
      <c r="AO69" s="54"/>
      <c r="AP69" s="54"/>
      <c r="AQ69" s="54"/>
      <c r="AR69" s="54"/>
      <c r="AS69" s="54"/>
      <c r="AT69" s="54"/>
    </row>
    <row r="70">
      <c r="A70" s="93">
        <v>2017.0</v>
      </c>
      <c r="B70" s="348">
        <v>44414.65201832176</v>
      </c>
      <c r="C70" s="54" t="s">
        <v>361</v>
      </c>
      <c r="D70" s="93">
        <v>1.700016066E9</v>
      </c>
      <c r="E70" s="54" t="s">
        <v>362</v>
      </c>
      <c r="F70" s="56" t="s">
        <v>363</v>
      </c>
      <c r="G70" s="54" t="s">
        <v>364</v>
      </c>
      <c r="H70" s="355">
        <v>44312.0</v>
      </c>
      <c r="I70" s="355">
        <v>44302.0</v>
      </c>
      <c r="J70" s="54" t="s">
        <v>399</v>
      </c>
      <c r="K70" s="54" t="s">
        <v>2379</v>
      </c>
      <c r="L70" s="54" t="s">
        <v>183</v>
      </c>
      <c r="M70" s="57"/>
      <c r="N70" s="57"/>
      <c r="O70" s="57"/>
      <c r="P70" s="57"/>
      <c r="Q70" s="57"/>
      <c r="R70" s="57"/>
      <c r="S70" s="54" t="s">
        <v>3194</v>
      </c>
      <c r="T70" s="54" t="s">
        <v>2379</v>
      </c>
      <c r="U70" s="54" t="s">
        <v>183</v>
      </c>
      <c r="V70" s="54" t="s">
        <v>3145</v>
      </c>
      <c r="W70" s="93" t="s">
        <v>3141</v>
      </c>
      <c r="X70" s="362">
        <v>44447.0</v>
      </c>
      <c r="Y70" s="364">
        <v>44528.0</v>
      </c>
      <c r="Z70" s="54"/>
      <c r="AA70" s="54"/>
      <c r="AB70" s="341" t="s">
        <v>316</v>
      </c>
      <c r="AC70" s="54"/>
      <c r="AD70" s="54"/>
      <c r="AE70" s="54"/>
      <c r="AF70" s="54"/>
      <c r="AG70" s="54"/>
      <c r="AH70" s="54"/>
      <c r="AI70" s="54"/>
      <c r="AJ70" s="54"/>
      <c r="AK70" s="54"/>
      <c r="AL70" s="54"/>
      <c r="AM70" s="54"/>
      <c r="AN70" s="54"/>
      <c r="AO70" s="54"/>
      <c r="AP70" s="54"/>
      <c r="AQ70" s="54"/>
      <c r="AR70" s="54"/>
      <c r="AS70" s="54"/>
      <c r="AT70" s="54"/>
    </row>
    <row r="71">
      <c r="A71" s="93">
        <v>2016.0</v>
      </c>
      <c r="B71" s="348">
        <v>44420.61377866898</v>
      </c>
      <c r="C71" s="54" t="s">
        <v>203</v>
      </c>
      <c r="D71" s="93">
        <v>1.60001609E9</v>
      </c>
      <c r="E71" s="54" t="s">
        <v>204</v>
      </c>
      <c r="F71" s="56" t="s">
        <v>205</v>
      </c>
      <c r="G71" s="54" t="s">
        <v>3195</v>
      </c>
      <c r="H71" s="355">
        <v>44146.0</v>
      </c>
      <c r="I71" s="355">
        <v>43992.0</v>
      </c>
      <c r="J71" s="54" t="s">
        <v>399</v>
      </c>
      <c r="K71" s="54" t="s">
        <v>183</v>
      </c>
      <c r="L71" s="54" t="s">
        <v>117</v>
      </c>
      <c r="M71" s="57"/>
      <c r="N71" s="57"/>
      <c r="O71" s="57"/>
      <c r="P71" s="57"/>
      <c r="Q71" s="57"/>
      <c r="R71" s="57"/>
      <c r="S71" s="54" t="s">
        <v>3196</v>
      </c>
      <c r="T71" s="54" t="s">
        <v>183</v>
      </c>
      <c r="U71" s="54" t="s">
        <v>117</v>
      </c>
      <c r="V71" s="54" t="s">
        <v>241</v>
      </c>
      <c r="W71" s="93" t="s">
        <v>3141</v>
      </c>
      <c r="X71" s="362">
        <v>44447.0</v>
      </c>
      <c r="Y71" s="364">
        <v>44558.0</v>
      </c>
      <c r="Z71" s="54"/>
      <c r="AA71" s="54"/>
      <c r="AB71" s="341" t="s">
        <v>316</v>
      </c>
      <c r="AC71" s="54"/>
      <c r="AD71" s="54"/>
      <c r="AE71" s="54"/>
      <c r="AF71" s="54"/>
      <c r="AG71" s="54"/>
      <c r="AH71" s="54"/>
      <c r="AI71" s="54"/>
      <c r="AJ71" s="54"/>
      <c r="AK71" s="54"/>
      <c r="AL71" s="54"/>
      <c r="AM71" s="54"/>
      <c r="AN71" s="54"/>
      <c r="AO71" s="54"/>
      <c r="AP71" s="54"/>
      <c r="AQ71" s="54"/>
      <c r="AR71" s="54"/>
      <c r="AS71" s="54"/>
      <c r="AT71" s="54"/>
    </row>
    <row r="72">
      <c r="A72" s="93">
        <v>2016.0</v>
      </c>
      <c r="B72" s="348">
        <v>44422.46683695602</v>
      </c>
      <c r="C72" s="54" t="s">
        <v>155</v>
      </c>
      <c r="D72" s="93">
        <v>1.600016045E9</v>
      </c>
      <c r="E72" s="54" t="s">
        <v>156</v>
      </c>
      <c r="F72" s="56" t="s">
        <v>3197</v>
      </c>
      <c r="G72" s="54" t="s">
        <v>3198</v>
      </c>
      <c r="H72" s="355">
        <v>43984.0</v>
      </c>
      <c r="I72" s="355">
        <v>44022.0</v>
      </c>
      <c r="J72" s="54" t="s">
        <v>399</v>
      </c>
      <c r="K72" s="54" t="s">
        <v>2379</v>
      </c>
      <c r="L72" s="54" t="s">
        <v>183</v>
      </c>
      <c r="M72" s="57"/>
      <c r="N72" s="57"/>
      <c r="O72" s="57"/>
      <c r="P72" s="57"/>
      <c r="Q72" s="57"/>
      <c r="R72" s="57"/>
      <c r="S72" s="54" t="s">
        <v>3199</v>
      </c>
      <c r="T72" s="54" t="s">
        <v>2379</v>
      </c>
      <c r="U72" s="54" t="s">
        <v>183</v>
      </c>
      <c r="V72" s="54" t="s">
        <v>3145</v>
      </c>
      <c r="W72" s="93" t="s">
        <v>3162</v>
      </c>
      <c r="X72" s="54" t="s">
        <v>3200</v>
      </c>
      <c r="Y72" s="364">
        <v>44528.0</v>
      </c>
      <c r="Z72" s="54"/>
      <c r="AA72" s="54"/>
      <c r="AB72" s="341" t="s">
        <v>316</v>
      </c>
      <c r="AC72" s="54"/>
      <c r="AD72" s="54"/>
      <c r="AE72" s="54"/>
      <c r="AF72" s="54"/>
      <c r="AG72" s="54"/>
      <c r="AH72" s="54"/>
      <c r="AI72" s="54"/>
      <c r="AJ72" s="54"/>
      <c r="AK72" s="54"/>
      <c r="AL72" s="54"/>
      <c r="AM72" s="54"/>
      <c r="AN72" s="54"/>
      <c r="AO72" s="54"/>
      <c r="AP72" s="54"/>
      <c r="AQ72" s="54"/>
      <c r="AR72" s="54"/>
      <c r="AS72" s="54"/>
      <c r="AT72" s="54"/>
    </row>
    <row r="73">
      <c r="A73" s="93">
        <v>2016.0</v>
      </c>
      <c r="B73" s="348">
        <v>44423.62033878472</v>
      </c>
      <c r="C73" s="54" t="s">
        <v>437</v>
      </c>
      <c r="D73" s="93">
        <v>1.600016097E9</v>
      </c>
      <c r="E73" s="54" t="s">
        <v>438</v>
      </c>
      <c r="F73" s="56" t="s">
        <v>152</v>
      </c>
      <c r="G73" s="54" t="s">
        <v>3201</v>
      </c>
      <c r="H73" s="355">
        <v>44280.0</v>
      </c>
      <c r="I73" s="355">
        <v>44308.0</v>
      </c>
      <c r="J73" s="54" t="s">
        <v>399</v>
      </c>
      <c r="K73" s="54" t="s">
        <v>2379</v>
      </c>
      <c r="L73" s="54" t="s">
        <v>183</v>
      </c>
      <c r="M73" s="57"/>
      <c r="N73" s="57"/>
      <c r="O73" s="57"/>
      <c r="P73" s="57"/>
      <c r="Q73" s="57"/>
      <c r="R73" s="57"/>
      <c r="S73" s="54" t="s">
        <v>3202</v>
      </c>
      <c r="T73" s="54" t="s">
        <v>2379</v>
      </c>
      <c r="U73" s="54" t="s">
        <v>183</v>
      </c>
      <c r="V73" s="54" t="s">
        <v>3145</v>
      </c>
      <c r="W73" s="93" t="s">
        <v>3162</v>
      </c>
      <c r="X73" s="54" t="s">
        <v>3200</v>
      </c>
      <c r="Y73" s="364">
        <v>44528.0</v>
      </c>
      <c r="Z73" s="54"/>
      <c r="AA73" s="54"/>
      <c r="AB73" s="341" t="s">
        <v>316</v>
      </c>
      <c r="AC73" s="54"/>
      <c r="AD73" s="54"/>
      <c r="AE73" s="54"/>
      <c r="AF73" s="54"/>
      <c r="AG73" s="54"/>
      <c r="AH73" s="54"/>
      <c r="AI73" s="54"/>
      <c r="AJ73" s="54"/>
      <c r="AK73" s="54"/>
      <c r="AL73" s="54"/>
      <c r="AM73" s="54"/>
      <c r="AN73" s="54"/>
      <c r="AO73" s="54"/>
      <c r="AP73" s="54"/>
      <c r="AQ73" s="54"/>
      <c r="AR73" s="54"/>
      <c r="AS73" s="54"/>
      <c r="AT73" s="54"/>
    </row>
    <row r="74">
      <c r="A74" s="93">
        <v>2016.0</v>
      </c>
      <c r="B74" s="348">
        <v>44424.59761657407</v>
      </c>
      <c r="C74" s="54" t="s">
        <v>3203</v>
      </c>
      <c r="D74" s="93">
        <v>1.600016013E9</v>
      </c>
      <c r="E74" s="54" t="s">
        <v>3204</v>
      </c>
      <c r="F74" s="56" t="s">
        <v>283</v>
      </c>
      <c r="G74" s="54" t="s">
        <v>3205</v>
      </c>
      <c r="H74" s="355">
        <v>43966.0</v>
      </c>
      <c r="I74" s="355">
        <v>44184.0</v>
      </c>
      <c r="J74" s="54" t="s">
        <v>399</v>
      </c>
      <c r="K74" s="54" t="s">
        <v>2379</v>
      </c>
      <c r="L74" s="54" t="s">
        <v>183</v>
      </c>
      <c r="M74" s="57"/>
      <c r="N74" s="57"/>
      <c r="O74" s="57"/>
      <c r="P74" s="57"/>
      <c r="Q74" s="57"/>
      <c r="R74" s="57"/>
      <c r="S74" s="54" t="s">
        <v>3206</v>
      </c>
      <c r="T74" s="54" t="s">
        <v>2379</v>
      </c>
      <c r="U74" s="54" t="s">
        <v>183</v>
      </c>
      <c r="V74" s="54" t="s">
        <v>241</v>
      </c>
      <c r="W74" s="93" t="s">
        <v>3126</v>
      </c>
      <c r="X74" s="362">
        <v>44452.0</v>
      </c>
      <c r="Y74" s="350"/>
      <c r="Z74" s="54"/>
      <c r="AA74" s="54"/>
      <c r="AB74" s="341" t="s">
        <v>316</v>
      </c>
      <c r="AC74" s="54"/>
      <c r="AD74" s="54"/>
      <c r="AE74" s="54"/>
      <c r="AF74" s="54"/>
      <c r="AG74" s="54"/>
      <c r="AH74" s="54"/>
      <c r="AI74" s="54"/>
      <c r="AJ74" s="54"/>
      <c r="AK74" s="54"/>
      <c r="AL74" s="54"/>
      <c r="AM74" s="54"/>
      <c r="AN74" s="54"/>
      <c r="AO74" s="54"/>
      <c r="AP74" s="54"/>
      <c r="AQ74" s="54"/>
      <c r="AR74" s="54"/>
      <c r="AS74" s="54"/>
      <c r="AT74" s="54"/>
    </row>
    <row r="75">
      <c r="A75" s="93">
        <v>2016.0</v>
      </c>
      <c r="B75" s="348">
        <v>44429.800968958334</v>
      </c>
      <c r="C75" s="54" t="s">
        <v>420</v>
      </c>
      <c r="D75" s="93">
        <v>1.600016003E9</v>
      </c>
      <c r="E75" s="54" t="s">
        <v>421</v>
      </c>
      <c r="F75" s="56" t="s">
        <v>422</v>
      </c>
      <c r="G75" s="54" t="s">
        <v>423</v>
      </c>
      <c r="H75" s="355">
        <v>44287.0</v>
      </c>
      <c r="I75" s="355">
        <v>44308.0</v>
      </c>
      <c r="J75" s="54" t="s">
        <v>399</v>
      </c>
      <c r="K75" s="54" t="s">
        <v>2379</v>
      </c>
      <c r="L75" s="54" t="s">
        <v>183</v>
      </c>
      <c r="M75" s="57"/>
      <c r="N75" s="57"/>
      <c r="O75" s="57"/>
      <c r="P75" s="57"/>
      <c r="Q75" s="57"/>
      <c r="R75" s="57"/>
      <c r="S75" s="54" t="s">
        <v>3207</v>
      </c>
      <c r="T75" s="54" t="s">
        <v>2379</v>
      </c>
      <c r="U75" s="54" t="s">
        <v>183</v>
      </c>
      <c r="V75" s="54" t="s">
        <v>241</v>
      </c>
      <c r="W75" s="93" t="s">
        <v>3126</v>
      </c>
      <c r="X75" s="362">
        <v>44452.0</v>
      </c>
      <c r="Y75" s="364">
        <v>44528.0</v>
      </c>
      <c r="Z75" s="54"/>
      <c r="AA75" s="54"/>
      <c r="AB75" s="341" t="s">
        <v>316</v>
      </c>
      <c r="AC75" s="54"/>
      <c r="AD75" s="54"/>
      <c r="AE75" s="54"/>
      <c r="AF75" s="54"/>
      <c r="AG75" s="54"/>
      <c r="AH75" s="54"/>
      <c r="AI75" s="54"/>
      <c r="AJ75" s="54"/>
      <c r="AK75" s="54"/>
      <c r="AL75" s="54"/>
      <c r="AM75" s="54"/>
      <c r="AN75" s="54"/>
      <c r="AO75" s="54"/>
      <c r="AP75" s="54"/>
      <c r="AQ75" s="54"/>
      <c r="AR75" s="54"/>
      <c r="AS75" s="54"/>
      <c r="AT75" s="54"/>
    </row>
    <row r="76">
      <c r="A76" s="93">
        <v>2017.0</v>
      </c>
      <c r="B76" s="348">
        <v>44447.51037584491</v>
      </c>
      <c r="C76" s="54" t="s">
        <v>3208</v>
      </c>
      <c r="D76" s="93">
        <v>1.700016131E9</v>
      </c>
      <c r="E76" s="54" t="s">
        <v>354</v>
      </c>
      <c r="F76" s="56" t="s">
        <v>355</v>
      </c>
      <c r="G76" s="54" t="s">
        <v>3209</v>
      </c>
      <c r="H76" s="355">
        <v>44274.0</v>
      </c>
      <c r="I76" s="355">
        <v>44301.0</v>
      </c>
      <c r="J76" s="54" t="s">
        <v>399</v>
      </c>
      <c r="K76" s="54" t="s">
        <v>2379</v>
      </c>
      <c r="L76" s="54" t="s">
        <v>1900</v>
      </c>
      <c r="M76" s="57"/>
      <c r="N76" s="57"/>
      <c r="O76" s="57"/>
      <c r="P76" s="57"/>
      <c r="Q76" s="57"/>
      <c r="R76" s="54"/>
      <c r="S76" s="365" t="s">
        <v>3210</v>
      </c>
      <c r="T76" s="54" t="s">
        <v>2379</v>
      </c>
      <c r="U76" s="54" t="s">
        <v>1900</v>
      </c>
      <c r="V76" s="54" t="s">
        <v>703</v>
      </c>
      <c r="W76" s="93" t="s">
        <v>3137</v>
      </c>
      <c r="X76" s="362">
        <v>44457.0</v>
      </c>
      <c r="Y76" s="364">
        <v>44528.0</v>
      </c>
      <c r="Z76" s="54"/>
      <c r="AA76" s="54"/>
      <c r="AB76" s="341" t="s">
        <v>316</v>
      </c>
      <c r="AC76" s="54"/>
      <c r="AD76" s="54"/>
      <c r="AE76" s="54"/>
      <c r="AF76" s="54"/>
      <c r="AG76" s="54"/>
      <c r="AH76" s="54"/>
      <c r="AI76" s="54"/>
      <c r="AJ76" s="54"/>
      <c r="AK76" s="54"/>
      <c r="AL76" s="54"/>
      <c r="AM76" s="54"/>
      <c r="AN76" s="54"/>
      <c r="AO76" s="54"/>
      <c r="AP76" s="54"/>
      <c r="AQ76" s="54"/>
      <c r="AR76" s="54"/>
      <c r="AS76" s="54"/>
      <c r="AT76" s="54"/>
    </row>
    <row r="77">
      <c r="A77" s="93">
        <v>2017.0</v>
      </c>
      <c r="B77" s="348">
        <v>44447.53147976851</v>
      </c>
      <c r="C77" s="54" t="s">
        <v>331</v>
      </c>
      <c r="D77" s="93">
        <v>1.700016051E9</v>
      </c>
      <c r="E77" s="54" t="s">
        <v>332</v>
      </c>
      <c r="F77" s="56" t="s">
        <v>333</v>
      </c>
      <c r="G77" s="54" t="s">
        <v>3211</v>
      </c>
      <c r="H77" s="355">
        <v>44274.0</v>
      </c>
      <c r="I77" s="355">
        <v>44302.0</v>
      </c>
      <c r="J77" s="54" t="s">
        <v>399</v>
      </c>
      <c r="K77" s="54" t="s">
        <v>2379</v>
      </c>
      <c r="L77" s="54" t="s">
        <v>1900</v>
      </c>
      <c r="M77" s="57"/>
      <c r="N77" s="57"/>
      <c r="O77" s="57"/>
      <c r="P77" s="57"/>
      <c r="Q77" s="57"/>
      <c r="R77" s="54"/>
      <c r="S77" s="365" t="s">
        <v>3212</v>
      </c>
      <c r="T77" s="54" t="s">
        <v>2379</v>
      </c>
      <c r="U77" s="54" t="s">
        <v>1900</v>
      </c>
      <c r="V77" s="54" t="s">
        <v>117</v>
      </c>
      <c r="W77" s="93" t="s">
        <v>3137</v>
      </c>
      <c r="X77" s="362">
        <v>44457.0</v>
      </c>
      <c r="Y77" s="364">
        <v>44528.0</v>
      </c>
      <c r="Z77" s="54"/>
      <c r="AA77" s="54"/>
      <c r="AB77" s="341" t="s">
        <v>316</v>
      </c>
      <c r="AC77" s="54"/>
      <c r="AD77" s="54"/>
      <c r="AE77" s="54"/>
      <c r="AF77" s="54"/>
      <c r="AG77" s="54"/>
      <c r="AH77" s="54"/>
      <c r="AI77" s="54"/>
      <c r="AJ77" s="54"/>
      <c r="AK77" s="54"/>
      <c r="AL77" s="54"/>
      <c r="AM77" s="54"/>
      <c r="AN77" s="54"/>
      <c r="AO77" s="54"/>
      <c r="AP77" s="54"/>
      <c r="AQ77" s="54"/>
      <c r="AR77" s="54"/>
      <c r="AS77" s="54"/>
      <c r="AT77" s="54"/>
    </row>
    <row r="78">
      <c r="A78" s="93">
        <v>2017.0</v>
      </c>
      <c r="B78" s="348">
        <v>44447.62352136574</v>
      </c>
      <c r="C78" s="54" t="s">
        <v>357</v>
      </c>
      <c r="D78" s="93">
        <v>1.700016127E9</v>
      </c>
      <c r="E78" s="54" t="s">
        <v>3213</v>
      </c>
      <c r="F78" s="56" t="s">
        <v>359</v>
      </c>
      <c r="G78" s="54" t="s">
        <v>3214</v>
      </c>
      <c r="H78" s="355">
        <v>44274.0</v>
      </c>
      <c r="I78" s="355">
        <v>44303.0</v>
      </c>
      <c r="J78" s="54" t="s">
        <v>399</v>
      </c>
      <c r="K78" s="54" t="s">
        <v>2379</v>
      </c>
      <c r="L78" s="54" t="s">
        <v>230</v>
      </c>
      <c r="M78" s="57"/>
      <c r="N78" s="57"/>
      <c r="O78" s="57"/>
      <c r="P78" s="57"/>
      <c r="Q78" s="57"/>
      <c r="R78" s="54"/>
      <c r="S78" s="365" t="s">
        <v>3215</v>
      </c>
      <c r="T78" s="54" t="s">
        <v>2379</v>
      </c>
      <c r="U78" s="54" t="s">
        <v>230</v>
      </c>
      <c r="V78" s="54" t="s">
        <v>703</v>
      </c>
      <c r="W78" s="366" t="s">
        <v>3162</v>
      </c>
      <c r="X78" s="362">
        <v>44457.0</v>
      </c>
      <c r="Y78" s="364">
        <v>44520.0</v>
      </c>
      <c r="Z78" s="54"/>
      <c r="AA78" s="54"/>
      <c r="AB78" s="341" t="s">
        <v>316</v>
      </c>
      <c r="AC78" s="54"/>
      <c r="AD78" s="54"/>
      <c r="AE78" s="54"/>
      <c r="AF78" s="54"/>
      <c r="AG78" s="54"/>
      <c r="AH78" s="54"/>
      <c r="AI78" s="54"/>
      <c r="AJ78" s="54"/>
      <c r="AK78" s="54"/>
      <c r="AL78" s="54"/>
      <c r="AM78" s="54"/>
      <c r="AN78" s="54"/>
      <c r="AO78" s="54"/>
      <c r="AP78" s="54"/>
      <c r="AQ78" s="54"/>
      <c r="AR78" s="54"/>
      <c r="AS78" s="54"/>
      <c r="AT78" s="54"/>
    </row>
    <row r="79">
      <c r="A79" s="93">
        <v>2017.0</v>
      </c>
      <c r="B79" s="367">
        <v>44457.774218935185</v>
      </c>
      <c r="C79" s="66" t="s">
        <v>610</v>
      </c>
      <c r="D79" s="366">
        <v>1.700016119E9</v>
      </c>
      <c r="E79" s="66" t="s">
        <v>611</v>
      </c>
      <c r="F79" s="68" t="s">
        <v>612</v>
      </c>
      <c r="G79" s="66" t="s">
        <v>3216</v>
      </c>
      <c r="H79" s="368">
        <v>44317.0</v>
      </c>
      <c r="I79" s="368">
        <v>44366.0</v>
      </c>
      <c r="J79" s="66" t="s">
        <v>399</v>
      </c>
      <c r="K79" s="66" t="s">
        <v>183</v>
      </c>
      <c r="L79" s="66" t="s">
        <v>3013</v>
      </c>
      <c r="M79" s="369"/>
      <c r="N79" s="369"/>
      <c r="O79" s="369"/>
      <c r="P79" s="369"/>
      <c r="Q79" s="369"/>
      <c r="R79" s="369"/>
      <c r="S79" s="66" t="s">
        <v>3217</v>
      </c>
      <c r="T79" s="66" t="s">
        <v>183</v>
      </c>
      <c r="U79" s="66" t="s">
        <v>3013</v>
      </c>
      <c r="V79" s="54" t="s">
        <v>2951</v>
      </c>
      <c r="W79" s="366" t="s">
        <v>3162</v>
      </c>
      <c r="X79" s="66" t="s">
        <v>3218</v>
      </c>
      <c r="Y79" s="364">
        <v>44528.0</v>
      </c>
      <c r="Z79" s="66"/>
      <c r="AA79" s="66"/>
      <c r="AB79" s="341" t="s">
        <v>316</v>
      </c>
      <c r="AC79" s="54"/>
      <c r="AD79" s="54"/>
      <c r="AE79" s="54"/>
      <c r="AF79" s="54"/>
      <c r="AG79" s="54"/>
      <c r="AH79" s="54"/>
      <c r="AI79" s="54"/>
      <c r="AJ79" s="54"/>
      <c r="AK79" s="54"/>
      <c r="AL79" s="54"/>
      <c r="AM79" s="54"/>
      <c r="AN79" s="54"/>
      <c r="AO79" s="54"/>
      <c r="AP79" s="54"/>
      <c r="AQ79" s="54"/>
      <c r="AR79" s="54"/>
      <c r="AS79" s="54"/>
      <c r="AT79" s="54"/>
    </row>
    <row r="80">
      <c r="A80" s="93">
        <v>2015.0</v>
      </c>
      <c r="B80" s="348">
        <v>44460.5544280787</v>
      </c>
      <c r="C80" s="54" t="s">
        <v>3219</v>
      </c>
      <c r="D80" s="93">
        <v>1.500016047E9</v>
      </c>
      <c r="E80" s="54" t="s">
        <v>3220</v>
      </c>
      <c r="F80" s="56" t="s">
        <v>3221</v>
      </c>
      <c r="G80" s="54" t="s">
        <v>3222</v>
      </c>
      <c r="H80" s="355">
        <v>43739.0</v>
      </c>
      <c r="I80" s="355">
        <v>43795.0</v>
      </c>
      <c r="J80" s="54" t="s">
        <v>399</v>
      </c>
      <c r="K80" s="54" t="s">
        <v>183</v>
      </c>
      <c r="L80" s="54" t="s">
        <v>1900</v>
      </c>
      <c r="M80" s="57"/>
      <c r="N80" s="57"/>
      <c r="O80" s="57"/>
      <c r="P80" s="57"/>
      <c r="Q80" s="57"/>
      <c r="R80" s="57"/>
      <c r="S80" s="54" t="s">
        <v>3223</v>
      </c>
      <c r="T80" s="54" t="s">
        <v>3224</v>
      </c>
      <c r="U80" s="54" t="s">
        <v>1900</v>
      </c>
      <c r="V80" s="54" t="s">
        <v>117</v>
      </c>
      <c r="W80" s="366" t="s">
        <v>3162</v>
      </c>
      <c r="X80" s="357">
        <v>44477.0</v>
      </c>
      <c r="Y80" s="350"/>
      <c r="Z80" s="54"/>
      <c r="AA80" s="54"/>
      <c r="AB80" s="341" t="s">
        <v>316</v>
      </c>
      <c r="AC80" s="54"/>
      <c r="AD80" s="54"/>
      <c r="AE80" s="54"/>
      <c r="AF80" s="54"/>
      <c r="AG80" s="54"/>
      <c r="AH80" s="54"/>
      <c r="AI80" s="54"/>
      <c r="AJ80" s="54"/>
      <c r="AK80" s="54"/>
      <c r="AL80" s="54"/>
      <c r="AM80" s="54"/>
      <c r="AN80" s="54"/>
      <c r="AO80" s="54"/>
      <c r="AP80" s="54"/>
      <c r="AQ80" s="54"/>
      <c r="AR80" s="54"/>
      <c r="AS80" s="54"/>
      <c r="AT80" s="54"/>
    </row>
    <row r="81">
      <c r="A81" s="93">
        <v>2017.0</v>
      </c>
      <c r="B81" s="348">
        <v>44463.650127175926</v>
      </c>
      <c r="C81" s="54" t="s">
        <v>415</v>
      </c>
      <c r="D81" s="93">
        <v>1.700016092E9</v>
      </c>
      <c r="E81" s="54" t="s">
        <v>416</v>
      </c>
      <c r="F81" s="56" t="s">
        <v>417</v>
      </c>
      <c r="G81" s="54" t="s">
        <v>3225</v>
      </c>
      <c r="H81" s="355">
        <v>44309.0</v>
      </c>
      <c r="I81" s="355">
        <v>44309.0</v>
      </c>
      <c r="J81" s="54" t="s">
        <v>399</v>
      </c>
      <c r="K81" s="54" t="s">
        <v>1900</v>
      </c>
      <c r="L81" s="54" t="s">
        <v>703</v>
      </c>
      <c r="M81" s="57"/>
      <c r="N81" s="57"/>
      <c r="O81" s="57"/>
      <c r="P81" s="57"/>
      <c r="Q81" s="57"/>
      <c r="R81" s="57"/>
      <c r="S81" s="54" t="s">
        <v>3226</v>
      </c>
      <c r="T81" s="54" t="s">
        <v>1900</v>
      </c>
      <c r="U81" s="54" t="s">
        <v>703</v>
      </c>
      <c r="V81" s="54" t="s">
        <v>117</v>
      </c>
      <c r="W81" s="366" t="s">
        <v>3162</v>
      </c>
      <c r="X81" s="357">
        <v>44478.0</v>
      </c>
      <c r="Y81" s="350"/>
      <c r="Z81" s="54"/>
      <c r="AA81" s="54"/>
      <c r="AB81" s="341" t="s">
        <v>316</v>
      </c>
      <c r="AC81" s="54"/>
      <c r="AD81" s="54"/>
      <c r="AE81" s="54"/>
      <c r="AF81" s="54"/>
      <c r="AG81" s="54"/>
      <c r="AH81" s="54"/>
      <c r="AI81" s="54"/>
      <c r="AJ81" s="54"/>
      <c r="AK81" s="54"/>
      <c r="AL81" s="54"/>
      <c r="AM81" s="54"/>
      <c r="AN81" s="54"/>
      <c r="AO81" s="54"/>
      <c r="AP81" s="54"/>
      <c r="AQ81" s="54"/>
      <c r="AR81" s="54"/>
      <c r="AS81" s="54"/>
      <c r="AT81" s="54"/>
    </row>
    <row r="82">
      <c r="A82" s="93">
        <v>2016.0</v>
      </c>
      <c r="B82" s="348">
        <v>44440.55443287037</v>
      </c>
      <c r="C82" s="54" t="s">
        <v>3219</v>
      </c>
      <c r="D82" s="93">
        <v>1.500016047E9</v>
      </c>
      <c r="E82" s="54" t="s">
        <v>3220</v>
      </c>
      <c r="F82" s="93">
        <v>8.2335385939E10</v>
      </c>
      <c r="G82" s="54" t="s">
        <v>3222</v>
      </c>
      <c r="H82" s="370">
        <v>43739.0</v>
      </c>
      <c r="I82" s="371">
        <v>43795.0</v>
      </c>
      <c r="J82" s="54" t="s">
        <v>399</v>
      </c>
      <c r="K82" s="54" t="s">
        <v>183</v>
      </c>
      <c r="L82" s="54" t="s">
        <v>1900</v>
      </c>
      <c r="M82" s="57"/>
      <c r="N82" s="57"/>
      <c r="O82" s="57"/>
      <c r="P82" s="57"/>
      <c r="Q82" s="57"/>
      <c r="R82" s="57"/>
      <c r="S82" s="54" t="s">
        <v>3223</v>
      </c>
      <c r="T82" s="54" t="s">
        <v>3224</v>
      </c>
      <c r="U82" s="54" t="s">
        <v>1900</v>
      </c>
      <c r="V82" s="54" t="s">
        <v>117</v>
      </c>
      <c r="W82" s="93" t="s">
        <v>3130</v>
      </c>
      <c r="X82" s="357">
        <v>44481.0</v>
      </c>
      <c r="Y82" s="341" t="s">
        <v>3188</v>
      </c>
      <c r="Z82" s="54"/>
      <c r="AA82" s="54"/>
      <c r="AB82" s="341" t="s">
        <v>316</v>
      </c>
      <c r="AC82" s="54"/>
      <c r="AD82" s="54"/>
      <c r="AE82" s="54"/>
      <c r="AF82" s="54"/>
      <c r="AG82" s="54"/>
      <c r="AH82" s="54"/>
      <c r="AI82" s="54"/>
      <c r="AJ82" s="54"/>
      <c r="AK82" s="54"/>
      <c r="AL82" s="54"/>
      <c r="AM82" s="54"/>
      <c r="AN82" s="54"/>
      <c r="AO82" s="54"/>
      <c r="AP82" s="54"/>
      <c r="AQ82" s="54"/>
      <c r="AR82" s="54"/>
      <c r="AS82" s="54"/>
      <c r="AT82" s="54"/>
    </row>
    <row r="83">
      <c r="A83" s="93">
        <v>2017.0</v>
      </c>
      <c r="B83" s="348">
        <v>44476.4857066088</v>
      </c>
      <c r="C83" s="54" t="s">
        <v>369</v>
      </c>
      <c r="D83" s="93">
        <v>1.700016043E9</v>
      </c>
      <c r="E83" s="54" t="s">
        <v>3227</v>
      </c>
      <c r="F83" s="56" t="s">
        <v>371</v>
      </c>
      <c r="G83" s="54" t="s">
        <v>3228</v>
      </c>
      <c r="H83" s="355">
        <v>44312.0</v>
      </c>
      <c r="I83" s="355">
        <v>44301.0</v>
      </c>
      <c r="J83" s="54" t="s">
        <v>399</v>
      </c>
      <c r="K83" s="54" t="s">
        <v>2379</v>
      </c>
      <c r="L83" s="54" t="s">
        <v>1900</v>
      </c>
      <c r="M83" s="57"/>
      <c r="N83" s="57"/>
      <c r="O83" s="57"/>
      <c r="P83" s="57"/>
      <c r="Q83" s="57"/>
      <c r="R83" s="54"/>
      <c r="S83" s="365" t="s">
        <v>3229</v>
      </c>
      <c r="T83" s="54"/>
      <c r="U83" s="54"/>
      <c r="V83" s="54"/>
      <c r="W83" s="93" t="s">
        <v>3137</v>
      </c>
      <c r="X83" s="357">
        <v>44492.0</v>
      </c>
      <c r="Y83" s="372">
        <v>44589.0</v>
      </c>
      <c r="Z83" s="54"/>
      <c r="AA83" s="54"/>
      <c r="AB83" s="341" t="s">
        <v>316</v>
      </c>
      <c r="AC83" s="54"/>
      <c r="AD83" s="54"/>
      <c r="AE83" s="54"/>
      <c r="AF83" s="54"/>
      <c r="AG83" s="54"/>
      <c r="AH83" s="54"/>
      <c r="AI83" s="54"/>
      <c r="AJ83" s="54"/>
      <c r="AK83" s="54"/>
      <c r="AL83" s="54"/>
      <c r="AM83" s="54"/>
      <c r="AN83" s="54"/>
      <c r="AO83" s="54"/>
      <c r="AP83" s="54"/>
      <c r="AQ83" s="54"/>
      <c r="AR83" s="54"/>
      <c r="AS83" s="54"/>
      <c r="AT83" s="54"/>
    </row>
    <row r="84">
      <c r="A84" s="93">
        <v>2017.0</v>
      </c>
      <c r="B84" s="348">
        <v>44476.677818993056</v>
      </c>
      <c r="C84" s="54" t="s">
        <v>373</v>
      </c>
      <c r="D84" s="93">
        <v>1.700016113E9</v>
      </c>
      <c r="E84" s="54" t="s">
        <v>374</v>
      </c>
      <c r="F84" s="56" t="s">
        <v>375</v>
      </c>
      <c r="G84" s="54" t="s">
        <v>3230</v>
      </c>
      <c r="H84" s="355">
        <v>44312.0</v>
      </c>
      <c r="I84" s="355">
        <v>44301.0</v>
      </c>
      <c r="J84" s="54" t="s">
        <v>399</v>
      </c>
      <c r="K84" s="54" t="s">
        <v>2379</v>
      </c>
      <c r="L84" s="54" t="s">
        <v>1900</v>
      </c>
      <c r="M84" s="57"/>
      <c r="N84" s="57"/>
      <c r="O84" s="57"/>
      <c r="P84" s="57"/>
      <c r="Q84" s="57"/>
      <c r="R84" s="54"/>
      <c r="S84" s="365" t="s">
        <v>3231</v>
      </c>
      <c r="T84" s="54"/>
      <c r="U84" s="54"/>
      <c r="V84" s="54"/>
      <c r="W84" s="93" t="s">
        <v>3137</v>
      </c>
      <c r="X84" s="357">
        <v>44492.0</v>
      </c>
      <c r="Y84" s="364">
        <v>44558.0</v>
      </c>
      <c r="Z84" s="54"/>
      <c r="AA84" s="54"/>
      <c r="AB84" s="341" t="s">
        <v>316</v>
      </c>
      <c r="AC84" s="54"/>
      <c r="AD84" s="54"/>
      <c r="AE84" s="54"/>
      <c r="AF84" s="54"/>
      <c r="AG84" s="54"/>
      <c r="AH84" s="54"/>
      <c r="AI84" s="54"/>
      <c r="AJ84" s="54"/>
      <c r="AK84" s="54"/>
      <c r="AL84" s="54"/>
      <c r="AM84" s="54"/>
      <c r="AN84" s="54"/>
      <c r="AO84" s="54"/>
      <c r="AP84" s="54"/>
      <c r="AQ84" s="54"/>
      <c r="AR84" s="54"/>
      <c r="AS84" s="54"/>
      <c r="AT84" s="54"/>
    </row>
    <row r="85">
      <c r="A85" s="93">
        <v>2016.0</v>
      </c>
      <c r="B85" s="348">
        <v>44492.56748329861</v>
      </c>
      <c r="C85" s="54" t="s">
        <v>3232</v>
      </c>
      <c r="D85" s="93">
        <v>1.600016029E9</v>
      </c>
      <c r="E85" s="54" t="s">
        <v>252</v>
      </c>
      <c r="F85" s="56" t="s">
        <v>253</v>
      </c>
      <c r="G85" s="54" t="s">
        <v>3233</v>
      </c>
      <c r="H85" s="355">
        <v>44105.0</v>
      </c>
      <c r="I85" s="355">
        <v>44079.0</v>
      </c>
      <c r="J85" s="54" t="s">
        <v>399</v>
      </c>
      <c r="K85" s="54" t="s">
        <v>117</v>
      </c>
      <c r="L85" s="54" t="s">
        <v>183</v>
      </c>
      <c r="M85" s="57"/>
      <c r="N85" s="57"/>
      <c r="O85" s="57"/>
      <c r="P85" s="57"/>
      <c r="Q85" s="57"/>
      <c r="R85" s="57"/>
      <c r="S85" s="54" t="s">
        <v>3234</v>
      </c>
      <c r="T85" s="54" t="s">
        <v>117</v>
      </c>
      <c r="U85" s="54" t="s">
        <v>183</v>
      </c>
      <c r="V85" s="54"/>
      <c r="W85" s="93" t="s">
        <v>3137</v>
      </c>
      <c r="X85" s="357">
        <v>44506.0</v>
      </c>
      <c r="Y85" s="352">
        <v>44645.0</v>
      </c>
      <c r="Z85" s="54"/>
      <c r="AA85" s="54"/>
      <c r="AB85" s="341" t="s">
        <v>316</v>
      </c>
      <c r="AC85" s="54"/>
      <c r="AD85" s="54"/>
      <c r="AE85" s="54"/>
      <c r="AF85" s="54"/>
      <c r="AG85" s="54"/>
      <c r="AH85" s="54"/>
      <c r="AI85" s="54"/>
      <c r="AJ85" s="54"/>
      <c r="AK85" s="54"/>
      <c r="AL85" s="54"/>
      <c r="AM85" s="54"/>
      <c r="AN85" s="54"/>
      <c r="AO85" s="54"/>
      <c r="AP85" s="54"/>
      <c r="AQ85" s="54"/>
      <c r="AR85" s="54"/>
      <c r="AS85" s="54"/>
      <c r="AT85" s="54"/>
    </row>
    <row r="86">
      <c r="A86" s="93">
        <v>2017.0</v>
      </c>
      <c r="B86" s="348">
        <v>44494.67627199074</v>
      </c>
      <c r="C86" s="54" t="s">
        <v>605</v>
      </c>
      <c r="D86" s="93">
        <v>1.700016005E9</v>
      </c>
      <c r="E86" s="54" t="s">
        <v>606</v>
      </c>
      <c r="F86" s="56" t="s">
        <v>607</v>
      </c>
      <c r="G86" s="54" t="s">
        <v>3235</v>
      </c>
      <c r="H86" s="355">
        <v>44366.0</v>
      </c>
      <c r="I86" s="355">
        <v>44365.0</v>
      </c>
      <c r="J86" s="54" t="s">
        <v>399</v>
      </c>
      <c r="K86" s="54" t="s">
        <v>1900</v>
      </c>
      <c r="L86" s="54" t="s">
        <v>117</v>
      </c>
      <c r="M86" s="57"/>
      <c r="N86" s="57"/>
      <c r="O86" s="57"/>
      <c r="P86" s="57"/>
      <c r="Q86" s="57"/>
      <c r="R86" s="57"/>
      <c r="S86" s="54" t="s">
        <v>3236</v>
      </c>
      <c r="T86" s="54" t="s">
        <v>1900</v>
      </c>
      <c r="U86" s="54" t="s">
        <v>117</v>
      </c>
      <c r="V86" s="54" t="s">
        <v>3136</v>
      </c>
      <c r="W86" s="93" t="s">
        <v>3137</v>
      </c>
      <c r="X86" s="357">
        <v>44506.0</v>
      </c>
      <c r="Y86" s="350"/>
      <c r="Z86" s="54"/>
      <c r="AA86" s="54"/>
      <c r="AB86" s="341" t="s">
        <v>316</v>
      </c>
      <c r="AC86" s="54"/>
      <c r="AD86" s="54"/>
      <c r="AE86" s="54"/>
      <c r="AF86" s="54"/>
      <c r="AG86" s="54"/>
      <c r="AH86" s="54"/>
      <c r="AI86" s="54"/>
      <c r="AJ86" s="54"/>
      <c r="AK86" s="54"/>
      <c r="AL86" s="54"/>
      <c r="AM86" s="54"/>
      <c r="AN86" s="54"/>
      <c r="AO86" s="54"/>
      <c r="AP86" s="54"/>
      <c r="AQ86" s="54"/>
      <c r="AR86" s="54"/>
      <c r="AS86" s="54"/>
      <c r="AT86" s="54"/>
    </row>
    <row r="87">
      <c r="A87" s="93">
        <v>2017.0</v>
      </c>
      <c r="B87" s="348">
        <v>44494.6798528125</v>
      </c>
      <c r="C87" s="54" t="s">
        <v>535</v>
      </c>
      <c r="D87" s="93">
        <v>1.70001605E9</v>
      </c>
      <c r="E87" s="54" t="s">
        <v>536</v>
      </c>
      <c r="F87" s="56" t="s">
        <v>537</v>
      </c>
      <c r="G87" s="54" t="s">
        <v>3237</v>
      </c>
      <c r="H87" s="355">
        <v>44154.0</v>
      </c>
      <c r="I87" s="355">
        <v>44352.0</v>
      </c>
      <c r="J87" s="54" t="s">
        <v>399</v>
      </c>
      <c r="K87" s="54" t="s">
        <v>241</v>
      </c>
      <c r="L87" s="54" t="s">
        <v>2379</v>
      </c>
      <c r="M87" s="57"/>
      <c r="N87" s="57"/>
      <c r="O87" s="57"/>
      <c r="P87" s="57"/>
      <c r="Q87" s="57"/>
      <c r="R87" s="57"/>
      <c r="S87" s="54" t="s">
        <v>3238</v>
      </c>
      <c r="T87" s="54" t="s">
        <v>241</v>
      </c>
      <c r="U87" s="54" t="s">
        <v>2379</v>
      </c>
      <c r="V87" s="54" t="s">
        <v>183</v>
      </c>
      <c r="W87" s="93" t="s">
        <v>3137</v>
      </c>
      <c r="X87" s="357">
        <v>44506.0</v>
      </c>
      <c r="Y87" s="364">
        <v>44923.0</v>
      </c>
      <c r="Z87" s="54"/>
      <c r="AA87" s="54"/>
      <c r="AB87" s="341" t="s">
        <v>316</v>
      </c>
      <c r="AC87" s="54"/>
      <c r="AD87" s="54"/>
      <c r="AE87" s="54"/>
      <c r="AF87" s="54"/>
      <c r="AG87" s="54"/>
      <c r="AH87" s="54"/>
      <c r="AI87" s="54"/>
      <c r="AJ87" s="54"/>
      <c r="AK87" s="54"/>
      <c r="AL87" s="54"/>
      <c r="AM87" s="54"/>
      <c r="AN87" s="54"/>
      <c r="AO87" s="54"/>
      <c r="AP87" s="54"/>
      <c r="AQ87" s="54"/>
      <c r="AR87" s="54"/>
      <c r="AS87" s="54"/>
      <c r="AT87" s="54"/>
    </row>
    <row r="88">
      <c r="A88" s="93">
        <v>2016.0</v>
      </c>
      <c r="B88" s="348">
        <v>44498.45574730324</v>
      </c>
      <c r="C88" s="54" t="s">
        <v>3239</v>
      </c>
      <c r="D88" s="93">
        <v>1.600016006E9</v>
      </c>
      <c r="E88" s="54" t="s">
        <v>323</v>
      </c>
      <c r="F88" s="56" t="s">
        <v>324</v>
      </c>
      <c r="G88" s="54" t="s">
        <v>3240</v>
      </c>
      <c r="H88" s="355">
        <v>44176.0</v>
      </c>
      <c r="I88" s="355">
        <v>44275.0</v>
      </c>
      <c r="J88" s="54" t="s">
        <v>399</v>
      </c>
      <c r="K88" s="54" t="s">
        <v>1900</v>
      </c>
      <c r="L88" s="54" t="s">
        <v>230</v>
      </c>
      <c r="M88" s="57"/>
      <c r="N88" s="57"/>
      <c r="O88" s="57"/>
      <c r="P88" s="57"/>
      <c r="Q88" s="57"/>
      <c r="R88" s="57"/>
      <c r="S88" s="54" t="s">
        <v>3241</v>
      </c>
      <c r="T88" s="54" t="s">
        <v>1900</v>
      </c>
      <c r="U88" s="54" t="s">
        <v>230</v>
      </c>
      <c r="V88" s="54" t="s">
        <v>3145</v>
      </c>
      <c r="W88" s="93" t="s">
        <v>3137</v>
      </c>
      <c r="X88" s="357">
        <v>44506.0</v>
      </c>
      <c r="Y88" s="364">
        <v>44558.0</v>
      </c>
      <c r="Z88" s="54"/>
      <c r="AA88" s="54"/>
      <c r="AB88" s="341" t="s">
        <v>316</v>
      </c>
      <c r="AC88" s="54"/>
      <c r="AD88" s="54"/>
      <c r="AE88" s="54"/>
      <c r="AF88" s="54"/>
      <c r="AG88" s="54"/>
      <c r="AH88" s="54"/>
      <c r="AI88" s="54"/>
      <c r="AJ88" s="54"/>
      <c r="AK88" s="54"/>
      <c r="AL88" s="54"/>
      <c r="AM88" s="54"/>
      <c r="AN88" s="54"/>
      <c r="AO88" s="54"/>
      <c r="AP88" s="54"/>
      <c r="AQ88" s="54"/>
      <c r="AR88" s="54"/>
      <c r="AS88" s="54"/>
      <c r="AT88" s="54"/>
    </row>
    <row r="89">
      <c r="A89" s="93">
        <v>2017.0</v>
      </c>
      <c r="B89" s="348">
        <v>44498.713648784724</v>
      </c>
      <c r="C89" s="54" t="s">
        <v>483</v>
      </c>
      <c r="D89" s="93">
        <v>1.700016135E9</v>
      </c>
      <c r="E89" s="54" t="s">
        <v>484</v>
      </c>
      <c r="F89" s="56" t="s">
        <v>485</v>
      </c>
      <c r="G89" s="54" t="s">
        <v>3242</v>
      </c>
      <c r="H89" s="355">
        <v>44295.0</v>
      </c>
      <c r="I89" s="355">
        <v>44319.0</v>
      </c>
      <c r="J89" s="54" t="s">
        <v>399</v>
      </c>
      <c r="K89" s="54" t="s">
        <v>2379</v>
      </c>
      <c r="L89" s="54" t="s">
        <v>3062</v>
      </c>
      <c r="M89" s="57"/>
      <c r="N89" s="57"/>
      <c r="O89" s="57"/>
      <c r="P89" s="57"/>
      <c r="Q89" s="57"/>
      <c r="R89" s="57"/>
      <c r="S89" s="54" t="s">
        <v>3243</v>
      </c>
      <c r="T89" s="54" t="s">
        <v>2379</v>
      </c>
      <c r="U89" s="54" t="s">
        <v>3062</v>
      </c>
      <c r="V89" s="54" t="s">
        <v>2951</v>
      </c>
      <c r="W89" s="93" t="s">
        <v>3137</v>
      </c>
      <c r="X89" s="357">
        <v>44506.0</v>
      </c>
      <c r="Y89" s="364">
        <v>44558.0</v>
      </c>
      <c r="Z89" s="54"/>
      <c r="AA89" s="54"/>
      <c r="AB89" s="341" t="s">
        <v>316</v>
      </c>
      <c r="AC89" s="54"/>
      <c r="AD89" s="54"/>
      <c r="AE89" s="54"/>
      <c r="AF89" s="54"/>
      <c r="AG89" s="54"/>
      <c r="AH89" s="54"/>
      <c r="AI89" s="54"/>
      <c r="AJ89" s="54"/>
      <c r="AK89" s="54"/>
      <c r="AL89" s="54"/>
      <c r="AM89" s="54"/>
      <c r="AN89" s="54"/>
      <c r="AO89" s="54"/>
      <c r="AP89" s="54"/>
      <c r="AQ89" s="54"/>
      <c r="AR89" s="54"/>
      <c r="AS89" s="54"/>
      <c r="AT89" s="54"/>
    </row>
    <row r="90">
      <c r="A90" s="93">
        <v>2017.0</v>
      </c>
      <c r="B90" s="348">
        <v>44504.34028230324</v>
      </c>
      <c r="C90" s="54" t="s">
        <v>635</v>
      </c>
      <c r="D90" s="93">
        <v>1.700016081E9</v>
      </c>
      <c r="E90" s="54" t="s">
        <v>636</v>
      </c>
      <c r="F90" s="56" t="s">
        <v>637</v>
      </c>
      <c r="G90" s="54" t="s">
        <v>638</v>
      </c>
      <c r="H90" s="355">
        <v>44410.0</v>
      </c>
      <c r="I90" s="355">
        <v>44407.0</v>
      </c>
      <c r="J90" s="54" t="s">
        <v>399</v>
      </c>
      <c r="K90" s="54" t="s">
        <v>2379</v>
      </c>
      <c r="L90" s="54" t="s">
        <v>3013</v>
      </c>
      <c r="M90" s="57"/>
      <c r="N90" s="57"/>
      <c r="O90" s="57"/>
      <c r="P90" s="57"/>
      <c r="Q90" s="57"/>
      <c r="R90" s="54"/>
      <c r="S90" s="365" t="s">
        <v>3244</v>
      </c>
      <c r="T90" s="54" t="s">
        <v>2379</v>
      </c>
      <c r="U90" s="54" t="s">
        <v>3013</v>
      </c>
      <c r="V90" s="54" t="s">
        <v>241</v>
      </c>
      <c r="W90" s="93" t="s">
        <v>3137</v>
      </c>
      <c r="X90" s="357">
        <v>44513.0</v>
      </c>
      <c r="Y90" s="364">
        <v>44558.0</v>
      </c>
      <c r="Z90" s="54"/>
      <c r="AA90" s="54"/>
      <c r="AB90" s="341" t="s">
        <v>316</v>
      </c>
      <c r="AC90" s="54"/>
      <c r="AD90" s="54"/>
      <c r="AE90" s="54"/>
      <c r="AF90" s="54"/>
      <c r="AG90" s="54"/>
      <c r="AH90" s="54"/>
      <c r="AI90" s="54"/>
      <c r="AJ90" s="54"/>
      <c r="AK90" s="54"/>
      <c r="AL90" s="54"/>
      <c r="AM90" s="54"/>
      <c r="AN90" s="54"/>
      <c r="AO90" s="54"/>
      <c r="AP90" s="54"/>
      <c r="AQ90" s="54"/>
      <c r="AR90" s="54"/>
      <c r="AS90" s="54"/>
      <c r="AT90" s="54"/>
    </row>
    <row r="91">
      <c r="A91" s="93">
        <v>2016.0</v>
      </c>
      <c r="B91" s="348">
        <v>44509.539030740736</v>
      </c>
      <c r="C91" s="54" t="s">
        <v>256</v>
      </c>
      <c r="D91" s="93">
        <v>1.600016011E9</v>
      </c>
      <c r="E91" s="54" t="s">
        <v>3245</v>
      </c>
      <c r="F91" s="56" t="s">
        <v>258</v>
      </c>
      <c r="G91" s="54" t="s">
        <v>3246</v>
      </c>
      <c r="H91" s="355">
        <v>43991.0</v>
      </c>
      <c r="I91" s="355">
        <v>44079.0</v>
      </c>
      <c r="J91" s="54" t="s">
        <v>399</v>
      </c>
      <c r="K91" s="54" t="s">
        <v>241</v>
      </c>
      <c r="L91" s="54" t="s">
        <v>183</v>
      </c>
      <c r="M91" s="57"/>
      <c r="N91" s="57"/>
      <c r="O91" s="57"/>
      <c r="P91" s="57"/>
      <c r="Q91" s="57"/>
      <c r="R91" s="54"/>
      <c r="S91" s="365" t="s">
        <v>3247</v>
      </c>
      <c r="T91" s="54" t="s">
        <v>241</v>
      </c>
      <c r="U91" s="54" t="s">
        <v>183</v>
      </c>
      <c r="V91" s="54" t="s">
        <v>3170</v>
      </c>
      <c r="W91" s="93" t="s">
        <v>3137</v>
      </c>
      <c r="X91" s="357">
        <v>44513.0</v>
      </c>
      <c r="Y91" s="364">
        <v>44558.0</v>
      </c>
      <c r="Z91" s="54"/>
      <c r="AA91" s="54"/>
      <c r="AB91" s="341" t="s">
        <v>316</v>
      </c>
      <c r="AC91" s="54"/>
      <c r="AD91" s="54"/>
      <c r="AE91" s="54"/>
      <c r="AF91" s="54"/>
      <c r="AG91" s="54"/>
      <c r="AH91" s="54"/>
      <c r="AI91" s="54"/>
      <c r="AJ91" s="54"/>
      <c r="AK91" s="54"/>
      <c r="AL91" s="54"/>
      <c r="AM91" s="54"/>
      <c r="AN91" s="54"/>
      <c r="AO91" s="54"/>
      <c r="AP91" s="54"/>
      <c r="AQ91" s="54"/>
      <c r="AR91" s="54"/>
      <c r="AS91" s="54"/>
      <c r="AT91" s="54"/>
    </row>
    <row r="92">
      <c r="A92" s="93">
        <v>2017.0</v>
      </c>
      <c r="B92" s="348">
        <v>44515.45606975694</v>
      </c>
      <c r="C92" s="54" t="s">
        <v>530</v>
      </c>
      <c r="D92" s="93">
        <v>1.700016095E9</v>
      </c>
      <c r="E92" s="54" t="s">
        <v>3248</v>
      </c>
      <c r="F92" s="56" t="s">
        <v>532</v>
      </c>
      <c r="G92" s="54" t="s">
        <v>3249</v>
      </c>
      <c r="H92" s="355">
        <v>44385.0</v>
      </c>
      <c r="I92" s="355">
        <v>44352.0</v>
      </c>
      <c r="J92" s="54" t="s">
        <v>399</v>
      </c>
      <c r="K92" s="54" t="s">
        <v>241</v>
      </c>
      <c r="L92" s="54" t="s">
        <v>3013</v>
      </c>
      <c r="M92" s="57"/>
      <c r="N92" s="57"/>
      <c r="O92" s="57"/>
      <c r="P92" s="57"/>
      <c r="Q92" s="57"/>
      <c r="R92" s="54"/>
      <c r="S92" s="373" t="s">
        <v>3250</v>
      </c>
      <c r="T92" s="54" t="s">
        <v>241</v>
      </c>
      <c r="U92" s="54" t="s">
        <v>3013</v>
      </c>
      <c r="V92" s="54" t="s">
        <v>183</v>
      </c>
      <c r="W92" s="93" t="s">
        <v>3137</v>
      </c>
      <c r="X92" s="357">
        <v>44527.0</v>
      </c>
      <c r="Y92" s="364">
        <v>44589.0</v>
      </c>
      <c r="Z92" s="54"/>
      <c r="AA92" s="54"/>
      <c r="AB92" s="341" t="s">
        <v>316</v>
      </c>
      <c r="AC92" s="54"/>
      <c r="AD92" s="54"/>
      <c r="AE92" s="54"/>
      <c r="AF92" s="54"/>
      <c r="AG92" s="54"/>
      <c r="AH92" s="54"/>
      <c r="AI92" s="54"/>
      <c r="AJ92" s="54"/>
      <c r="AK92" s="54"/>
      <c r="AL92" s="54"/>
      <c r="AM92" s="54"/>
      <c r="AN92" s="54"/>
      <c r="AO92" s="54"/>
      <c r="AP92" s="54"/>
      <c r="AQ92" s="54"/>
      <c r="AR92" s="54"/>
      <c r="AS92" s="54"/>
      <c r="AT92" s="54"/>
    </row>
    <row r="93">
      <c r="A93" s="93">
        <v>2017.0</v>
      </c>
      <c r="B93" s="348">
        <v>44516.37213872685</v>
      </c>
      <c r="C93" s="54" t="s">
        <v>463</v>
      </c>
      <c r="D93" s="93">
        <v>1.700016102E9</v>
      </c>
      <c r="E93" s="54" t="s">
        <v>3251</v>
      </c>
      <c r="F93" s="56" t="s">
        <v>465</v>
      </c>
      <c r="G93" s="54" t="s">
        <v>3252</v>
      </c>
      <c r="H93" s="355">
        <v>44299.0</v>
      </c>
      <c r="I93" s="355">
        <v>44319.0</v>
      </c>
      <c r="J93" s="54" t="s">
        <v>399</v>
      </c>
      <c r="K93" s="54" t="s">
        <v>2379</v>
      </c>
      <c r="L93" s="54" t="s">
        <v>3062</v>
      </c>
      <c r="M93" s="57"/>
      <c r="N93" s="57"/>
      <c r="O93" s="57"/>
      <c r="P93" s="57"/>
      <c r="Q93" s="57"/>
      <c r="R93" s="54"/>
      <c r="S93" s="373" t="s">
        <v>3253</v>
      </c>
      <c r="T93" s="54" t="s">
        <v>2379</v>
      </c>
      <c r="U93" s="54" t="s">
        <v>3062</v>
      </c>
      <c r="V93" s="54" t="s">
        <v>2951</v>
      </c>
      <c r="W93" s="93" t="s">
        <v>3137</v>
      </c>
      <c r="X93" s="357">
        <v>44527.0</v>
      </c>
      <c r="Y93" s="364">
        <v>44558.0</v>
      </c>
      <c r="Z93" s="54"/>
      <c r="AA93" s="54"/>
      <c r="AB93" s="341" t="s">
        <v>316</v>
      </c>
      <c r="AC93" s="54"/>
      <c r="AD93" s="54"/>
      <c r="AE93" s="54"/>
      <c r="AF93" s="54"/>
      <c r="AG93" s="54"/>
      <c r="AH93" s="54"/>
      <c r="AI93" s="54"/>
      <c r="AJ93" s="54"/>
      <c r="AK93" s="54"/>
      <c r="AL93" s="54"/>
      <c r="AM93" s="54"/>
      <c r="AN93" s="54"/>
      <c r="AO93" s="54"/>
      <c r="AP93" s="54"/>
      <c r="AQ93" s="54"/>
      <c r="AR93" s="54"/>
      <c r="AS93" s="54"/>
      <c r="AT93" s="54"/>
    </row>
    <row r="94">
      <c r="A94" s="93">
        <v>2017.0</v>
      </c>
      <c r="B94" s="348">
        <v>44516.47425238426</v>
      </c>
      <c r="C94" s="54" t="s">
        <v>492</v>
      </c>
      <c r="D94" s="93">
        <v>1.700016062E9</v>
      </c>
      <c r="E94" s="54" t="s">
        <v>493</v>
      </c>
      <c r="F94" s="56" t="s">
        <v>494</v>
      </c>
      <c r="G94" s="54" t="s">
        <v>3254</v>
      </c>
      <c r="H94" s="355">
        <v>44299.0</v>
      </c>
      <c r="I94" s="355">
        <v>44319.0</v>
      </c>
      <c r="J94" s="54" t="s">
        <v>399</v>
      </c>
      <c r="K94" s="54" t="s">
        <v>2379</v>
      </c>
      <c r="L94" s="54" t="s">
        <v>3062</v>
      </c>
      <c r="M94" s="57"/>
      <c r="N94" s="57"/>
      <c r="O94" s="57"/>
      <c r="P94" s="57"/>
      <c r="Q94" s="57"/>
      <c r="R94" s="54"/>
      <c r="S94" s="373" t="s">
        <v>3255</v>
      </c>
      <c r="T94" s="54" t="s">
        <v>2379</v>
      </c>
      <c r="U94" s="54" t="s">
        <v>3062</v>
      </c>
      <c r="V94" s="54" t="s">
        <v>241</v>
      </c>
      <c r="W94" s="93" t="s">
        <v>3137</v>
      </c>
      <c r="X94" s="357">
        <v>44527.0</v>
      </c>
      <c r="Y94" s="364">
        <v>44558.0</v>
      </c>
      <c r="Z94" s="54"/>
      <c r="AA94" s="54"/>
      <c r="AB94" s="341" t="s">
        <v>316</v>
      </c>
      <c r="AC94" s="54"/>
      <c r="AD94" s="54"/>
      <c r="AE94" s="54"/>
      <c r="AF94" s="54"/>
      <c r="AG94" s="54"/>
      <c r="AH94" s="54"/>
      <c r="AI94" s="54"/>
      <c r="AJ94" s="54"/>
      <c r="AK94" s="54"/>
      <c r="AL94" s="54"/>
      <c r="AM94" s="54"/>
      <c r="AN94" s="54"/>
      <c r="AO94" s="54"/>
      <c r="AP94" s="54"/>
      <c r="AQ94" s="54"/>
      <c r="AR94" s="54"/>
      <c r="AS94" s="54"/>
      <c r="AT94" s="54"/>
    </row>
    <row r="95">
      <c r="A95" s="93">
        <v>2017.0</v>
      </c>
      <c r="B95" s="348">
        <v>44524.53569229167</v>
      </c>
      <c r="C95" s="54" t="s">
        <v>487</v>
      </c>
      <c r="D95" s="93">
        <v>1.700016031E9</v>
      </c>
      <c r="E95" s="54" t="s">
        <v>488</v>
      </c>
      <c r="F95" s="56" t="s">
        <v>489</v>
      </c>
      <c r="G95" s="54" t="s">
        <v>3256</v>
      </c>
      <c r="H95" s="355">
        <v>44355.0</v>
      </c>
      <c r="I95" s="355">
        <v>44319.0</v>
      </c>
      <c r="J95" s="54" t="s">
        <v>399</v>
      </c>
      <c r="K95" s="54" t="s">
        <v>2379</v>
      </c>
      <c r="L95" s="54" t="s">
        <v>3062</v>
      </c>
      <c r="M95" s="57"/>
      <c r="N95" s="57"/>
      <c r="O95" s="57"/>
      <c r="P95" s="57"/>
      <c r="Q95" s="57"/>
      <c r="R95" s="57"/>
      <c r="S95" s="57" t="s">
        <v>3257</v>
      </c>
      <c r="T95" s="54" t="s">
        <v>2379</v>
      </c>
      <c r="U95" s="54" t="s">
        <v>3062</v>
      </c>
      <c r="V95" s="54" t="s">
        <v>3145</v>
      </c>
      <c r="W95" s="54"/>
      <c r="X95" s="54"/>
      <c r="Y95" s="352">
        <v>44740.0</v>
      </c>
      <c r="Z95" s="54"/>
      <c r="AA95" s="54"/>
      <c r="AB95" s="341" t="s">
        <v>316</v>
      </c>
      <c r="AC95" s="54"/>
      <c r="AD95" s="54"/>
      <c r="AE95" s="54"/>
      <c r="AF95" s="54"/>
      <c r="AG95" s="54"/>
      <c r="AH95" s="54"/>
      <c r="AI95" s="54"/>
      <c r="AJ95" s="54"/>
      <c r="AK95" s="54"/>
      <c r="AL95" s="54"/>
      <c r="AM95" s="54"/>
      <c r="AN95" s="54"/>
      <c r="AO95" s="54"/>
      <c r="AP95" s="54"/>
      <c r="AQ95" s="54"/>
      <c r="AR95" s="54"/>
      <c r="AS95" s="54"/>
      <c r="AT95" s="54"/>
    </row>
    <row r="96">
      <c r="A96" s="93">
        <v>2017.0</v>
      </c>
      <c r="B96" s="348">
        <v>44525.69220738426</v>
      </c>
      <c r="C96" s="54" t="s">
        <v>541</v>
      </c>
      <c r="D96" s="93">
        <v>1.700016013E9</v>
      </c>
      <c r="E96" s="54" t="s">
        <v>3258</v>
      </c>
      <c r="F96" s="56" t="s">
        <v>543</v>
      </c>
      <c r="G96" s="54" t="s">
        <v>3259</v>
      </c>
      <c r="H96" s="355">
        <v>44166.0</v>
      </c>
      <c r="I96" s="355">
        <v>44354.0</v>
      </c>
      <c r="J96" s="54" t="s">
        <v>399</v>
      </c>
      <c r="K96" s="54" t="s">
        <v>2379</v>
      </c>
      <c r="L96" s="54" t="s">
        <v>3062</v>
      </c>
      <c r="M96" s="57"/>
      <c r="N96" s="57"/>
      <c r="O96" s="57"/>
      <c r="P96" s="57"/>
      <c r="Q96" s="57"/>
      <c r="R96" s="57"/>
      <c r="S96" s="57" t="s">
        <v>3260</v>
      </c>
      <c r="T96" s="54" t="s">
        <v>2379</v>
      </c>
      <c r="U96" s="54" t="s">
        <v>3062</v>
      </c>
      <c r="V96" s="54" t="s">
        <v>3145</v>
      </c>
      <c r="W96" s="54"/>
      <c r="X96" s="54"/>
      <c r="Y96" s="364">
        <v>44617.0</v>
      </c>
      <c r="Z96" s="54"/>
      <c r="AA96" s="54"/>
      <c r="AB96" s="341" t="s">
        <v>316</v>
      </c>
      <c r="AC96" s="54"/>
      <c r="AD96" s="54"/>
      <c r="AE96" s="54"/>
      <c r="AF96" s="54"/>
      <c r="AG96" s="54"/>
      <c r="AH96" s="54"/>
      <c r="AI96" s="54"/>
      <c r="AJ96" s="54"/>
      <c r="AK96" s="54"/>
      <c r="AL96" s="54"/>
      <c r="AM96" s="54"/>
      <c r="AN96" s="54"/>
      <c r="AO96" s="54"/>
      <c r="AP96" s="54"/>
      <c r="AQ96" s="54"/>
      <c r="AR96" s="54"/>
      <c r="AS96" s="54"/>
      <c r="AT96" s="54"/>
    </row>
    <row r="97">
      <c r="A97" s="93">
        <v>2017.0</v>
      </c>
      <c r="B97" s="348">
        <v>44526.439090300926</v>
      </c>
      <c r="C97" s="54" t="s">
        <v>395</v>
      </c>
      <c r="D97" s="93">
        <v>1.700016077E9</v>
      </c>
      <c r="E97" s="54" t="s">
        <v>396</v>
      </c>
      <c r="F97" s="56" t="s">
        <v>397</v>
      </c>
      <c r="G97" s="54" t="s">
        <v>398</v>
      </c>
      <c r="H97" s="355">
        <v>44175.0</v>
      </c>
      <c r="I97" s="355">
        <v>44308.0</v>
      </c>
      <c r="J97" s="54" t="s">
        <v>399</v>
      </c>
      <c r="K97" s="54" t="s">
        <v>1900</v>
      </c>
      <c r="L97" s="54" t="s">
        <v>230</v>
      </c>
      <c r="M97" s="57"/>
      <c r="N97" s="57"/>
      <c r="O97" s="57"/>
      <c r="P97" s="57"/>
      <c r="Q97" s="57"/>
      <c r="R97" s="57"/>
      <c r="S97" s="57" t="s">
        <v>3261</v>
      </c>
      <c r="T97" s="54" t="s">
        <v>1900</v>
      </c>
      <c r="U97" s="54" t="s">
        <v>230</v>
      </c>
      <c r="V97" s="54" t="s">
        <v>703</v>
      </c>
      <c r="W97" s="54"/>
      <c r="X97" s="54"/>
      <c r="Y97" s="364">
        <v>44558.0</v>
      </c>
      <c r="Z97" s="54"/>
      <c r="AA97" s="54"/>
      <c r="AB97" s="341" t="s">
        <v>316</v>
      </c>
      <c r="AC97" s="54"/>
      <c r="AD97" s="54"/>
      <c r="AE97" s="54"/>
      <c r="AF97" s="54"/>
      <c r="AG97" s="54"/>
      <c r="AH97" s="54"/>
      <c r="AI97" s="54"/>
      <c r="AJ97" s="54"/>
      <c r="AK97" s="54"/>
      <c r="AL97" s="54"/>
      <c r="AM97" s="54"/>
      <c r="AN97" s="54"/>
      <c r="AO97" s="54"/>
      <c r="AP97" s="54"/>
      <c r="AQ97" s="54"/>
      <c r="AR97" s="54"/>
      <c r="AS97" s="54"/>
      <c r="AT97" s="54"/>
    </row>
    <row r="98">
      <c r="A98" s="93">
        <v>2017.0</v>
      </c>
      <c r="B98" s="348">
        <v>44529.91221174768</v>
      </c>
      <c r="C98" s="54" t="s">
        <v>3262</v>
      </c>
      <c r="D98" s="93">
        <v>1.700016024E9</v>
      </c>
      <c r="E98" s="54" t="s">
        <v>507</v>
      </c>
      <c r="F98" s="54" t="s">
        <v>3263</v>
      </c>
      <c r="G98" s="54" t="s">
        <v>3264</v>
      </c>
      <c r="H98" s="355">
        <v>44294.0</v>
      </c>
      <c r="I98" s="355">
        <v>44352.0</v>
      </c>
      <c r="J98" s="54" t="s">
        <v>399</v>
      </c>
      <c r="K98" s="54" t="s">
        <v>2379</v>
      </c>
      <c r="L98" s="54" t="s">
        <v>3062</v>
      </c>
      <c r="M98" s="57"/>
      <c r="N98" s="57"/>
      <c r="O98" s="57"/>
      <c r="P98" s="57"/>
      <c r="Q98" s="57"/>
      <c r="R98" s="57"/>
      <c r="S98" s="57" t="s">
        <v>3265</v>
      </c>
      <c r="T98" s="54" t="s">
        <v>2379</v>
      </c>
      <c r="U98" s="54" t="s">
        <v>3062</v>
      </c>
      <c r="V98" s="54" t="s">
        <v>2951</v>
      </c>
      <c r="W98" s="54"/>
      <c r="X98" s="54"/>
      <c r="Y98" s="364">
        <v>44617.0</v>
      </c>
      <c r="Z98" s="54"/>
      <c r="AA98" s="54"/>
      <c r="AB98" s="341" t="s">
        <v>316</v>
      </c>
      <c r="AC98" s="54"/>
      <c r="AD98" s="54"/>
      <c r="AE98" s="54"/>
      <c r="AF98" s="54"/>
      <c r="AG98" s="54"/>
      <c r="AH98" s="54"/>
      <c r="AI98" s="54"/>
      <c r="AJ98" s="54"/>
      <c r="AK98" s="54"/>
      <c r="AL98" s="54"/>
      <c r="AM98" s="54"/>
      <c r="AN98" s="54"/>
      <c r="AO98" s="54"/>
      <c r="AP98" s="54"/>
      <c r="AQ98" s="54"/>
      <c r="AR98" s="54"/>
      <c r="AS98" s="54"/>
      <c r="AT98" s="54"/>
    </row>
    <row r="99">
      <c r="A99" s="93">
        <v>2017.0</v>
      </c>
      <c r="B99" s="348">
        <v>44530.40653392361</v>
      </c>
      <c r="C99" s="54" t="s">
        <v>516</v>
      </c>
      <c r="D99" s="93">
        <v>1.700016008E9</v>
      </c>
      <c r="E99" s="54" t="s">
        <v>517</v>
      </c>
      <c r="F99" s="56" t="s">
        <v>518</v>
      </c>
      <c r="G99" s="54" t="s">
        <v>3266</v>
      </c>
      <c r="H99" s="355">
        <v>44294.0</v>
      </c>
      <c r="I99" s="355">
        <v>44354.0</v>
      </c>
      <c r="J99" s="54" t="s">
        <v>399</v>
      </c>
      <c r="K99" s="54" t="s">
        <v>2379</v>
      </c>
      <c r="L99" s="54" t="s">
        <v>3062</v>
      </c>
      <c r="M99" s="57"/>
      <c r="N99" s="57"/>
      <c r="O99" s="57"/>
      <c r="P99" s="57"/>
      <c r="Q99" s="57"/>
      <c r="R99" s="57"/>
      <c r="S99" s="57" t="s">
        <v>3267</v>
      </c>
      <c r="T99" s="54" t="s">
        <v>2379</v>
      </c>
      <c r="U99" s="54" t="s">
        <v>3062</v>
      </c>
      <c r="V99" s="54" t="s">
        <v>3145</v>
      </c>
      <c r="W99" s="54"/>
      <c r="X99" s="54"/>
      <c r="Y99" s="350"/>
      <c r="Z99" s="54"/>
      <c r="AA99" s="54"/>
      <c r="AB99" s="341" t="s">
        <v>316</v>
      </c>
      <c r="AC99" s="54"/>
      <c r="AD99" s="54"/>
      <c r="AE99" s="54"/>
      <c r="AF99" s="54"/>
      <c r="AG99" s="54"/>
      <c r="AH99" s="54"/>
      <c r="AI99" s="54"/>
      <c r="AJ99" s="54"/>
      <c r="AK99" s="54"/>
      <c r="AL99" s="54"/>
      <c r="AM99" s="54"/>
      <c r="AN99" s="54"/>
      <c r="AO99" s="54"/>
      <c r="AP99" s="54"/>
      <c r="AQ99" s="54"/>
      <c r="AR99" s="54"/>
      <c r="AS99" s="54"/>
      <c r="AT99" s="54"/>
    </row>
    <row r="100">
      <c r="A100" s="93">
        <v>2017.0</v>
      </c>
      <c r="B100" s="348">
        <v>44530.53653798611</v>
      </c>
      <c r="C100" s="54" t="s">
        <v>441</v>
      </c>
      <c r="D100" s="93">
        <v>1.700016059E9</v>
      </c>
      <c r="E100" s="54" t="s">
        <v>442</v>
      </c>
      <c r="F100" s="56" t="s">
        <v>443</v>
      </c>
      <c r="G100" s="54" t="s">
        <v>3268</v>
      </c>
      <c r="H100" s="355">
        <v>44391.0</v>
      </c>
      <c r="I100" s="355">
        <v>44308.0</v>
      </c>
      <c r="J100" s="54" t="s">
        <v>399</v>
      </c>
      <c r="K100" s="54" t="s">
        <v>117</v>
      </c>
      <c r="L100" s="54" t="s">
        <v>230</v>
      </c>
      <c r="M100" s="57"/>
      <c r="N100" s="57"/>
      <c r="O100" s="57"/>
      <c r="P100" s="57"/>
      <c r="Q100" s="57"/>
      <c r="R100" s="57"/>
      <c r="S100" s="57" t="s">
        <v>3269</v>
      </c>
      <c r="T100" s="54" t="s">
        <v>117</v>
      </c>
      <c r="U100" s="54" t="s">
        <v>230</v>
      </c>
      <c r="V100" s="54" t="s">
        <v>703</v>
      </c>
      <c r="W100" s="54"/>
      <c r="X100" s="54"/>
      <c r="Y100" s="364">
        <v>44589.0</v>
      </c>
      <c r="Z100" s="54"/>
      <c r="AA100" s="54"/>
      <c r="AB100" s="341" t="s">
        <v>316</v>
      </c>
      <c r="AC100" s="54"/>
      <c r="AD100" s="54"/>
      <c r="AE100" s="54"/>
      <c r="AF100" s="54"/>
      <c r="AG100" s="54"/>
      <c r="AH100" s="54"/>
      <c r="AI100" s="54"/>
      <c r="AJ100" s="54"/>
      <c r="AK100" s="54"/>
      <c r="AL100" s="54"/>
      <c r="AM100" s="54"/>
      <c r="AN100" s="54"/>
      <c r="AO100" s="54"/>
      <c r="AP100" s="54"/>
      <c r="AQ100" s="54"/>
      <c r="AR100" s="54"/>
      <c r="AS100" s="54"/>
      <c r="AT100" s="54"/>
    </row>
    <row r="101">
      <c r="A101" s="93">
        <v>2017.0</v>
      </c>
      <c r="B101" s="348">
        <v>44531.892467638885</v>
      </c>
      <c r="C101" s="54" t="s">
        <v>555</v>
      </c>
      <c r="D101" s="93">
        <v>1.700016084E9</v>
      </c>
      <c r="E101" s="54" t="s">
        <v>556</v>
      </c>
      <c r="F101" s="56" t="s">
        <v>557</v>
      </c>
      <c r="G101" s="54" t="s">
        <v>3270</v>
      </c>
      <c r="H101" s="355">
        <v>44170.0</v>
      </c>
      <c r="I101" s="355">
        <v>44361.0</v>
      </c>
      <c r="J101" s="54" t="s">
        <v>399</v>
      </c>
      <c r="K101" s="54" t="s">
        <v>241</v>
      </c>
      <c r="L101" s="54" t="s">
        <v>2379</v>
      </c>
      <c r="M101" s="57"/>
      <c r="N101" s="57"/>
      <c r="O101" s="57"/>
      <c r="P101" s="57"/>
      <c r="Q101" s="57"/>
      <c r="R101" s="57"/>
      <c r="S101" s="57" t="s">
        <v>3271</v>
      </c>
      <c r="T101" s="54" t="s">
        <v>241</v>
      </c>
      <c r="U101" s="54" t="s">
        <v>2379</v>
      </c>
      <c r="V101" s="54" t="s">
        <v>3145</v>
      </c>
      <c r="W101" s="54"/>
      <c r="X101" s="54"/>
      <c r="Y101" s="364">
        <v>44589.0</v>
      </c>
      <c r="Z101" s="54"/>
      <c r="AA101" s="54"/>
      <c r="AB101" s="341" t="s">
        <v>316</v>
      </c>
      <c r="AC101" s="54"/>
      <c r="AD101" s="54"/>
      <c r="AE101" s="54"/>
      <c r="AF101" s="54"/>
      <c r="AG101" s="54"/>
      <c r="AH101" s="54"/>
      <c r="AI101" s="54"/>
      <c r="AJ101" s="54"/>
      <c r="AK101" s="54"/>
      <c r="AL101" s="54"/>
      <c r="AM101" s="54"/>
      <c r="AN101" s="54"/>
      <c r="AO101" s="54"/>
      <c r="AP101" s="54"/>
      <c r="AQ101" s="54"/>
      <c r="AR101" s="54"/>
      <c r="AS101" s="54"/>
      <c r="AT101" s="54"/>
    </row>
    <row r="102">
      <c r="A102" s="93">
        <v>2017.0</v>
      </c>
      <c r="B102" s="348">
        <v>44533.59703234954</v>
      </c>
      <c r="C102" s="54" t="s">
        <v>406</v>
      </c>
      <c r="D102" s="93">
        <v>1.700016137E9</v>
      </c>
      <c r="E102" s="54" t="s">
        <v>407</v>
      </c>
      <c r="F102" s="56" t="s">
        <v>408</v>
      </c>
      <c r="G102" s="54" t="s">
        <v>3272</v>
      </c>
      <c r="H102" s="355">
        <v>44263.0</v>
      </c>
      <c r="I102" s="355">
        <v>44317.0</v>
      </c>
      <c r="J102" s="54" t="s">
        <v>399</v>
      </c>
      <c r="K102" s="54" t="s">
        <v>117</v>
      </c>
      <c r="L102" s="54" t="s">
        <v>183</v>
      </c>
      <c r="M102" s="57"/>
      <c r="N102" s="57"/>
      <c r="O102" s="57"/>
      <c r="P102" s="57"/>
      <c r="Q102" s="57"/>
      <c r="R102" s="57"/>
      <c r="S102" s="57" t="s">
        <v>3273</v>
      </c>
      <c r="T102" s="54" t="s">
        <v>117</v>
      </c>
      <c r="U102" s="54" t="s">
        <v>183</v>
      </c>
      <c r="V102" s="54" t="s">
        <v>703</v>
      </c>
      <c r="W102" s="54"/>
      <c r="X102" s="54"/>
      <c r="Y102" s="374">
        <v>44569.0</v>
      </c>
      <c r="Z102" s="54"/>
      <c r="AA102" s="54"/>
      <c r="AB102" s="341" t="s">
        <v>316</v>
      </c>
      <c r="AC102" s="54"/>
      <c r="AD102" s="54"/>
      <c r="AE102" s="54"/>
      <c r="AF102" s="54"/>
      <c r="AG102" s="54"/>
      <c r="AH102" s="54"/>
      <c r="AI102" s="54"/>
      <c r="AJ102" s="54"/>
      <c r="AK102" s="54"/>
      <c r="AL102" s="54"/>
      <c r="AM102" s="54"/>
      <c r="AN102" s="54"/>
      <c r="AO102" s="54"/>
      <c r="AP102" s="54"/>
      <c r="AQ102" s="54"/>
      <c r="AR102" s="54"/>
      <c r="AS102" s="54"/>
      <c r="AT102" s="54"/>
    </row>
    <row r="103">
      <c r="A103" s="93">
        <v>2017.0</v>
      </c>
      <c r="B103" s="348">
        <v>44533.994925127314</v>
      </c>
      <c r="C103" s="54" t="s">
        <v>446</v>
      </c>
      <c r="D103" s="93">
        <v>1.700016049E9</v>
      </c>
      <c r="E103" s="54" t="s">
        <v>447</v>
      </c>
      <c r="F103" s="56" t="s">
        <v>448</v>
      </c>
      <c r="G103" s="54" t="s">
        <v>3274</v>
      </c>
      <c r="H103" s="355">
        <v>44263.0</v>
      </c>
      <c r="I103" s="355">
        <v>44560.0</v>
      </c>
      <c r="J103" s="54" t="s">
        <v>399</v>
      </c>
      <c r="K103" s="54" t="s">
        <v>117</v>
      </c>
      <c r="L103" s="54" t="s">
        <v>3013</v>
      </c>
      <c r="M103" s="57"/>
      <c r="N103" s="57"/>
      <c r="O103" s="57"/>
      <c r="P103" s="57"/>
      <c r="Q103" s="57"/>
      <c r="R103" s="57"/>
      <c r="S103" s="57" t="s">
        <v>3275</v>
      </c>
      <c r="T103" s="54" t="s">
        <v>117</v>
      </c>
      <c r="U103" s="54" t="s">
        <v>3013</v>
      </c>
      <c r="V103" s="54" t="s">
        <v>3136</v>
      </c>
      <c r="W103" s="54"/>
      <c r="X103" s="54"/>
      <c r="Y103" s="364">
        <v>44589.0</v>
      </c>
      <c r="Z103" s="54"/>
      <c r="AA103" s="54"/>
      <c r="AB103" s="341" t="s">
        <v>316</v>
      </c>
      <c r="AC103" s="54"/>
      <c r="AD103" s="54"/>
      <c r="AE103" s="54"/>
      <c r="AF103" s="54"/>
      <c r="AG103" s="54"/>
      <c r="AH103" s="54"/>
      <c r="AI103" s="54"/>
      <c r="AJ103" s="54"/>
      <c r="AK103" s="54"/>
      <c r="AL103" s="54"/>
      <c r="AM103" s="54"/>
      <c r="AN103" s="54"/>
      <c r="AO103" s="54"/>
      <c r="AP103" s="54"/>
      <c r="AQ103" s="54"/>
      <c r="AR103" s="54"/>
      <c r="AS103" s="54"/>
      <c r="AT103" s="54"/>
    </row>
    <row r="104">
      <c r="A104" s="93">
        <v>2016.0</v>
      </c>
      <c r="B104" s="348">
        <v>44540.40928175926</v>
      </c>
      <c r="C104" s="54" t="s">
        <v>193</v>
      </c>
      <c r="D104" s="93">
        <v>1.600016077E9</v>
      </c>
      <c r="E104" s="54" t="s">
        <v>3168</v>
      </c>
      <c r="F104" s="56" t="s">
        <v>3276</v>
      </c>
      <c r="G104" s="54" t="s">
        <v>3277</v>
      </c>
      <c r="H104" s="355">
        <v>43787.0</v>
      </c>
      <c r="I104" s="355">
        <v>43992.0</v>
      </c>
      <c r="J104" s="54" t="s">
        <v>399</v>
      </c>
      <c r="K104" s="54" t="s">
        <v>183</v>
      </c>
      <c r="L104" s="54" t="s">
        <v>241</v>
      </c>
      <c r="M104" s="57"/>
      <c r="N104" s="57"/>
      <c r="O104" s="57"/>
      <c r="P104" s="57"/>
      <c r="Q104" s="57"/>
      <c r="R104" s="57"/>
      <c r="S104" s="54" t="s">
        <v>3278</v>
      </c>
      <c r="T104" s="54" t="s">
        <v>183</v>
      </c>
      <c r="U104" s="54" t="s">
        <v>241</v>
      </c>
      <c r="V104" s="54" t="s">
        <v>3170</v>
      </c>
      <c r="W104" s="362">
        <v>44557.0</v>
      </c>
      <c r="X104" s="54" t="s">
        <v>3279</v>
      </c>
      <c r="Y104" s="364">
        <v>44617.0</v>
      </c>
      <c r="Z104" s="373"/>
      <c r="AA104" s="54"/>
      <c r="AB104" s="341" t="s">
        <v>316</v>
      </c>
      <c r="AC104" s="54"/>
      <c r="AD104" s="54"/>
      <c r="AE104" s="54"/>
      <c r="AF104" s="54"/>
      <c r="AG104" s="54"/>
      <c r="AH104" s="54"/>
      <c r="AI104" s="54"/>
      <c r="AJ104" s="54"/>
      <c r="AK104" s="54"/>
      <c r="AL104" s="54"/>
      <c r="AM104" s="54"/>
      <c r="AN104" s="54"/>
      <c r="AO104" s="54"/>
      <c r="AP104" s="54"/>
      <c r="AQ104" s="54"/>
      <c r="AR104" s="54"/>
      <c r="AS104" s="54"/>
      <c r="AT104" s="54"/>
    </row>
    <row r="105">
      <c r="A105" s="93">
        <v>2017.0</v>
      </c>
      <c r="B105" s="348">
        <v>44540.59603428241</v>
      </c>
      <c r="C105" s="54" t="s">
        <v>511</v>
      </c>
      <c r="D105" s="93">
        <v>1.700016086E9</v>
      </c>
      <c r="E105" s="54" t="s">
        <v>512</v>
      </c>
      <c r="F105" s="56" t="s">
        <v>513</v>
      </c>
      <c r="G105" s="54" t="s">
        <v>3280</v>
      </c>
      <c r="H105" s="355">
        <v>44294.0</v>
      </c>
      <c r="I105" s="355">
        <v>44354.0</v>
      </c>
      <c r="J105" s="54" t="s">
        <v>399</v>
      </c>
      <c r="K105" s="54" t="s">
        <v>2379</v>
      </c>
      <c r="L105" s="54" t="s">
        <v>3062</v>
      </c>
      <c r="M105" s="57"/>
      <c r="N105" s="57"/>
      <c r="O105" s="57"/>
      <c r="P105" s="57"/>
      <c r="Q105" s="57"/>
      <c r="R105" s="57"/>
      <c r="S105" s="54" t="s">
        <v>3281</v>
      </c>
      <c r="T105" s="54" t="s">
        <v>2379</v>
      </c>
      <c r="U105" s="54" t="s">
        <v>3062</v>
      </c>
      <c r="V105" s="54" t="s">
        <v>3136</v>
      </c>
      <c r="W105" s="362">
        <v>44558.0</v>
      </c>
      <c r="X105" s="54" t="s">
        <v>3279</v>
      </c>
      <c r="Y105" s="364">
        <v>44617.0</v>
      </c>
      <c r="Z105" s="373"/>
      <c r="AA105" s="54"/>
      <c r="AB105" s="341" t="s">
        <v>316</v>
      </c>
      <c r="AC105" s="54"/>
      <c r="AD105" s="54"/>
      <c r="AE105" s="54"/>
      <c r="AF105" s="54"/>
      <c r="AG105" s="54"/>
      <c r="AH105" s="54"/>
      <c r="AI105" s="54"/>
      <c r="AJ105" s="54"/>
      <c r="AK105" s="54"/>
      <c r="AL105" s="54"/>
      <c r="AM105" s="54"/>
      <c r="AN105" s="54"/>
      <c r="AO105" s="54"/>
      <c r="AP105" s="54"/>
      <c r="AQ105" s="54"/>
      <c r="AR105" s="54"/>
      <c r="AS105" s="54"/>
      <c r="AT105" s="54"/>
    </row>
    <row r="106">
      <c r="A106" s="93">
        <v>2017.0</v>
      </c>
      <c r="B106" s="375">
        <v>44552.65127446759</v>
      </c>
      <c r="C106" s="376" t="s">
        <v>571</v>
      </c>
      <c r="D106" s="377">
        <v>1.700016038E9</v>
      </c>
      <c r="E106" s="376" t="s">
        <v>572</v>
      </c>
      <c r="F106" s="378" t="s">
        <v>573</v>
      </c>
      <c r="G106" s="376" t="s">
        <v>3282</v>
      </c>
      <c r="H106" s="379">
        <v>44280.0</v>
      </c>
      <c r="I106" s="379">
        <v>44358.0</v>
      </c>
      <c r="J106" s="376" t="s">
        <v>399</v>
      </c>
      <c r="K106" s="376" t="s">
        <v>3013</v>
      </c>
      <c r="L106" s="376" t="s">
        <v>117</v>
      </c>
      <c r="M106" s="380"/>
      <c r="N106" s="380"/>
      <c r="O106" s="380"/>
      <c r="P106" s="380"/>
      <c r="Q106" s="380"/>
      <c r="R106" s="380"/>
      <c r="S106" s="376" t="s">
        <v>3283</v>
      </c>
      <c r="T106" s="376" t="s">
        <v>3013</v>
      </c>
      <c r="U106" s="376" t="s">
        <v>117</v>
      </c>
      <c r="V106" s="376" t="s">
        <v>2951</v>
      </c>
      <c r="W106" s="376" t="s">
        <v>3284</v>
      </c>
      <c r="X106" s="54"/>
      <c r="Y106" s="381">
        <v>44617.0</v>
      </c>
      <c r="Z106" s="380"/>
      <c r="AA106" s="376"/>
      <c r="AB106" s="341" t="s">
        <v>316</v>
      </c>
      <c r="AC106" s="376"/>
      <c r="AD106" s="376"/>
      <c r="AE106" s="376"/>
      <c r="AF106" s="376"/>
      <c r="AG106" s="376"/>
      <c r="AH106" s="376"/>
      <c r="AI106" s="376"/>
      <c r="AJ106" s="376"/>
      <c r="AK106" s="376"/>
      <c r="AL106" s="376"/>
      <c r="AM106" s="376"/>
      <c r="AN106" s="376"/>
      <c r="AO106" s="376"/>
      <c r="AP106" s="376"/>
      <c r="AQ106" s="376"/>
      <c r="AR106" s="376"/>
      <c r="AS106" s="376"/>
      <c r="AT106" s="376"/>
    </row>
    <row r="107">
      <c r="A107" s="93">
        <v>2017.0</v>
      </c>
      <c r="B107" s="375">
        <v>44554.49794775463</v>
      </c>
      <c r="C107" s="376" t="s">
        <v>580</v>
      </c>
      <c r="D107" s="377">
        <v>1.70001603E9</v>
      </c>
      <c r="E107" s="376" t="s">
        <v>581</v>
      </c>
      <c r="F107" s="378" t="s">
        <v>582</v>
      </c>
      <c r="G107" s="376" t="s">
        <v>3285</v>
      </c>
      <c r="H107" s="379">
        <v>44166.0</v>
      </c>
      <c r="I107" s="379">
        <v>44358.0</v>
      </c>
      <c r="J107" s="376" t="s">
        <v>399</v>
      </c>
      <c r="K107" s="376" t="s">
        <v>3013</v>
      </c>
      <c r="L107" s="376" t="s">
        <v>117</v>
      </c>
      <c r="M107" s="380"/>
      <c r="N107" s="380"/>
      <c r="O107" s="380"/>
      <c r="P107" s="380"/>
      <c r="Q107" s="380"/>
      <c r="R107" s="380"/>
      <c r="S107" s="376" t="s">
        <v>3286</v>
      </c>
      <c r="T107" s="376" t="s">
        <v>3013</v>
      </c>
      <c r="U107" s="376" t="s">
        <v>117</v>
      </c>
      <c r="V107" s="376" t="s">
        <v>2951</v>
      </c>
      <c r="W107" s="376" t="s">
        <v>3287</v>
      </c>
      <c r="X107" s="54"/>
      <c r="Y107" s="381">
        <v>44617.0</v>
      </c>
      <c r="Z107" s="382"/>
      <c r="AA107" s="376"/>
      <c r="AB107" s="341" t="s">
        <v>316</v>
      </c>
      <c r="AC107" s="376"/>
      <c r="AD107" s="376"/>
      <c r="AE107" s="376"/>
      <c r="AF107" s="376"/>
      <c r="AG107" s="376"/>
      <c r="AH107" s="376"/>
      <c r="AI107" s="376"/>
      <c r="AJ107" s="376"/>
      <c r="AK107" s="376"/>
      <c r="AL107" s="376"/>
      <c r="AM107" s="376"/>
      <c r="AN107" s="376"/>
      <c r="AO107" s="376"/>
      <c r="AP107" s="376"/>
      <c r="AQ107" s="376"/>
      <c r="AR107" s="376"/>
      <c r="AS107" s="376"/>
      <c r="AT107" s="376"/>
    </row>
    <row r="108">
      <c r="A108" s="93">
        <v>2017.0</v>
      </c>
      <c r="B108" s="348">
        <v>44554.52788695601</v>
      </c>
      <c r="C108" s="54" t="s">
        <v>451</v>
      </c>
      <c r="D108" s="93">
        <v>1.70001607E9</v>
      </c>
      <c r="E108" s="54" t="s">
        <v>452</v>
      </c>
      <c r="F108" s="56" t="s">
        <v>453</v>
      </c>
      <c r="G108" s="54" t="s">
        <v>454</v>
      </c>
      <c r="H108" s="355">
        <v>44175.0</v>
      </c>
      <c r="I108" s="355">
        <v>44308.0</v>
      </c>
      <c r="J108" s="54" t="s">
        <v>399</v>
      </c>
      <c r="K108" s="54" t="s">
        <v>1900</v>
      </c>
      <c r="L108" s="54" t="s">
        <v>230</v>
      </c>
      <c r="M108" s="57"/>
      <c r="N108" s="57"/>
      <c r="O108" s="57"/>
      <c r="P108" s="57"/>
      <c r="Q108" s="57"/>
      <c r="R108" s="57"/>
      <c r="S108" s="54" t="s">
        <v>3288</v>
      </c>
      <c r="T108" s="54" t="s">
        <v>1900</v>
      </c>
      <c r="U108" s="54" t="s">
        <v>230</v>
      </c>
      <c r="V108" s="54" t="s">
        <v>703</v>
      </c>
      <c r="W108" s="54"/>
      <c r="X108" s="54"/>
      <c r="Y108" s="364">
        <v>44589.0</v>
      </c>
      <c r="Z108" s="373"/>
      <c r="AA108" s="54"/>
      <c r="AB108" s="341" t="s">
        <v>316</v>
      </c>
      <c r="AC108" s="54"/>
      <c r="AD108" s="54"/>
      <c r="AE108" s="54"/>
      <c r="AF108" s="54"/>
      <c r="AG108" s="54"/>
      <c r="AH108" s="54"/>
      <c r="AI108" s="54"/>
      <c r="AJ108" s="54"/>
      <c r="AK108" s="54"/>
      <c r="AL108" s="54"/>
      <c r="AM108" s="54"/>
      <c r="AN108" s="54"/>
      <c r="AO108" s="54"/>
      <c r="AP108" s="54"/>
      <c r="AQ108" s="54"/>
      <c r="AR108" s="54"/>
      <c r="AS108" s="54"/>
      <c r="AT108" s="54"/>
    </row>
    <row r="109">
      <c r="A109" s="93">
        <v>2017.0</v>
      </c>
      <c r="B109" s="348">
        <v>44557.45917018519</v>
      </c>
      <c r="C109" s="54" t="s">
        <v>614</v>
      </c>
      <c r="D109" s="93">
        <v>1.700016014E9</v>
      </c>
      <c r="E109" s="54" t="s">
        <v>615</v>
      </c>
      <c r="F109" s="56" t="s">
        <v>616</v>
      </c>
      <c r="G109" s="54" t="s">
        <v>3289</v>
      </c>
      <c r="H109" s="355">
        <v>44302.0</v>
      </c>
      <c r="I109" s="355">
        <v>44364.0</v>
      </c>
      <c r="J109" s="54" t="s">
        <v>399</v>
      </c>
      <c r="K109" s="54" t="s">
        <v>2379</v>
      </c>
      <c r="L109" s="54" t="s">
        <v>3013</v>
      </c>
      <c r="M109" s="57"/>
      <c r="N109" s="57"/>
      <c r="O109" s="57"/>
      <c r="P109" s="57"/>
      <c r="Q109" s="57"/>
      <c r="R109" s="57"/>
      <c r="S109" s="54" t="s">
        <v>3290</v>
      </c>
      <c r="T109" s="54" t="s">
        <v>2379</v>
      </c>
      <c r="U109" s="54" t="s">
        <v>3013</v>
      </c>
      <c r="V109" s="54" t="s">
        <v>183</v>
      </c>
      <c r="W109" s="54"/>
      <c r="X109" s="54"/>
      <c r="Y109" s="364">
        <v>44617.0</v>
      </c>
      <c r="Z109" s="57"/>
      <c r="AA109" s="54"/>
      <c r="AB109" s="341" t="s">
        <v>316</v>
      </c>
      <c r="AC109" s="54"/>
      <c r="AD109" s="54"/>
      <c r="AE109" s="54"/>
      <c r="AF109" s="54"/>
      <c r="AG109" s="54"/>
      <c r="AH109" s="54"/>
      <c r="AI109" s="54"/>
      <c r="AJ109" s="54"/>
      <c r="AK109" s="54"/>
      <c r="AL109" s="54"/>
      <c r="AM109" s="54"/>
      <c r="AN109" s="54"/>
      <c r="AO109" s="54"/>
      <c r="AP109" s="54"/>
      <c r="AQ109" s="54"/>
      <c r="AR109" s="54"/>
      <c r="AS109" s="54"/>
      <c r="AT109" s="54"/>
    </row>
    <row r="110">
      <c r="A110" s="93">
        <v>2017.0</v>
      </c>
      <c r="B110" s="348">
        <v>44560.657345416665</v>
      </c>
      <c r="C110" s="54" t="s">
        <v>467</v>
      </c>
      <c r="D110" s="93">
        <v>1.700016067E9</v>
      </c>
      <c r="E110" s="54" t="s">
        <v>468</v>
      </c>
      <c r="F110" s="56" t="s">
        <v>469</v>
      </c>
      <c r="G110" s="54" t="s">
        <v>3291</v>
      </c>
      <c r="H110" s="355">
        <v>44329.0</v>
      </c>
      <c r="I110" s="355">
        <v>44319.0</v>
      </c>
      <c r="J110" s="54" t="s">
        <v>399</v>
      </c>
      <c r="K110" s="54" t="s">
        <v>2379</v>
      </c>
      <c r="L110" s="54" t="s">
        <v>3062</v>
      </c>
      <c r="M110" s="57"/>
      <c r="N110" s="57"/>
      <c r="O110" s="57"/>
      <c r="P110" s="57"/>
      <c r="Q110" s="57"/>
      <c r="R110" s="57"/>
      <c r="S110" s="54" t="s">
        <v>3292</v>
      </c>
      <c r="T110" s="54" t="s">
        <v>2379</v>
      </c>
      <c r="U110" s="54" t="s">
        <v>3062</v>
      </c>
      <c r="V110" s="54" t="s">
        <v>703</v>
      </c>
      <c r="W110" s="54"/>
      <c r="X110" s="54"/>
      <c r="Y110" s="352">
        <v>44709.0</v>
      </c>
      <c r="Z110" s="373"/>
      <c r="AA110" s="54"/>
      <c r="AB110" s="341" t="s">
        <v>316</v>
      </c>
      <c r="AC110" s="54"/>
      <c r="AD110" s="54"/>
      <c r="AE110" s="54"/>
      <c r="AF110" s="54"/>
      <c r="AG110" s="54"/>
      <c r="AH110" s="54"/>
      <c r="AI110" s="54"/>
      <c r="AJ110" s="54"/>
      <c r="AK110" s="54"/>
      <c r="AL110" s="54"/>
      <c r="AM110" s="54"/>
      <c r="AN110" s="54"/>
      <c r="AO110" s="54"/>
      <c r="AP110" s="54"/>
      <c r="AQ110" s="54"/>
      <c r="AR110" s="54"/>
      <c r="AS110" s="54"/>
      <c r="AT110" s="54"/>
    </row>
    <row r="111">
      <c r="A111" s="93">
        <v>2017.0</v>
      </c>
      <c r="B111" s="348">
        <v>44560.79060607639</v>
      </c>
      <c r="C111" s="54" t="s">
        <v>501</v>
      </c>
      <c r="D111" s="93">
        <v>1.700016109E9</v>
      </c>
      <c r="E111" s="54" t="s">
        <v>502</v>
      </c>
      <c r="F111" s="56" t="s">
        <v>503</v>
      </c>
      <c r="G111" s="54" t="s">
        <v>3293</v>
      </c>
      <c r="H111" s="355">
        <v>44299.0</v>
      </c>
      <c r="I111" s="355">
        <v>44354.0</v>
      </c>
      <c r="J111" s="54" t="s">
        <v>399</v>
      </c>
      <c r="K111" s="54" t="s">
        <v>2379</v>
      </c>
      <c r="L111" s="54" t="s">
        <v>3062</v>
      </c>
      <c r="M111" s="57"/>
      <c r="N111" s="57"/>
      <c r="O111" s="57"/>
      <c r="P111" s="57"/>
      <c r="Q111" s="57"/>
      <c r="R111" s="57"/>
      <c r="S111" s="54" t="s">
        <v>3294</v>
      </c>
      <c r="T111" s="54" t="s">
        <v>2379</v>
      </c>
      <c r="U111" s="54" t="s">
        <v>3062</v>
      </c>
      <c r="V111" s="54" t="s">
        <v>117</v>
      </c>
      <c r="W111" s="54"/>
      <c r="X111" s="54"/>
      <c r="Y111" s="352">
        <v>44676.0</v>
      </c>
      <c r="Z111" s="373"/>
      <c r="AA111" s="54"/>
      <c r="AB111" s="341" t="s">
        <v>316</v>
      </c>
      <c r="AC111" s="54"/>
      <c r="AD111" s="54"/>
      <c r="AE111" s="54"/>
      <c r="AF111" s="54"/>
      <c r="AG111" s="54"/>
      <c r="AH111" s="54"/>
      <c r="AI111" s="54"/>
      <c r="AJ111" s="54"/>
      <c r="AK111" s="54"/>
      <c r="AL111" s="54"/>
      <c r="AM111" s="54"/>
      <c r="AN111" s="54"/>
      <c r="AO111" s="54"/>
      <c r="AP111" s="54"/>
      <c r="AQ111" s="54"/>
      <c r="AR111" s="54"/>
      <c r="AS111" s="54"/>
      <c r="AT111" s="54"/>
    </row>
    <row r="112">
      <c r="A112" s="377">
        <v>2015.0</v>
      </c>
      <c r="B112" s="375">
        <v>44572.669474270835</v>
      </c>
      <c r="C112" s="376" t="s">
        <v>3295</v>
      </c>
      <c r="D112" s="377">
        <v>1.500016009E9</v>
      </c>
      <c r="E112" s="376" t="s">
        <v>3296</v>
      </c>
      <c r="F112" s="378" t="s">
        <v>3297</v>
      </c>
      <c r="G112" s="376" t="s">
        <v>3298</v>
      </c>
      <c r="H112" s="379">
        <v>43546.0</v>
      </c>
      <c r="I112" s="379">
        <v>43731.0</v>
      </c>
      <c r="J112" s="376" t="s">
        <v>399</v>
      </c>
      <c r="K112" s="376" t="s">
        <v>241</v>
      </c>
      <c r="L112" s="376" t="s">
        <v>1900</v>
      </c>
      <c r="M112" s="380"/>
      <c r="N112" s="380"/>
      <c r="O112" s="380"/>
      <c r="P112" s="380"/>
      <c r="Q112" s="380"/>
      <c r="R112" s="380"/>
      <c r="S112" s="376" t="s">
        <v>3299</v>
      </c>
      <c r="T112" s="376" t="s">
        <v>3300</v>
      </c>
      <c r="U112" s="376" t="s">
        <v>1900</v>
      </c>
      <c r="V112" s="376" t="s">
        <v>3145</v>
      </c>
      <c r="W112" s="376" t="s">
        <v>3301</v>
      </c>
      <c r="X112" s="54"/>
      <c r="Y112" s="383">
        <v>44740.0</v>
      </c>
      <c r="Z112" s="382"/>
      <c r="AA112" s="376"/>
      <c r="AB112" s="341" t="s">
        <v>316</v>
      </c>
      <c r="AC112" s="376"/>
      <c r="AD112" s="376"/>
      <c r="AE112" s="376"/>
      <c r="AF112" s="376"/>
      <c r="AG112" s="376"/>
      <c r="AH112" s="376"/>
      <c r="AI112" s="376"/>
      <c r="AJ112" s="376"/>
      <c r="AK112" s="376"/>
      <c r="AL112" s="376"/>
      <c r="AM112" s="376"/>
      <c r="AN112" s="376"/>
      <c r="AO112" s="376"/>
      <c r="AP112" s="376"/>
      <c r="AQ112" s="376"/>
      <c r="AR112" s="376"/>
      <c r="AS112" s="376"/>
      <c r="AT112" s="376"/>
    </row>
    <row r="113">
      <c r="A113" s="93">
        <v>2017.0</v>
      </c>
      <c r="B113" s="367">
        <v>44575.410763252316</v>
      </c>
      <c r="C113" s="66" t="s">
        <v>475</v>
      </c>
      <c r="D113" s="366">
        <v>1.700016101E9</v>
      </c>
      <c r="E113" s="66" t="s">
        <v>476</v>
      </c>
      <c r="F113" s="68" t="s">
        <v>477</v>
      </c>
      <c r="G113" s="66" t="s">
        <v>3302</v>
      </c>
      <c r="H113" s="368">
        <v>44657.0</v>
      </c>
      <c r="I113" s="368">
        <v>44717.0</v>
      </c>
      <c r="J113" s="66" t="s">
        <v>399</v>
      </c>
      <c r="K113" s="66" t="s">
        <v>117</v>
      </c>
      <c r="L113" s="66" t="s">
        <v>1900</v>
      </c>
      <c r="M113" s="369"/>
      <c r="N113" s="369"/>
      <c r="O113" s="369"/>
      <c r="P113" s="369"/>
      <c r="Q113" s="369"/>
      <c r="R113" s="369"/>
      <c r="S113" s="66" t="s">
        <v>3303</v>
      </c>
      <c r="T113" s="66" t="s">
        <v>117</v>
      </c>
      <c r="U113" s="66" t="s">
        <v>1900</v>
      </c>
      <c r="V113" s="54" t="s">
        <v>703</v>
      </c>
      <c r="W113" s="66"/>
      <c r="X113" s="54"/>
      <c r="Y113" s="352">
        <v>44645.0</v>
      </c>
      <c r="Z113" s="384"/>
      <c r="AA113" s="66"/>
      <c r="AB113" s="341" t="s">
        <v>316</v>
      </c>
      <c r="AC113" s="66"/>
      <c r="AD113" s="66"/>
      <c r="AE113" s="66"/>
      <c r="AF113" s="54"/>
      <c r="AG113" s="54"/>
      <c r="AH113" s="54"/>
      <c r="AI113" s="54"/>
      <c r="AJ113" s="54"/>
      <c r="AK113" s="54"/>
      <c r="AL113" s="54"/>
      <c r="AM113" s="54"/>
      <c r="AN113" s="54"/>
      <c r="AO113" s="54"/>
      <c r="AP113" s="54"/>
      <c r="AQ113" s="54"/>
      <c r="AR113" s="54"/>
      <c r="AS113" s="54"/>
      <c r="AT113" s="54"/>
    </row>
    <row r="114">
      <c r="A114" s="93">
        <v>2017.0</v>
      </c>
      <c r="B114" s="348">
        <v>44579.39536283565</v>
      </c>
      <c r="C114" s="54" t="s">
        <v>3304</v>
      </c>
      <c r="D114" s="93">
        <v>1.700016071E9</v>
      </c>
      <c r="E114" s="54" t="s">
        <v>577</v>
      </c>
      <c r="F114" s="56" t="s">
        <v>578</v>
      </c>
      <c r="G114" s="54" t="s">
        <v>3305</v>
      </c>
      <c r="H114" s="355">
        <v>44265.0</v>
      </c>
      <c r="I114" s="355">
        <v>44358.0</v>
      </c>
      <c r="J114" s="54" t="s">
        <v>399</v>
      </c>
      <c r="K114" s="54" t="s">
        <v>241</v>
      </c>
      <c r="L114" s="54" t="s">
        <v>183</v>
      </c>
      <c r="M114" s="57"/>
      <c r="N114" s="57"/>
      <c r="O114" s="57"/>
      <c r="P114" s="57"/>
      <c r="Q114" s="57"/>
      <c r="R114" s="57"/>
      <c r="S114" s="54" t="s">
        <v>3306</v>
      </c>
      <c r="T114" s="54" t="s">
        <v>241</v>
      </c>
      <c r="U114" s="54" t="s">
        <v>183</v>
      </c>
      <c r="V114" s="54" t="s">
        <v>117</v>
      </c>
      <c r="W114" s="54"/>
      <c r="X114" s="54"/>
      <c r="Y114" s="352">
        <v>44770.0</v>
      </c>
      <c r="Z114" s="57"/>
      <c r="AA114" s="54"/>
      <c r="AB114" s="341" t="s">
        <v>316</v>
      </c>
      <c r="AC114" s="54"/>
      <c r="AD114" s="54"/>
      <c r="AE114" s="54"/>
      <c r="AF114" s="54"/>
      <c r="AG114" s="54"/>
      <c r="AH114" s="54"/>
      <c r="AI114" s="54"/>
      <c r="AJ114" s="54"/>
      <c r="AK114" s="54"/>
      <c r="AL114" s="54"/>
      <c r="AM114" s="54"/>
      <c r="AN114" s="54"/>
      <c r="AO114" s="54"/>
      <c r="AP114" s="54"/>
      <c r="AQ114" s="54"/>
      <c r="AR114" s="54"/>
      <c r="AS114" s="54"/>
      <c r="AT114" s="54"/>
    </row>
    <row r="115">
      <c r="A115" s="385">
        <v>2015.0</v>
      </c>
      <c r="B115" s="386">
        <v>44588.90848121527</v>
      </c>
      <c r="C115" s="387" t="s">
        <v>3307</v>
      </c>
      <c r="D115" s="385">
        <v>1.500016068E9</v>
      </c>
      <c r="E115" s="387" t="s">
        <v>628</v>
      </c>
      <c r="F115" s="388" t="s">
        <v>629</v>
      </c>
      <c r="G115" s="387" t="s">
        <v>3308</v>
      </c>
      <c r="H115" s="389">
        <v>44292.0</v>
      </c>
      <c r="I115" s="389">
        <v>44383.0</v>
      </c>
      <c r="J115" s="387" t="s">
        <v>399</v>
      </c>
      <c r="K115" s="387" t="s">
        <v>117</v>
      </c>
      <c r="L115" s="387" t="s">
        <v>703</v>
      </c>
      <c r="M115" s="390"/>
      <c r="N115" s="390"/>
      <c r="O115" s="390"/>
      <c r="P115" s="390"/>
      <c r="Q115" s="390"/>
      <c r="R115" s="390"/>
      <c r="S115" s="387" t="s">
        <v>3309</v>
      </c>
      <c r="T115" s="387" t="s">
        <v>117</v>
      </c>
      <c r="U115" s="387" t="s">
        <v>703</v>
      </c>
      <c r="V115" s="387" t="s">
        <v>2951</v>
      </c>
      <c r="W115" s="387"/>
      <c r="X115" s="387"/>
      <c r="Y115" s="391">
        <v>44770.0</v>
      </c>
      <c r="Z115" s="392"/>
      <c r="AA115" s="387"/>
      <c r="AB115" s="341" t="s">
        <v>316</v>
      </c>
      <c r="AC115" s="387"/>
      <c r="AD115" s="387"/>
      <c r="AE115" s="387"/>
      <c r="AF115" s="387"/>
      <c r="AG115" s="387"/>
      <c r="AH115" s="387"/>
      <c r="AI115" s="387"/>
      <c r="AJ115" s="387"/>
      <c r="AK115" s="387"/>
      <c r="AL115" s="387"/>
      <c r="AM115" s="387"/>
      <c r="AN115" s="387"/>
      <c r="AO115" s="387"/>
      <c r="AP115" s="387"/>
      <c r="AQ115" s="387"/>
      <c r="AR115" s="387"/>
      <c r="AS115" s="387"/>
      <c r="AT115" s="387"/>
    </row>
    <row r="116">
      <c r="A116" s="385">
        <v>2017.0</v>
      </c>
      <c r="B116" s="386">
        <v>44595.41535224537</v>
      </c>
      <c r="C116" s="387" t="s">
        <v>593</v>
      </c>
      <c r="D116" s="385">
        <v>1.700016093E9</v>
      </c>
      <c r="E116" s="387" t="s">
        <v>594</v>
      </c>
      <c r="F116" s="388" t="s">
        <v>595</v>
      </c>
      <c r="G116" s="387" t="s">
        <v>3310</v>
      </c>
      <c r="H116" s="389">
        <v>44357.0</v>
      </c>
      <c r="I116" s="389">
        <v>44357.0</v>
      </c>
      <c r="J116" s="387" t="s">
        <v>399</v>
      </c>
      <c r="K116" s="387" t="s">
        <v>1900</v>
      </c>
      <c r="L116" s="387" t="s">
        <v>3062</v>
      </c>
      <c r="M116" s="390"/>
      <c r="N116" s="390"/>
      <c r="O116" s="390"/>
      <c r="P116" s="390"/>
      <c r="Q116" s="390"/>
      <c r="R116" s="390"/>
      <c r="S116" s="387" t="s">
        <v>3311</v>
      </c>
      <c r="T116" s="387" t="s">
        <v>1900</v>
      </c>
      <c r="U116" s="387" t="s">
        <v>3062</v>
      </c>
      <c r="V116" s="387" t="s">
        <v>3145</v>
      </c>
      <c r="W116" s="393">
        <v>44614.0</v>
      </c>
      <c r="X116" s="387" t="s">
        <v>3312</v>
      </c>
      <c r="Y116" s="352">
        <v>44676.0</v>
      </c>
      <c r="Z116" s="373"/>
      <c r="AA116" s="54"/>
      <c r="AB116" s="341" t="s">
        <v>316</v>
      </c>
      <c r="AC116" s="54"/>
      <c r="AD116" s="54"/>
      <c r="AE116" s="54"/>
      <c r="AF116" s="54"/>
      <c r="AG116" s="54"/>
      <c r="AH116" s="54"/>
      <c r="AI116" s="54"/>
      <c r="AJ116" s="54"/>
      <c r="AK116" s="54"/>
      <c r="AL116" s="54"/>
      <c r="AM116" s="54"/>
      <c r="AN116" s="54"/>
      <c r="AO116" s="54"/>
      <c r="AP116" s="54"/>
      <c r="AQ116" s="54"/>
      <c r="AR116" s="54"/>
      <c r="AS116" s="54"/>
      <c r="AT116" s="54"/>
    </row>
    <row r="117">
      <c r="A117" s="385">
        <v>2016.0</v>
      </c>
      <c r="B117" s="386">
        <v>44598.372540613425</v>
      </c>
      <c r="C117" s="387" t="s">
        <v>662</v>
      </c>
      <c r="D117" s="385">
        <v>1.600016014E9</v>
      </c>
      <c r="E117" s="387" t="s">
        <v>663</v>
      </c>
      <c r="F117" s="388" t="s">
        <v>664</v>
      </c>
      <c r="G117" s="387" t="s">
        <v>3313</v>
      </c>
      <c r="H117" s="389">
        <v>44281.0</v>
      </c>
      <c r="I117" s="389">
        <v>44439.0</v>
      </c>
      <c r="J117" s="387" t="s">
        <v>399</v>
      </c>
      <c r="K117" s="387" t="s">
        <v>117</v>
      </c>
      <c r="L117" s="387" t="s">
        <v>703</v>
      </c>
      <c r="M117" s="390"/>
      <c r="N117" s="390"/>
      <c r="O117" s="390"/>
      <c r="P117" s="390"/>
      <c r="Q117" s="390"/>
      <c r="R117" s="390"/>
      <c r="S117" s="387" t="s">
        <v>3314</v>
      </c>
      <c r="T117" s="387" t="s">
        <v>117</v>
      </c>
      <c r="U117" s="387" t="s">
        <v>703</v>
      </c>
      <c r="V117" s="387" t="s">
        <v>2951</v>
      </c>
      <c r="W117" s="394">
        <v>44617.0</v>
      </c>
      <c r="X117" s="387" t="s">
        <v>3315</v>
      </c>
      <c r="Y117" s="352">
        <v>44740.0</v>
      </c>
      <c r="Z117" s="373"/>
      <c r="AA117" s="54"/>
      <c r="AB117" s="341" t="s">
        <v>316</v>
      </c>
      <c r="AC117" s="54"/>
      <c r="AD117" s="54"/>
      <c r="AE117" s="54"/>
      <c r="AF117" s="54"/>
      <c r="AG117" s="54"/>
      <c r="AH117" s="54"/>
      <c r="AI117" s="54"/>
      <c r="AJ117" s="54"/>
      <c r="AK117" s="54"/>
      <c r="AL117" s="54"/>
      <c r="AM117" s="54"/>
      <c r="AN117" s="54"/>
      <c r="AO117" s="54"/>
      <c r="AP117" s="54"/>
      <c r="AQ117" s="54"/>
      <c r="AR117" s="54"/>
      <c r="AS117" s="54"/>
      <c r="AT117" s="54"/>
    </row>
    <row r="118">
      <c r="A118" s="385">
        <v>2016.0</v>
      </c>
      <c r="B118" s="386">
        <v>44601.51283518519</v>
      </c>
      <c r="C118" s="387" t="s">
        <v>383</v>
      </c>
      <c r="D118" s="385">
        <v>1.600016109E9</v>
      </c>
      <c r="E118" s="387" t="s">
        <v>384</v>
      </c>
      <c r="F118" s="388" t="s">
        <v>3316</v>
      </c>
      <c r="G118" s="387" t="s">
        <v>3317</v>
      </c>
      <c r="H118" s="389">
        <v>44452.0</v>
      </c>
      <c r="I118" s="389">
        <v>44316.0</v>
      </c>
      <c r="J118" s="387" t="s">
        <v>399</v>
      </c>
      <c r="K118" s="387" t="s">
        <v>117</v>
      </c>
      <c r="L118" s="387" t="s">
        <v>703</v>
      </c>
      <c r="M118" s="390"/>
      <c r="N118" s="390"/>
      <c r="O118" s="390"/>
      <c r="P118" s="390"/>
      <c r="Q118" s="390"/>
      <c r="R118" s="390"/>
      <c r="S118" s="387" t="s">
        <v>3318</v>
      </c>
      <c r="T118" s="387" t="s">
        <v>117</v>
      </c>
      <c r="U118" s="387" t="s">
        <v>703</v>
      </c>
      <c r="V118" s="387" t="s">
        <v>2951</v>
      </c>
      <c r="W118" s="393">
        <v>44618.0</v>
      </c>
      <c r="X118" s="387" t="s">
        <v>3315</v>
      </c>
      <c r="Y118" s="352">
        <v>44645.0</v>
      </c>
      <c r="Z118" s="373"/>
      <c r="AA118" s="54"/>
      <c r="AB118" s="341" t="s">
        <v>316</v>
      </c>
      <c r="AC118" s="54"/>
      <c r="AD118" s="54"/>
      <c r="AE118" s="54"/>
      <c r="AF118" s="54"/>
      <c r="AG118" s="54"/>
      <c r="AH118" s="54"/>
      <c r="AI118" s="54"/>
      <c r="AJ118" s="54"/>
      <c r="AK118" s="54"/>
      <c r="AL118" s="54"/>
      <c r="AM118" s="54"/>
      <c r="AN118" s="54"/>
      <c r="AO118" s="54"/>
      <c r="AP118" s="54"/>
      <c r="AQ118" s="54"/>
      <c r="AR118" s="54"/>
      <c r="AS118" s="54"/>
      <c r="AT118" s="54"/>
    </row>
    <row r="119">
      <c r="A119" s="385">
        <v>2017.0</v>
      </c>
      <c r="B119" s="386">
        <v>44610.41204885417</v>
      </c>
      <c r="C119" s="387" t="s">
        <v>588</v>
      </c>
      <c r="D119" s="385">
        <v>1.700016004E9</v>
      </c>
      <c r="E119" s="387" t="s">
        <v>589</v>
      </c>
      <c r="F119" s="388" t="s">
        <v>590</v>
      </c>
      <c r="G119" s="387" t="s">
        <v>3319</v>
      </c>
      <c r="H119" s="389">
        <v>44488.0</v>
      </c>
      <c r="I119" s="389">
        <v>44361.0</v>
      </c>
      <c r="J119" s="387" t="s">
        <v>399</v>
      </c>
      <c r="K119" s="387" t="s">
        <v>2379</v>
      </c>
      <c r="L119" s="387" t="s">
        <v>3062</v>
      </c>
      <c r="M119" s="390"/>
      <c r="N119" s="390"/>
      <c r="O119" s="390"/>
      <c r="P119" s="390"/>
      <c r="Q119" s="390"/>
      <c r="R119" s="390"/>
      <c r="S119" s="387" t="s">
        <v>3320</v>
      </c>
      <c r="T119" s="387" t="s">
        <v>2379</v>
      </c>
      <c r="U119" s="387" t="s">
        <v>3062</v>
      </c>
      <c r="V119" s="387" t="s">
        <v>241</v>
      </c>
      <c r="W119" s="394">
        <v>44622.0</v>
      </c>
      <c r="X119" s="387" t="s">
        <v>3321</v>
      </c>
      <c r="Y119" s="341" t="s">
        <v>3322</v>
      </c>
      <c r="Z119" s="373"/>
      <c r="AA119" s="54"/>
      <c r="AB119" s="341" t="s">
        <v>316</v>
      </c>
      <c r="AC119" s="54"/>
      <c r="AD119" s="54"/>
      <c r="AE119" s="54"/>
      <c r="AF119" s="54"/>
      <c r="AG119" s="54"/>
      <c r="AH119" s="54"/>
      <c r="AI119" s="54"/>
      <c r="AJ119" s="54"/>
      <c r="AK119" s="54"/>
      <c r="AL119" s="54"/>
      <c r="AM119" s="54"/>
      <c r="AN119" s="54"/>
      <c r="AO119" s="54"/>
      <c r="AP119" s="54"/>
      <c r="AQ119" s="54"/>
      <c r="AR119" s="54"/>
      <c r="AS119" s="54"/>
      <c r="AT119" s="54"/>
    </row>
    <row r="120">
      <c r="A120" s="385">
        <v>2017.0</v>
      </c>
      <c r="B120" s="386">
        <v>44610.47277734954</v>
      </c>
      <c r="C120" s="387" t="s">
        <v>3323</v>
      </c>
      <c r="D120" s="385">
        <v>1.700016105E9</v>
      </c>
      <c r="E120" s="387" t="s">
        <v>3324</v>
      </c>
      <c r="F120" s="388" t="s">
        <v>434</v>
      </c>
      <c r="G120" s="387" t="s">
        <v>3325</v>
      </c>
      <c r="H120" s="389">
        <v>44255.0</v>
      </c>
      <c r="I120" s="389">
        <v>44308.0</v>
      </c>
      <c r="J120" s="387" t="s">
        <v>399</v>
      </c>
      <c r="K120" s="387" t="s">
        <v>2379</v>
      </c>
      <c r="L120" s="387" t="s">
        <v>3062</v>
      </c>
      <c r="M120" s="390"/>
      <c r="N120" s="390"/>
      <c r="O120" s="390"/>
      <c r="P120" s="390"/>
      <c r="Q120" s="390"/>
      <c r="R120" s="390"/>
      <c r="S120" s="387" t="s">
        <v>3326</v>
      </c>
      <c r="T120" s="387" t="s">
        <v>2379</v>
      </c>
      <c r="U120" s="387" t="s">
        <v>3062</v>
      </c>
      <c r="V120" s="387" t="s">
        <v>2951</v>
      </c>
      <c r="W120" s="394">
        <v>44622.0</v>
      </c>
      <c r="X120" s="387" t="s">
        <v>3312</v>
      </c>
      <c r="Y120" s="341" t="s">
        <v>3322</v>
      </c>
      <c r="Z120" s="373"/>
      <c r="AA120" s="54"/>
      <c r="AB120" s="341" t="s">
        <v>316</v>
      </c>
      <c r="AC120" s="54"/>
      <c r="AD120" s="54"/>
      <c r="AE120" s="54"/>
      <c r="AF120" s="54"/>
      <c r="AG120" s="54"/>
      <c r="AH120" s="54"/>
      <c r="AI120" s="54"/>
      <c r="AJ120" s="54"/>
      <c r="AK120" s="54"/>
      <c r="AL120" s="54"/>
      <c r="AM120" s="54"/>
      <c r="AN120" s="54"/>
      <c r="AO120" s="54"/>
      <c r="AP120" s="54"/>
      <c r="AQ120" s="54"/>
      <c r="AR120" s="54"/>
      <c r="AS120" s="54"/>
      <c r="AT120" s="54"/>
    </row>
    <row r="121">
      <c r="A121" s="385">
        <v>2017.0</v>
      </c>
      <c r="B121" s="386">
        <v>44610.98124542824</v>
      </c>
      <c r="C121" s="387" t="s">
        <v>546</v>
      </c>
      <c r="D121" s="385">
        <v>1.700016069E9</v>
      </c>
      <c r="E121" s="387" t="s">
        <v>547</v>
      </c>
      <c r="F121" s="388" t="s">
        <v>548</v>
      </c>
      <c r="G121" s="387" t="s">
        <v>3327</v>
      </c>
      <c r="H121" s="389">
        <v>44360.0</v>
      </c>
      <c r="I121" s="389">
        <v>44353.0</v>
      </c>
      <c r="J121" s="387" t="s">
        <v>399</v>
      </c>
      <c r="K121" s="387" t="s">
        <v>2379</v>
      </c>
      <c r="L121" s="387" t="s">
        <v>3062</v>
      </c>
      <c r="M121" s="390"/>
      <c r="N121" s="390"/>
      <c r="O121" s="390"/>
      <c r="P121" s="390"/>
      <c r="Q121" s="390"/>
      <c r="R121" s="390"/>
      <c r="S121" s="387" t="s">
        <v>3328</v>
      </c>
      <c r="T121" s="387" t="s">
        <v>2379</v>
      </c>
      <c r="U121" s="387" t="s">
        <v>3062</v>
      </c>
      <c r="V121" s="387" t="s">
        <v>2951</v>
      </c>
      <c r="W121" s="394">
        <v>44622.0</v>
      </c>
      <c r="X121" s="387" t="s">
        <v>3315</v>
      </c>
      <c r="Y121" s="350"/>
      <c r="Z121" s="373"/>
      <c r="AA121" s="54"/>
      <c r="AB121" s="341" t="s">
        <v>316</v>
      </c>
      <c r="AC121" s="54"/>
      <c r="AD121" s="54"/>
      <c r="AE121" s="54"/>
      <c r="AF121" s="54"/>
      <c r="AG121" s="54"/>
      <c r="AH121" s="54"/>
      <c r="AI121" s="54"/>
      <c r="AJ121" s="54"/>
      <c r="AK121" s="54"/>
      <c r="AL121" s="54"/>
      <c r="AM121" s="54"/>
      <c r="AN121" s="54"/>
      <c r="AO121" s="54"/>
      <c r="AP121" s="54"/>
      <c r="AQ121" s="54"/>
      <c r="AR121" s="54"/>
      <c r="AS121" s="54"/>
      <c r="AT121" s="54"/>
    </row>
    <row r="122">
      <c r="A122" s="385">
        <v>2017.0</v>
      </c>
      <c r="B122" s="386">
        <v>44627.22288489583</v>
      </c>
      <c r="C122" s="387" t="s">
        <v>479</v>
      </c>
      <c r="D122" s="385">
        <v>1.700016017E9</v>
      </c>
      <c r="E122" s="387" t="s">
        <v>480</v>
      </c>
      <c r="F122" s="388" t="s">
        <v>481</v>
      </c>
      <c r="G122" s="387" t="s">
        <v>3329</v>
      </c>
      <c r="H122" s="389">
        <v>44155.0</v>
      </c>
      <c r="I122" s="389">
        <v>44319.0</v>
      </c>
      <c r="J122" s="387" t="s">
        <v>399</v>
      </c>
      <c r="K122" s="387" t="s">
        <v>2379</v>
      </c>
      <c r="L122" s="387" t="s">
        <v>3062</v>
      </c>
      <c r="M122" s="390"/>
      <c r="N122" s="390"/>
      <c r="O122" s="390"/>
      <c r="P122" s="390"/>
      <c r="Q122" s="390"/>
      <c r="R122" s="390"/>
      <c r="S122" s="387" t="s">
        <v>3330</v>
      </c>
      <c r="T122" s="387" t="s">
        <v>2379</v>
      </c>
      <c r="U122" s="387" t="s">
        <v>3062</v>
      </c>
      <c r="V122" s="387" t="s">
        <v>241</v>
      </c>
      <c r="W122" s="394">
        <v>44635.0</v>
      </c>
      <c r="X122" s="387" t="s">
        <v>3331</v>
      </c>
      <c r="Y122" s="350"/>
      <c r="Z122" s="373"/>
      <c r="AA122" s="54"/>
      <c r="AB122" s="341" t="s">
        <v>316</v>
      </c>
      <c r="AC122" s="54"/>
      <c r="AD122" s="54"/>
      <c r="AE122" s="54"/>
      <c r="AF122" s="54"/>
      <c r="AG122" s="54"/>
      <c r="AH122" s="54"/>
      <c r="AI122" s="54"/>
      <c r="AJ122" s="54"/>
      <c r="AK122" s="54"/>
      <c r="AL122" s="54"/>
      <c r="AM122" s="54"/>
      <c r="AN122" s="54"/>
      <c r="AO122" s="54"/>
      <c r="AP122" s="54"/>
      <c r="AQ122" s="54"/>
      <c r="AR122" s="54"/>
      <c r="AS122" s="54"/>
      <c r="AT122" s="54"/>
    </row>
    <row r="123">
      <c r="A123" s="385">
        <v>2017.0</v>
      </c>
      <c r="B123" s="386">
        <v>44630.6976274537</v>
      </c>
      <c r="C123" s="387" t="s">
        <v>565</v>
      </c>
      <c r="D123" s="385">
        <v>1.700016045E9</v>
      </c>
      <c r="E123" s="387" t="s">
        <v>566</v>
      </c>
      <c r="F123" s="388" t="s">
        <v>567</v>
      </c>
      <c r="G123" s="387" t="s">
        <v>3332</v>
      </c>
      <c r="H123" s="389">
        <v>44283.0</v>
      </c>
      <c r="I123" s="389">
        <v>44357.0</v>
      </c>
      <c r="J123" s="387" t="s">
        <v>399</v>
      </c>
      <c r="K123" s="387" t="s">
        <v>3062</v>
      </c>
      <c r="L123" s="387" t="s">
        <v>230</v>
      </c>
      <c r="M123" s="390"/>
      <c r="N123" s="390"/>
      <c r="O123" s="390"/>
      <c r="P123" s="390"/>
      <c r="Q123" s="390"/>
      <c r="R123" s="390"/>
      <c r="S123" s="387" t="s">
        <v>3333</v>
      </c>
      <c r="T123" s="387" t="s">
        <v>3062</v>
      </c>
      <c r="U123" s="387" t="s">
        <v>230</v>
      </c>
      <c r="V123" s="387" t="s">
        <v>3170</v>
      </c>
      <c r="W123" s="394">
        <v>44635.0</v>
      </c>
      <c r="X123" s="387" t="s">
        <v>3334</v>
      </c>
      <c r="Y123" s="352">
        <v>44675.0</v>
      </c>
      <c r="Z123" s="373"/>
      <c r="AA123" s="54"/>
      <c r="AB123" s="341" t="s">
        <v>316</v>
      </c>
      <c r="AC123" s="54"/>
      <c r="AD123" s="54"/>
      <c r="AE123" s="54"/>
      <c r="AF123" s="54"/>
      <c r="AG123" s="54"/>
      <c r="AH123" s="54"/>
      <c r="AI123" s="54"/>
      <c r="AJ123" s="54"/>
      <c r="AK123" s="54"/>
      <c r="AL123" s="54"/>
      <c r="AM123" s="54"/>
      <c r="AN123" s="54"/>
      <c r="AO123" s="54"/>
      <c r="AP123" s="54"/>
      <c r="AQ123" s="54"/>
      <c r="AR123" s="54"/>
      <c r="AS123" s="54"/>
      <c r="AT123" s="54"/>
    </row>
    <row r="124">
      <c r="A124" s="385">
        <v>2017.0</v>
      </c>
      <c r="B124" s="395">
        <v>44634.87388299769</v>
      </c>
      <c r="C124" s="387" t="s">
        <v>597</v>
      </c>
      <c r="D124" s="385">
        <v>1.700016073E9</v>
      </c>
      <c r="E124" s="387" t="s">
        <v>598</v>
      </c>
      <c r="F124" s="388" t="s">
        <v>599</v>
      </c>
      <c r="G124" s="387" t="s">
        <v>3335</v>
      </c>
      <c r="H124" s="389">
        <v>44275.0</v>
      </c>
      <c r="I124" s="389">
        <v>44361.0</v>
      </c>
      <c r="J124" s="387" t="s">
        <v>399</v>
      </c>
      <c r="K124" s="387" t="s">
        <v>241</v>
      </c>
      <c r="L124" s="387" t="s">
        <v>2379</v>
      </c>
      <c r="M124" s="390"/>
      <c r="N124" s="390"/>
      <c r="O124" s="390"/>
      <c r="P124" s="390"/>
      <c r="Q124" s="390"/>
      <c r="R124" s="390"/>
      <c r="S124" s="387" t="s">
        <v>3336</v>
      </c>
      <c r="T124" s="387" t="s">
        <v>241</v>
      </c>
      <c r="U124" s="387" t="s">
        <v>2379</v>
      </c>
      <c r="V124" s="387" t="s">
        <v>117</v>
      </c>
      <c r="W124" s="394">
        <v>44642.0</v>
      </c>
      <c r="X124" s="387" t="s">
        <v>3331</v>
      </c>
      <c r="Y124" s="352">
        <v>44740.0</v>
      </c>
      <c r="Z124" s="57"/>
      <c r="AA124" s="54"/>
      <c r="AB124" s="341" t="s">
        <v>316</v>
      </c>
      <c r="AC124" s="54"/>
      <c r="AD124" s="54"/>
      <c r="AE124" s="54"/>
      <c r="AF124" s="54"/>
      <c r="AG124" s="54"/>
      <c r="AH124" s="54"/>
      <c r="AI124" s="54"/>
      <c r="AJ124" s="54"/>
      <c r="AK124" s="54"/>
      <c r="AL124" s="54"/>
      <c r="AM124" s="54"/>
      <c r="AN124" s="54"/>
      <c r="AO124" s="54"/>
      <c r="AP124" s="54"/>
      <c r="AQ124" s="54"/>
      <c r="AR124" s="54"/>
      <c r="AS124" s="54"/>
      <c r="AT124" s="54"/>
    </row>
    <row r="125">
      <c r="A125" s="385">
        <v>2017.0</v>
      </c>
      <c r="B125" s="395">
        <v>44637.488052002314</v>
      </c>
      <c r="C125" s="387" t="s">
        <v>3337</v>
      </c>
      <c r="D125" s="385">
        <v>1.703016117E9</v>
      </c>
      <c r="E125" s="387" t="s">
        <v>3338</v>
      </c>
      <c r="F125" s="388" t="s">
        <v>3339</v>
      </c>
      <c r="G125" s="387" t="s">
        <v>3340</v>
      </c>
      <c r="H125" s="389">
        <v>43675.0</v>
      </c>
      <c r="I125" s="389">
        <v>43782.0</v>
      </c>
      <c r="J125" s="387" t="s">
        <v>399</v>
      </c>
      <c r="K125" s="387" t="s">
        <v>2379</v>
      </c>
      <c r="L125" s="387" t="s">
        <v>117</v>
      </c>
      <c r="M125" s="390"/>
      <c r="N125" s="390"/>
      <c r="O125" s="390"/>
      <c r="P125" s="390"/>
      <c r="Q125" s="390"/>
      <c r="R125" s="390"/>
      <c r="S125" s="387" t="s">
        <v>3341</v>
      </c>
      <c r="T125" s="387" t="s">
        <v>2379</v>
      </c>
      <c r="U125" s="387" t="s">
        <v>117</v>
      </c>
      <c r="V125" s="387" t="s">
        <v>241</v>
      </c>
      <c r="W125" s="394">
        <v>44642.0</v>
      </c>
      <c r="X125" s="387" t="s">
        <v>3334</v>
      </c>
      <c r="Y125" s="350"/>
      <c r="Z125" s="373"/>
      <c r="AA125" s="54"/>
      <c r="AB125" s="341" t="s">
        <v>316</v>
      </c>
      <c r="AC125" s="54"/>
      <c r="AD125" s="54"/>
      <c r="AE125" s="54"/>
      <c r="AF125" s="54"/>
      <c r="AG125" s="54"/>
      <c r="AH125" s="54"/>
      <c r="AI125" s="54"/>
      <c r="AJ125" s="54"/>
      <c r="AK125" s="54"/>
      <c r="AL125" s="54"/>
      <c r="AM125" s="54"/>
      <c r="AN125" s="54"/>
      <c r="AO125" s="54"/>
      <c r="AP125" s="54"/>
      <c r="AQ125" s="54"/>
      <c r="AR125" s="54"/>
      <c r="AS125" s="54"/>
      <c r="AT125" s="54"/>
    </row>
    <row r="126">
      <c r="A126" s="385">
        <v>2017.0</v>
      </c>
      <c r="B126" s="395">
        <v>44638.35167747685</v>
      </c>
      <c r="C126" s="387" t="s">
        <v>3342</v>
      </c>
      <c r="D126" s="385">
        <v>1.700016016E9</v>
      </c>
      <c r="E126" s="387" t="s">
        <v>378</v>
      </c>
      <c r="F126" s="388" t="s">
        <v>379</v>
      </c>
      <c r="G126" s="387" t="s">
        <v>3343</v>
      </c>
      <c r="H126" s="389">
        <v>44144.0</v>
      </c>
      <c r="I126" s="389">
        <v>44221.0</v>
      </c>
      <c r="J126" s="387" t="s">
        <v>399</v>
      </c>
      <c r="K126" s="387" t="s">
        <v>117</v>
      </c>
      <c r="L126" s="387" t="s">
        <v>183</v>
      </c>
      <c r="M126" s="390"/>
      <c r="N126" s="390"/>
      <c r="O126" s="390"/>
      <c r="P126" s="390"/>
      <c r="Q126" s="390"/>
      <c r="R126" s="390"/>
      <c r="S126" s="387" t="s">
        <v>3344</v>
      </c>
      <c r="T126" s="387" t="s">
        <v>117</v>
      </c>
      <c r="U126" s="387" t="s">
        <v>183</v>
      </c>
      <c r="V126" s="387" t="s">
        <v>703</v>
      </c>
      <c r="W126" s="394">
        <v>44648.0</v>
      </c>
      <c r="X126" s="387" t="s">
        <v>3345</v>
      </c>
      <c r="Y126" s="352">
        <v>44740.0</v>
      </c>
      <c r="Z126" s="57"/>
      <c r="AA126" s="54"/>
      <c r="AB126" s="341" t="s">
        <v>316</v>
      </c>
      <c r="AC126" s="54"/>
      <c r="AD126" s="54"/>
      <c r="AE126" s="54"/>
      <c r="AF126" s="54"/>
      <c r="AG126" s="54"/>
      <c r="AH126" s="54"/>
      <c r="AI126" s="54"/>
      <c r="AJ126" s="54"/>
      <c r="AK126" s="54"/>
      <c r="AL126" s="54"/>
      <c r="AM126" s="54"/>
      <c r="AN126" s="54"/>
      <c r="AO126" s="54"/>
      <c r="AP126" s="54"/>
      <c r="AQ126" s="54"/>
      <c r="AR126" s="54"/>
      <c r="AS126" s="54"/>
      <c r="AT126" s="54"/>
    </row>
    <row r="127">
      <c r="A127" s="385">
        <v>2016.0</v>
      </c>
      <c r="B127" s="395">
        <v>44653.92875283565</v>
      </c>
      <c r="C127" s="387" t="s">
        <v>622</v>
      </c>
      <c r="D127" s="385">
        <v>1.600016084E9</v>
      </c>
      <c r="E127" s="387" t="s">
        <v>623</v>
      </c>
      <c r="F127" s="388" t="s">
        <v>624</v>
      </c>
      <c r="G127" s="387" t="s">
        <v>3346</v>
      </c>
      <c r="H127" s="389">
        <v>44348.0</v>
      </c>
      <c r="I127" s="389">
        <v>44375.0</v>
      </c>
      <c r="J127" s="387" t="s">
        <v>399</v>
      </c>
      <c r="K127" s="387" t="s">
        <v>2379</v>
      </c>
      <c r="L127" s="387" t="s">
        <v>241</v>
      </c>
      <c r="M127" s="390"/>
      <c r="N127" s="390"/>
      <c r="O127" s="390"/>
      <c r="P127" s="390"/>
      <c r="Q127" s="390"/>
      <c r="R127" s="390"/>
      <c r="S127" s="387" t="s">
        <v>3347</v>
      </c>
      <c r="T127" s="387" t="s">
        <v>2379</v>
      </c>
      <c r="U127" s="387" t="s">
        <v>241</v>
      </c>
      <c r="V127" s="387" t="s">
        <v>2951</v>
      </c>
      <c r="W127" s="394">
        <v>44658.0</v>
      </c>
      <c r="X127" s="387" t="s">
        <v>3331</v>
      </c>
      <c r="Y127" s="350"/>
      <c r="Z127" s="373"/>
      <c r="AA127" s="54"/>
      <c r="AB127" s="341" t="s">
        <v>316</v>
      </c>
      <c r="AC127" s="54"/>
      <c r="AD127" s="54"/>
      <c r="AE127" s="54"/>
      <c r="AF127" s="54"/>
      <c r="AG127" s="54"/>
      <c r="AH127" s="54"/>
      <c r="AI127" s="54"/>
      <c r="AJ127" s="54"/>
      <c r="AK127" s="54"/>
      <c r="AL127" s="54"/>
      <c r="AM127" s="54"/>
      <c r="AN127" s="54"/>
      <c r="AO127" s="54"/>
      <c r="AP127" s="54"/>
      <c r="AQ127" s="54"/>
      <c r="AR127" s="54"/>
      <c r="AS127" s="54"/>
      <c r="AT127" s="54"/>
    </row>
    <row r="128">
      <c r="A128" s="385">
        <v>2017.0</v>
      </c>
      <c r="B128" s="395">
        <v>44669.8103746875</v>
      </c>
      <c r="C128" s="387" t="s">
        <v>3348</v>
      </c>
      <c r="D128" s="385">
        <v>1.700016115E9</v>
      </c>
      <c r="E128" s="387" t="s">
        <v>653</v>
      </c>
      <c r="F128" s="387" t="s">
        <v>3349</v>
      </c>
      <c r="G128" s="387" t="s">
        <v>3350</v>
      </c>
      <c r="H128" s="389">
        <v>44394.0</v>
      </c>
      <c r="I128" s="389">
        <v>44422.0</v>
      </c>
      <c r="J128" s="387" t="s">
        <v>399</v>
      </c>
      <c r="K128" s="387" t="s">
        <v>241</v>
      </c>
      <c r="L128" s="387" t="s">
        <v>703</v>
      </c>
      <c r="M128" s="390"/>
      <c r="N128" s="390"/>
      <c r="O128" s="390"/>
      <c r="P128" s="390"/>
      <c r="Q128" s="390"/>
      <c r="R128" s="390"/>
      <c r="S128" s="387" t="s">
        <v>3351</v>
      </c>
      <c r="T128" s="387" t="s">
        <v>241</v>
      </c>
      <c r="U128" s="387" t="s">
        <v>703</v>
      </c>
      <c r="V128" s="387" t="s">
        <v>183</v>
      </c>
      <c r="W128" s="394">
        <v>44678.0</v>
      </c>
      <c r="X128" s="387" t="s">
        <v>3331</v>
      </c>
      <c r="Y128" s="341" t="s">
        <v>3352</v>
      </c>
      <c r="Z128" s="373"/>
      <c r="AA128" s="54"/>
      <c r="AB128" s="341" t="s">
        <v>316</v>
      </c>
      <c r="AC128" s="54"/>
      <c r="AD128" s="54"/>
      <c r="AE128" s="54"/>
      <c r="AF128" s="54"/>
      <c r="AG128" s="54"/>
      <c r="AH128" s="54"/>
      <c r="AI128" s="54"/>
      <c r="AJ128" s="54"/>
      <c r="AK128" s="54"/>
      <c r="AL128" s="54"/>
      <c r="AM128" s="54"/>
      <c r="AN128" s="54"/>
      <c r="AO128" s="54"/>
      <c r="AP128" s="54"/>
      <c r="AQ128" s="54"/>
      <c r="AR128" s="54"/>
      <c r="AS128" s="54"/>
      <c r="AT128" s="54"/>
    </row>
    <row r="129">
      <c r="A129" s="385">
        <v>2015.0</v>
      </c>
      <c r="B129" s="395">
        <v>44715.52385704861</v>
      </c>
      <c r="C129" s="387" t="s">
        <v>286</v>
      </c>
      <c r="D129" s="385">
        <v>1.50001602E9</v>
      </c>
      <c r="E129" s="387" t="s">
        <v>3353</v>
      </c>
      <c r="F129" s="388" t="s">
        <v>3354</v>
      </c>
      <c r="G129" s="387" t="s">
        <v>3355</v>
      </c>
      <c r="H129" s="389">
        <v>44198.0</v>
      </c>
      <c r="I129" s="389">
        <v>44249.0</v>
      </c>
      <c r="J129" s="387" t="s">
        <v>399</v>
      </c>
      <c r="K129" s="387" t="s">
        <v>241</v>
      </c>
      <c r="L129" s="387" t="s">
        <v>230</v>
      </c>
      <c r="M129" s="390"/>
      <c r="N129" s="390"/>
      <c r="O129" s="390"/>
      <c r="P129" s="390"/>
      <c r="Q129" s="390"/>
      <c r="R129" s="396"/>
      <c r="S129" s="387" t="s">
        <v>3356</v>
      </c>
      <c r="T129" s="387" t="s">
        <v>241</v>
      </c>
      <c r="U129" s="387" t="s">
        <v>230</v>
      </c>
      <c r="V129" s="387" t="s">
        <v>3145</v>
      </c>
      <c r="W129" s="394">
        <v>44719.0</v>
      </c>
      <c r="X129" s="387" t="s">
        <v>3321</v>
      </c>
      <c r="Y129" s="352">
        <v>44740.0</v>
      </c>
      <c r="Z129" s="54"/>
      <c r="AA129" s="54"/>
      <c r="AB129" s="341" t="s">
        <v>316</v>
      </c>
      <c r="AC129" s="54"/>
      <c r="AD129" s="54"/>
      <c r="AE129" s="54"/>
      <c r="AF129" s="54"/>
      <c r="AG129" s="54"/>
      <c r="AH129" s="54"/>
      <c r="AI129" s="54"/>
      <c r="AJ129" s="54"/>
      <c r="AK129" s="54"/>
      <c r="AL129" s="54"/>
      <c r="AM129" s="54"/>
      <c r="AN129" s="54"/>
      <c r="AO129" s="54"/>
      <c r="AP129" s="54"/>
      <c r="AQ129" s="54"/>
      <c r="AR129" s="54"/>
      <c r="AS129" s="54"/>
      <c r="AT129" s="54"/>
    </row>
    <row r="130">
      <c r="A130" s="385">
        <v>2016.0</v>
      </c>
      <c r="B130" s="395">
        <v>44719.78457335648</v>
      </c>
      <c r="C130" s="387" t="s">
        <v>198</v>
      </c>
      <c r="D130" s="385">
        <v>1.600016007E9</v>
      </c>
      <c r="E130" s="387" t="s">
        <v>199</v>
      </c>
      <c r="F130" s="388" t="s">
        <v>200</v>
      </c>
      <c r="G130" s="387" t="s">
        <v>3357</v>
      </c>
      <c r="H130" s="389">
        <v>44183.0</v>
      </c>
      <c r="I130" s="389">
        <v>43992.0</v>
      </c>
      <c r="J130" s="387" t="s">
        <v>399</v>
      </c>
      <c r="K130" s="387" t="s">
        <v>2379</v>
      </c>
      <c r="L130" s="387" t="s">
        <v>3062</v>
      </c>
      <c r="M130" s="390"/>
      <c r="N130" s="390"/>
      <c r="O130" s="390"/>
      <c r="P130" s="390"/>
      <c r="Q130" s="390"/>
      <c r="R130" s="396"/>
      <c r="S130" s="387" t="s">
        <v>3358</v>
      </c>
      <c r="T130" s="387" t="s">
        <v>2379</v>
      </c>
      <c r="U130" s="387" t="s">
        <v>3062</v>
      </c>
      <c r="V130" s="387" t="s">
        <v>2951</v>
      </c>
      <c r="W130" s="394">
        <v>44727.0</v>
      </c>
      <c r="X130" s="387" t="s">
        <v>3359</v>
      </c>
      <c r="Y130" s="350"/>
      <c r="Z130" s="54"/>
      <c r="AA130" s="54"/>
      <c r="AB130" s="341" t="s">
        <v>316</v>
      </c>
      <c r="AC130" s="54"/>
      <c r="AD130" s="54"/>
      <c r="AE130" s="54"/>
      <c r="AF130" s="54"/>
      <c r="AG130" s="54"/>
      <c r="AH130" s="54"/>
      <c r="AI130" s="54"/>
      <c r="AJ130" s="54"/>
      <c r="AK130" s="54"/>
      <c r="AL130" s="54"/>
      <c r="AM130" s="54"/>
      <c r="AN130" s="54"/>
      <c r="AO130" s="54"/>
      <c r="AP130" s="54"/>
      <c r="AQ130" s="54"/>
      <c r="AR130" s="54"/>
      <c r="AS130" s="54"/>
      <c r="AT130" s="54"/>
    </row>
    <row r="131">
      <c r="A131" s="385">
        <v>2015.0</v>
      </c>
      <c r="B131" s="395">
        <v>44721.49586947917</v>
      </c>
      <c r="C131" s="387" t="s">
        <v>340</v>
      </c>
      <c r="D131" s="385">
        <v>1.500016059E9</v>
      </c>
      <c r="E131" s="387" t="s">
        <v>341</v>
      </c>
      <c r="F131" s="388" t="s">
        <v>3360</v>
      </c>
      <c r="G131" s="387" t="s">
        <v>342</v>
      </c>
      <c r="H131" s="389">
        <v>44259.0</v>
      </c>
      <c r="I131" s="389">
        <v>44303.0</v>
      </c>
      <c r="J131" s="387" t="s">
        <v>399</v>
      </c>
      <c r="K131" s="387" t="s">
        <v>2379</v>
      </c>
      <c r="L131" s="387" t="s">
        <v>3013</v>
      </c>
      <c r="M131" s="390"/>
      <c r="N131" s="390"/>
      <c r="O131" s="390"/>
      <c r="P131" s="390"/>
      <c r="Q131" s="390"/>
      <c r="R131" s="396"/>
      <c r="S131" s="387" t="s">
        <v>3361</v>
      </c>
      <c r="T131" s="387" t="s">
        <v>2379</v>
      </c>
      <c r="U131" s="387" t="s">
        <v>3013</v>
      </c>
      <c r="V131" s="387" t="s">
        <v>2951</v>
      </c>
      <c r="W131" s="394">
        <v>44727.0</v>
      </c>
      <c r="X131" s="387" t="s">
        <v>3334</v>
      </c>
      <c r="Y131" s="341" t="s">
        <v>3362</v>
      </c>
      <c r="Z131" s="54"/>
      <c r="AA131" s="54"/>
      <c r="AB131" s="341" t="s">
        <v>316</v>
      </c>
      <c r="AC131" s="54"/>
      <c r="AD131" s="54"/>
      <c r="AE131" s="54"/>
      <c r="AF131" s="54"/>
      <c r="AG131" s="54"/>
      <c r="AH131" s="54"/>
      <c r="AI131" s="54"/>
      <c r="AJ131" s="54"/>
      <c r="AK131" s="54"/>
      <c r="AL131" s="54"/>
      <c r="AM131" s="54"/>
      <c r="AN131" s="54"/>
      <c r="AO131" s="54"/>
      <c r="AP131" s="54"/>
      <c r="AQ131" s="54"/>
      <c r="AR131" s="54"/>
      <c r="AS131" s="54"/>
      <c r="AT131" s="54"/>
    </row>
    <row r="132">
      <c r="A132" s="385">
        <v>2018.0</v>
      </c>
      <c r="B132" s="395">
        <v>44732.53091958333</v>
      </c>
      <c r="C132" s="387" t="s">
        <v>743</v>
      </c>
      <c r="D132" s="385">
        <v>1.80001604E9</v>
      </c>
      <c r="E132" s="387" t="s">
        <v>3363</v>
      </c>
      <c r="F132" s="388" t="s">
        <v>745</v>
      </c>
      <c r="G132" s="387" t="s">
        <v>3364</v>
      </c>
      <c r="H132" s="389">
        <v>44613.0</v>
      </c>
      <c r="I132" s="389">
        <v>44613.0</v>
      </c>
      <c r="J132" s="387" t="s">
        <v>399</v>
      </c>
      <c r="K132" s="387" t="s">
        <v>3013</v>
      </c>
      <c r="L132" s="387" t="s">
        <v>1900</v>
      </c>
      <c r="M132" s="390"/>
      <c r="N132" s="390"/>
      <c r="O132" s="390"/>
      <c r="P132" s="390"/>
      <c r="Q132" s="390"/>
      <c r="R132" s="390"/>
      <c r="S132" s="387" t="s">
        <v>3365</v>
      </c>
      <c r="T132" s="387" t="s">
        <v>3013</v>
      </c>
      <c r="U132" s="387" t="s">
        <v>1900</v>
      </c>
      <c r="V132" s="387" t="s">
        <v>3136</v>
      </c>
      <c r="W132" s="394">
        <v>44737.0</v>
      </c>
      <c r="X132" s="387" t="s">
        <v>3331</v>
      </c>
      <c r="Y132" s="352">
        <v>44770.0</v>
      </c>
      <c r="Z132" s="373"/>
      <c r="AA132" s="54"/>
      <c r="AB132" s="341" t="s">
        <v>316</v>
      </c>
      <c r="AC132" s="54"/>
      <c r="AD132" s="54"/>
      <c r="AE132" s="54"/>
      <c r="AF132" s="54"/>
      <c r="AG132" s="54"/>
      <c r="AH132" s="54"/>
      <c r="AI132" s="54"/>
      <c r="AJ132" s="54"/>
      <c r="AK132" s="54"/>
      <c r="AL132" s="54"/>
      <c r="AM132" s="54"/>
      <c r="AN132" s="54"/>
      <c r="AO132" s="54"/>
      <c r="AP132" s="54"/>
      <c r="AQ132" s="54"/>
      <c r="AR132" s="54"/>
      <c r="AS132" s="54"/>
      <c r="AT132" s="54"/>
    </row>
    <row r="133">
      <c r="A133" s="385">
        <v>2018.0</v>
      </c>
      <c r="B133" s="395">
        <v>44737.504859050925</v>
      </c>
      <c r="C133" s="387" t="s">
        <v>748</v>
      </c>
      <c r="D133" s="385">
        <v>1.800016003E9</v>
      </c>
      <c r="E133" s="387" t="s">
        <v>749</v>
      </c>
      <c r="F133" s="388" t="s">
        <v>750</v>
      </c>
      <c r="G133" s="387" t="s">
        <v>3366</v>
      </c>
      <c r="H133" s="389">
        <v>44483.0</v>
      </c>
      <c r="I133" s="389">
        <v>44613.0</v>
      </c>
      <c r="J133" s="387" t="s">
        <v>399</v>
      </c>
      <c r="K133" s="387" t="s">
        <v>3013</v>
      </c>
      <c r="L133" s="387" t="s">
        <v>3062</v>
      </c>
      <c r="M133" s="390"/>
      <c r="N133" s="390"/>
      <c r="O133" s="390"/>
      <c r="P133" s="390"/>
      <c r="Q133" s="390"/>
      <c r="R133" s="390"/>
      <c r="S133" s="387" t="s">
        <v>3367</v>
      </c>
      <c r="T133" s="387" t="s">
        <v>3013</v>
      </c>
      <c r="U133" s="387" t="s">
        <v>3062</v>
      </c>
      <c r="V133" s="387" t="s">
        <v>3136</v>
      </c>
      <c r="W133" s="394">
        <v>44742.0</v>
      </c>
      <c r="X133" s="387" t="s">
        <v>3345</v>
      </c>
      <c r="Y133" s="341" t="s">
        <v>3362</v>
      </c>
      <c r="Z133" s="373"/>
      <c r="AA133" s="54"/>
      <c r="AB133" s="341" t="s">
        <v>316</v>
      </c>
      <c r="AC133" s="54"/>
      <c r="AD133" s="54"/>
      <c r="AE133" s="54"/>
      <c r="AF133" s="54"/>
      <c r="AG133" s="54"/>
      <c r="AH133" s="54"/>
      <c r="AI133" s="54"/>
      <c r="AJ133" s="54"/>
      <c r="AK133" s="54"/>
      <c r="AL133" s="54"/>
      <c r="AM133" s="54"/>
      <c r="AN133" s="54"/>
      <c r="AO133" s="54"/>
      <c r="AP133" s="54"/>
      <c r="AQ133" s="54"/>
      <c r="AR133" s="54"/>
      <c r="AS133" s="54"/>
      <c r="AT133" s="54"/>
    </row>
    <row r="134">
      <c r="A134" s="385">
        <v>2018.0</v>
      </c>
      <c r="B134" s="395">
        <v>44737.747344965275</v>
      </c>
      <c r="C134" s="387" t="s">
        <v>807</v>
      </c>
      <c r="D134" s="385">
        <v>1.800016014E9</v>
      </c>
      <c r="E134" s="387" t="s">
        <v>808</v>
      </c>
      <c r="F134" s="388" t="s">
        <v>809</v>
      </c>
      <c r="G134" s="387" t="s">
        <v>810</v>
      </c>
      <c r="H134" s="389">
        <v>44663.0</v>
      </c>
      <c r="I134" s="389">
        <v>44651.0</v>
      </c>
      <c r="J134" s="387" t="s">
        <v>399</v>
      </c>
      <c r="K134" s="387" t="s">
        <v>241</v>
      </c>
      <c r="L134" s="387" t="s">
        <v>183</v>
      </c>
      <c r="M134" s="390"/>
      <c r="N134" s="390"/>
      <c r="O134" s="390"/>
      <c r="P134" s="390"/>
      <c r="Q134" s="390"/>
      <c r="R134" s="390"/>
      <c r="S134" s="387" t="s">
        <v>3368</v>
      </c>
      <c r="T134" s="387" t="s">
        <v>3369</v>
      </c>
      <c r="U134" s="387" t="s">
        <v>183</v>
      </c>
      <c r="V134" s="387" t="s">
        <v>2951</v>
      </c>
      <c r="W134" s="394">
        <v>44742.0</v>
      </c>
      <c r="X134" s="387" t="s">
        <v>3334</v>
      </c>
      <c r="Y134" s="352">
        <v>44770.0</v>
      </c>
      <c r="Z134" s="373"/>
      <c r="AA134" s="54"/>
      <c r="AB134" s="341" t="s">
        <v>316</v>
      </c>
      <c r="AC134" s="54"/>
      <c r="AD134" s="54"/>
      <c r="AE134" s="54"/>
      <c r="AF134" s="54"/>
      <c r="AG134" s="54"/>
      <c r="AH134" s="54"/>
      <c r="AI134" s="54"/>
      <c r="AJ134" s="54"/>
      <c r="AK134" s="54"/>
      <c r="AL134" s="54"/>
      <c r="AM134" s="54"/>
      <c r="AN134" s="54"/>
      <c r="AO134" s="54"/>
      <c r="AP134" s="54"/>
      <c r="AQ134" s="54"/>
      <c r="AR134" s="54"/>
      <c r="AS134" s="54"/>
      <c r="AT134" s="54"/>
    </row>
    <row r="135">
      <c r="A135" s="385">
        <v>2015.0</v>
      </c>
      <c r="B135" s="395">
        <v>44736.57364539352</v>
      </c>
      <c r="C135" s="387" t="s">
        <v>306</v>
      </c>
      <c r="D135" s="385">
        <v>1.500016026E9</v>
      </c>
      <c r="E135" s="387" t="s">
        <v>307</v>
      </c>
      <c r="F135" s="388" t="s">
        <v>308</v>
      </c>
      <c r="G135" s="387" t="s">
        <v>3370</v>
      </c>
      <c r="H135" s="389">
        <v>44186.0</v>
      </c>
      <c r="I135" s="389">
        <v>44253.0</v>
      </c>
      <c r="J135" s="387" t="s">
        <v>399</v>
      </c>
      <c r="K135" s="387" t="s">
        <v>2379</v>
      </c>
      <c r="L135" s="387" t="s">
        <v>3013</v>
      </c>
      <c r="M135" s="390"/>
      <c r="N135" s="390"/>
      <c r="O135" s="390"/>
      <c r="P135" s="390"/>
      <c r="Q135" s="390"/>
      <c r="R135" s="390"/>
      <c r="S135" s="387" t="s">
        <v>3371</v>
      </c>
      <c r="T135" s="387" t="s">
        <v>2379</v>
      </c>
      <c r="U135" s="387" t="s">
        <v>3013</v>
      </c>
      <c r="V135" s="387" t="s">
        <v>183</v>
      </c>
      <c r="W135" s="394">
        <v>44742.0</v>
      </c>
      <c r="X135" s="387" t="s">
        <v>3331</v>
      </c>
      <c r="Y135" s="341" t="s">
        <v>3362</v>
      </c>
      <c r="Z135" s="373"/>
      <c r="AA135" s="54"/>
      <c r="AB135" s="341" t="s">
        <v>316</v>
      </c>
      <c r="AC135" s="54"/>
      <c r="AD135" s="54"/>
      <c r="AE135" s="54"/>
      <c r="AF135" s="54"/>
      <c r="AG135" s="54"/>
      <c r="AH135" s="54"/>
      <c r="AI135" s="54"/>
      <c r="AJ135" s="54"/>
      <c r="AK135" s="54"/>
      <c r="AL135" s="54"/>
      <c r="AM135" s="54"/>
      <c r="AN135" s="54"/>
      <c r="AO135" s="54"/>
      <c r="AP135" s="54"/>
      <c r="AQ135" s="54"/>
      <c r="AR135" s="54"/>
      <c r="AS135" s="54"/>
      <c r="AT135" s="54"/>
    </row>
    <row r="136">
      <c r="A136" s="385">
        <v>2018.0</v>
      </c>
      <c r="B136" s="395">
        <v>44747.303993009264</v>
      </c>
      <c r="C136" s="387" t="s">
        <v>791</v>
      </c>
      <c r="D136" s="385">
        <v>1.80001601E9</v>
      </c>
      <c r="E136" s="387" t="s">
        <v>792</v>
      </c>
      <c r="F136" s="388" t="s">
        <v>793</v>
      </c>
      <c r="G136" s="387" t="s">
        <v>3372</v>
      </c>
      <c r="H136" s="389">
        <v>44545.0</v>
      </c>
      <c r="I136" s="389">
        <v>44642.0</v>
      </c>
      <c r="J136" s="387" t="s">
        <v>399</v>
      </c>
      <c r="K136" s="387" t="s">
        <v>3013</v>
      </c>
      <c r="L136" s="387" t="s">
        <v>230</v>
      </c>
      <c r="M136" s="390"/>
      <c r="N136" s="390"/>
      <c r="O136" s="390"/>
      <c r="P136" s="390"/>
      <c r="Q136" s="390"/>
      <c r="R136" s="387"/>
      <c r="S136" s="387"/>
      <c r="T136" s="387" t="s">
        <v>3013</v>
      </c>
      <c r="U136" s="387" t="s">
        <v>230</v>
      </c>
      <c r="V136" s="387" t="s">
        <v>2951</v>
      </c>
      <c r="W136" s="394">
        <v>44750.0</v>
      </c>
      <c r="X136" s="387" t="s">
        <v>3373</v>
      </c>
      <c r="Y136" s="341" t="s">
        <v>3362</v>
      </c>
      <c r="Z136" s="365"/>
      <c r="AA136" s="54"/>
      <c r="AB136" s="341" t="s">
        <v>316</v>
      </c>
      <c r="AC136" s="54"/>
      <c r="AD136" s="54"/>
      <c r="AE136" s="54"/>
      <c r="AF136" s="54"/>
      <c r="AG136" s="54"/>
      <c r="AH136" s="54"/>
      <c r="AI136" s="54"/>
      <c r="AJ136" s="54"/>
      <c r="AK136" s="54"/>
      <c r="AL136" s="54"/>
      <c r="AM136" s="54"/>
      <c r="AN136" s="54"/>
      <c r="AO136" s="54"/>
      <c r="AP136" s="54"/>
      <c r="AQ136" s="54"/>
      <c r="AR136" s="54"/>
      <c r="AS136" s="54"/>
      <c r="AT136" s="54"/>
    </row>
    <row r="137">
      <c r="A137" s="385">
        <v>2017.0</v>
      </c>
      <c r="B137" s="395">
        <v>44740.764047847224</v>
      </c>
      <c r="C137" s="387" t="s">
        <v>401</v>
      </c>
      <c r="D137" s="385">
        <v>1.700016103E9</v>
      </c>
      <c r="E137" s="387" t="s">
        <v>402</v>
      </c>
      <c r="F137" s="388" t="s">
        <v>403</v>
      </c>
      <c r="G137" s="387" t="s">
        <v>3374</v>
      </c>
      <c r="H137" s="389">
        <v>44336.0</v>
      </c>
      <c r="I137" s="389">
        <v>44308.0</v>
      </c>
      <c r="J137" s="387" t="s">
        <v>399</v>
      </c>
      <c r="K137" s="387" t="s">
        <v>1900</v>
      </c>
      <c r="L137" s="387" t="s">
        <v>230</v>
      </c>
      <c r="M137" s="390"/>
      <c r="N137" s="390"/>
      <c r="O137" s="390"/>
      <c r="P137" s="390"/>
      <c r="Q137" s="390"/>
      <c r="R137" s="390"/>
      <c r="S137" s="387" t="s">
        <v>3375</v>
      </c>
      <c r="T137" s="387" t="s">
        <v>1900</v>
      </c>
      <c r="U137" s="387" t="s">
        <v>230</v>
      </c>
      <c r="V137" s="387" t="s">
        <v>3145</v>
      </c>
      <c r="W137" s="394">
        <v>44755.0</v>
      </c>
      <c r="X137" s="387" t="s">
        <v>3321</v>
      </c>
      <c r="Y137" s="397" t="s">
        <v>3362</v>
      </c>
      <c r="Z137" s="392"/>
      <c r="AA137" s="387"/>
      <c r="AB137" s="341" t="s">
        <v>316</v>
      </c>
      <c r="AC137" s="387"/>
      <c r="AD137" s="387"/>
      <c r="AE137" s="387"/>
      <c r="AF137" s="387"/>
      <c r="AG137" s="387"/>
      <c r="AH137" s="387"/>
      <c r="AI137" s="387"/>
      <c r="AJ137" s="387"/>
      <c r="AK137" s="387"/>
      <c r="AL137" s="387"/>
      <c r="AM137" s="387"/>
      <c r="AN137" s="387"/>
      <c r="AO137" s="387"/>
      <c r="AP137" s="387"/>
      <c r="AQ137" s="387"/>
      <c r="AR137" s="387"/>
      <c r="AS137" s="387"/>
      <c r="AT137" s="387"/>
    </row>
    <row r="138">
      <c r="A138" s="385">
        <v>2015.0</v>
      </c>
      <c r="B138" s="395">
        <v>44742.42236582176</v>
      </c>
      <c r="C138" s="387" t="s">
        <v>276</v>
      </c>
      <c r="D138" s="385">
        <v>1.500016019E9</v>
      </c>
      <c r="E138" s="387" t="s">
        <v>277</v>
      </c>
      <c r="F138" s="388" t="s">
        <v>278</v>
      </c>
      <c r="G138" s="387" t="s">
        <v>3376</v>
      </c>
      <c r="H138" s="389">
        <v>44064.0</v>
      </c>
      <c r="I138" s="389">
        <v>44140.0</v>
      </c>
      <c r="J138" s="387" t="s">
        <v>399</v>
      </c>
      <c r="K138" s="387" t="s">
        <v>2379</v>
      </c>
      <c r="L138" s="387" t="s">
        <v>183</v>
      </c>
      <c r="M138" s="390"/>
      <c r="N138" s="390"/>
      <c r="O138" s="390"/>
      <c r="P138" s="390"/>
      <c r="Q138" s="390"/>
      <c r="R138" s="390"/>
      <c r="S138" s="387" t="s">
        <v>3377</v>
      </c>
      <c r="T138" s="387" t="s">
        <v>2379</v>
      </c>
      <c r="U138" s="387" t="s">
        <v>183</v>
      </c>
      <c r="V138" s="387" t="s">
        <v>3145</v>
      </c>
      <c r="W138" s="394">
        <v>44754.0</v>
      </c>
      <c r="X138" s="387" t="s">
        <v>3321</v>
      </c>
      <c r="Y138" s="397" t="s">
        <v>3362</v>
      </c>
      <c r="Z138" s="392"/>
      <c r="AA138" s="387"/>
      <c r="AB138" s="341" t="s">
        <v>316</v>
      </c>
      <c r="AC138" s="387"/>
      <c r="AD138" s="387"/>
      <c r="AE138" s="387"/>
      <c r="AF138" s="387"/>
      <c r="AG138" s="387"/>
      <c r="AH138" s="387"/>
      <c r="AI138" s="387"/>
      <c r="AJ138" s="387"/>
      <c r="AK138" s="387"/>
      <c r="AL138" s="387"/>
      <c r="AM138" s="387"/>
      <c r="AN138" s="387"/>
      <c r="AO138" s="387"/>
      <c r="AP138" s="387"/>
      <c r="AQ138" s="387"/>
      <c r="AR138" s="387"/>
      <c r="AS138" s="387"/>
      <c r="AT138" s="387"/>
    </row>
    <row r="139">
      <c r="A139" s="385">
        <v>2018.0</v>
      </c>
      <c r="B139" s="395">
        <v>44743.35942579861</v>
      </c>
      <c r="C139" s="387" t="s">
        <v>3378</v>
      </c>
      <c r="D139" s="385">
        <v>1.800016036E9</v>
      </c>
      <c r="E139" s="387" t="s">
        <v>787</v>
      </c>
      <c r="F139" s="388" t="s">
        <v>788</v>
      </c>
      <c r="G139" s="387" t="s">
        <v>3379</v>
      </c>
      <c r="H139" s="389">
        <v>44644.0</v>
      </c>
      <c r="I139" s="389">
        <v>44735.0</v>
      </c>
      <c r="J139" s="387" t="s">
        <v>399</v>
      </c>
      <c r="K139" s="387" t="s">
        <v>2379</v>
      </c>
      <c r="L139" s="387" t="s">
        <v>3013</v>
      </c>
      <c r="M139" s="390"/>
      <c r="N139" s="390"/>
      <c r="O139" s="390"/>
      <c r="P139" s="390"/>
      <c r="Q139" s="390"/>
      <c r="R139" s="390"/>
      <c r="S139" s="387" t="s">
        <v>3380</v>
      </c>
      <c r="T139" s="387" t="s">
        <v>2379</v>
      </c>
      <c r="U139" s="387" t="s">
        <v>3013</v>
      </c>
      <c r="V139" s="387" t="s">
        <v>2951</v>
      </c>
      <c r="W139" s="394">
        <v>44755.0</v>
      </c>
      <c r="X139" s="387" t="s">
        <v>3312</v>
      </c>
      <c r="Y139" s="397" t="s">
        <v>3381</v>
      </c>
      <c r="Z139" s="392"/>
      <c r="AA139" s="387"/>
      <c r="AB139" s="341" t="s">
        <v>316</v>
      </c>
      <c r="AC139" s="387"/>
      <c r="AD139" s="387"/>
      <c r="AE139" s="387"/>
      <c r="AF139" s="387"/>
      <c r="AG139" s="387"/>
      <c r="AH139" s="387"/>
      <c r="AI139" s="387"/>
      <c r="AJ139" s="387"/>
      <c r="AK139" s="387"/>
      <c r="AL139" s="387"/>
      <c r="AM139" s="387"/>
      <c r="AN139" s="387"/>
      <c r="AO139" s="387"/>
      <c r="AP139" s="387"/>
      <c r="AQ139" s="387"/>
      <c r="AR139" s="387"/>
      <c r="AS139" s="387"/>
      <c r="AT139" s="387"/>
    </row>
    <row r="140">
      <c r="A140" s="385">
        <v>2018.0</v>
      </c>
      <c r="B140" s="395">
        <v>44748.63086902778</v>
      </c>
      <c r="C140" s="387" t="s">
        <v>886</v>
      </c>
      <c r="D140" s="385">
        <v>1.800016007E9</v>
      </c>
      <c r="E140" s="387" t="s">
        <v>887</v>
      </c>
      <c r="F140" s="388" t="s">
        <v>888</v>
      </c>
      <c r="G140" s="387" t="s">
        <v>889</v>
      </c>
      <c r="H140" s="389">
        <v>44708.0</v>
      </c>
      <c r="I140" s="389">
        <v>44678.0</v>
      </c>
      <c r="J140" s="387" t="s">
        <v>399</v>
      </c>
      <c r="K140" s="387" t="s">
        <v>241</v>
      </c>
      <c r="L140" s="387" t="s">
        <v>183</v>
      </c>
      <c r="M140" s="390"/>
      <c r="N140" s="390"/>
      <c r="O140" s="390"/>
      <c r="P140" s="390"/>
      <c r="Q140" s="390"/>
      <c r="R140" s="390"/>
      <c r="S140" s="387" t="s">
        <v>3382</v>
      </c>
      <c r="T140" s="387" t="s">
        <v>3369</v>
      </c>
      <c r="U140" s="387" t="s">
        <v>183</v>
      </c>
      <c r="V140" s="387" t="s">
        <v>2951</v>
      </c>
      <c r="W140" s="394">
        <v>44756.0</v>
      </c>
      <c r="X140" s="387" t="s">
        <v>3321</v>
      </c>
      <c r="Y140" s="397" t="s">
        <v>3362</v>
      </c>
      <c r="Z140" s="392"/>
      <c r="AA140" s="387"/>
      <c r="AB140" s="341" t="s">
        <v>316</v>
      </c>
      <c r="AC140" s="387"/>
      <c r="AD140" s="387"/>
      <c r="AE140" s="387"/>
      <c r="AF140" s="387"/>
      <c r="AG140" s="387"/>
      <c r="AH140" s="387"/>
      <c r="AI140" s="387"/>
      <c r="AJ140" s="387"/>
      <c r="AK140" s="387"/>
      <c r="AL140" s="387"/>
      <c r="AM140" s="387"/>
      <c r="AN140" s="387"/>
      <c r="AO140" s="387"/>
      <c r="AP140" s="387"/>
      <c r="AQ140" s="387"/>
      <c r="AR140" s="387"/>
      <c r="AS140" s="387"/>
      <c r="AT140" s="387"/>
    </row>
    <row r="141">
      <c r="A141" s="398">
        <v>2015.0</v>
      </c>
      <c r="B141" s="399">
        <v>44749.66488607639</v>
      </c>
      <c r="C141" s="400" t="s">
        <v>699</v>
      </c>
      <c r="D141" s="398">
        <v>1.500016032E9</v>
      </c>
      <c r="E141" s="400" t="s">
        <v>700</v>
      </c>
      <c r="F141" s="401" t="s">
        <v>701</v>
      </c>
      <c r="G141" s="400" t="s">
        <v>3383</v>
      </c>
      <c r="H141" s="402">
        <v>44445.0</v>
      </c>
      <c r="I141" s="402">
        <v>44557.0</v>
      </c>
      <c r="J141" s="400" t="s">
        <v>399</v>
      </c>
      <c r="K141" s="400" t="s">
        <v>703</v>
      </c>
      <c r="L141" s="400" t="s">
        <v>1900</v>
      </c>
      <c r="M141" s="403"/>
      <c r="N141" s="403"/>
      <c r="O141" s="403"/>
      <c r="P141" s="403"/>
      <c r="Q141" s="403"/>
      <c r="R141" s="403"/>
      <c r="S141" s="400" t="s">
        <v>3384</v>
      </c>
      <c r="T141" s="400" t="s">
        <v>703</v>
      </c>
      <c r="U141" s="400" t="s">
        <v>1900</v>
      </c>
      <c r="V141" s="400" t="s">
        <v>3145</v>
      </c>
      <c r="W141" s="404">
        <v>44765.0</v>
      </c>
      <c r="X141" s="400" t="s">
        <v>3321</v>
      </c>
      <c r="Y141" s="405" t="s">
        <v>3362</v>
      </c>
      <c r="Z141" s="406"/>
      <c r="AA141" s="400"/>
      <c r="AB141" s="341" t="s">
        <v>316</v>
      </c>
      <c r="AC141" s="400"/>
      <c r="AD141" s="400"/>
      <c r="AE141" s="400"/>
      <c r="AF141" s="400"/>
      <c r="AG141" s="400"/>
      <c r="AH141" s="400"/>
      <c r="AI141" s="400"/>
      <c r="AJ141" s="400"/>
      <c r="AK141" s="400"/>
      <c r="AL141" s="400"/>
      <c r="AM141" s="400"/>
      <c r="AN141" s="400"/>
      <c r="AO141" s="400"/>
      <c r="AP141" s="400"/>
      <c r="AQ141" s="400"/>
      <c r="AR141" s="400"/>
      <c r="AS141" s="400"/>
      <c r="AT141" s="400"/>
    </row>
    <row r="142">
      <c r="A142" s="398">
        <v>2018.0</v>
      </c>
      <c r="B142" s="399">
        <v>44753.55779380787</v>
      </c>
      <c r="C142" s="400" t="s">
        <v>877</v>
      </c>
      <c r="D142" s="398">
        <v>1.800016025E9</v>
      </c>
      <c r="E142" s="400" t="s">
        <v>878</v>
      </c>
      <c r="F142" s="401" t="s">
        <v>879</v>
      </c>
      <c r="G142" s="400" t="s">
        <v>880</v>
      </c>
      <c r="H142" s="402">
        <v>44713.0</v>
      </c>
      <c r="I142" s="402">
        <v>44674.0</v>
      </c>
      <c r="J142" s="400" t="s">
        <v>399</v>
      </c>
      <c r="K142" s="400" t="s">
        <v>241</v>
      </c>
      <c r="L142" s="400" t="s">
        <v>183</v>
      </c>
      <c r="M142" s="403"/>
      <c r="N142" s="403"/>
      <c r="O142" s="403"/>
      <c r="P142" s="403"/>
      <c r="Q142" s="403"/>
      <c r="R142" s="403"/>
      <c r="S142" s="400" t="s">
        <v>3385</v>
      </c>
      <c r="T142" s="400" t="s">
        <v>950</v>
      </c>
      <c r="U142" s="400" t="s">
        <v>1900</v>
      </c>
      <c r="V142" s="400" t="s">
        <v>3145</v>
      </c>
      <c r="W142" s="404">
        <v>44765.0</v>
      </c>
      <c r="X142" s="400" t="s">
        <v>3312</v>
      </c>
      <c r="Y142" s="405" t="s">
        <v>3386</v>
      </c>
      <c r="Z142" s="406"/>
      <c r="AA142" s="400"/>
      <c r="AB142" s="341" t="s">
        <v>316</v>
      </c>
      <c r="AC142" s="400"/>
      <c r="AD142" s="400"/>
      <c r="AE142" s="400"/>
      <c r="AF142" s="400"/>
      <c r="AG142" s="400"/>
      <c r="AH142" s="400"/>
      <c r="AI142" s="400"/>
      <c r="AJ142" s="400"/>
      <c r="AK142" s="400"/>
      <c r="AL142" s="400"/>
      <c r="AM142" s="400"/>
      <c r="AN142" s="400"/>
      <c r="AO142" s="400"/>
      <c r="AP142" s="400"/>
      <c r="AQ142" s="400"/>
      <c r="AR142" s="400"/>
      <c r="AS142" s="400"/>
      <c r="AT142" s="400"/>
    </row>
    <row r="143">
      <c r="A143" s="398">
        <v>2018.0</v>
      </c>
      <c r="B143" s="399">
        <v>44756.5423004051</v>
      </c>
      <c r="C143" s="400" t="s">
        <v>773</v>
      </c>
      <c r="D143" s="398">
        <v>1.800016053E9</v>
      </c>
      <c r="E143" s="400" t="s">
        <v>774</v>
      </c>
      <c r="F143" s="401" t="s">
        <v>775</v>
      </c>
      <c r="G143" s="400" t="s">
        <v>776</v>
      </c>
      <c r="H143" s="402">
        <v>44656.0</v>
      </c>
      <c r="I143" s="402">
        <v>44643.0</v>
      </c>
      <c r="J143" s="400" t="s">
        <v>399</v>
      </c>
      <c r="K143" s="400" t="s">
        <v>2379</v>
      </c>
      <c r="L143" s="400" t="s">
        <v>3013</v>
      </c>
      <c r="M143" s="403"/>
      <c r="N143" s="403"/>
      <c r="O143" s="403"/>
      <c r="P143" s="403"/>
      <c r="Q143" s="403"/>
      <c r="R143" s="403"/>
      <c r="S143" s="400" t="s">
        <v>3387</v>
      </c>
      <c r="T143" s="400" t="s">
        <v>2379</v>
      </c>
      <c r="U143" s="400" t="s">
        <v>3013</v>
      </c>
      <c r="V143" s="400" t="s">
        <v>703</v>
      </c>
      <c r="W143" s="404">
        <v>44767.0</v>
      </c>
      <c r="X143" s="400" t="s">
        <v>3312</v>
      </c>
      <c r="Y143" s="405" t="s">
        <v>3352</v>
      </c>
      <c r="Z143" s="406"/>
      <c r="AA143" s="400"/>
      <c r="AB143" s="341" t="s">
        <v>316</v>
      </c>
      <c r="AC143" s="400"/>
      <c r="AD143" s="400"/>
      <c r="AE143" s="400"/>
      <c r="AF143" s="400"/>
      <c r="AG143" s="400"/>
      <c r="AH143" s="400"/>
      <c r="AI143" s="400"/>
      <c r="AJ143" s="400"/>
      <c r="AK143" s="400"/>
      <c r="AL143" s="400"/>
      <c r="AM143" s="400"/>
      <c r="AN143" s="400"/>
      <c r="AO143" s="400"/>
      <c r="AP143" s="400"/>
      <c r="AQ143" s="400"/>
      <c r="AR143" s="400"/>
      <c r="AS143" s="400"/>
      <c r="AT143" s="400"/>
    </row>
    <row r="144">
      <c r="A144" s="398">
        <v>2018.0</v>
      </c>
      <c r="B144" s="399">
        <v>44756.851945925926</v>
      </c>
      <c r="C144" s="400" t="s">
        <v>882</v>
      </c>
      <c r="D144" s="398">
        <v>1.800016049E9</v>
      </c>
      <c r="E144" s="400" t="s">
        <v>883</v>
      </c>
      <c r="F144" s="401" t="s">
        <v>884</v>
      </c>
      <c r="G144" s="400" t="s">
        <v>885</v>
      </c>
      <c r="H144" s="402">
        <v>44621.0</v>
      </c>
      <c r="I144" s="402">
        <v>44673.0</v>
      </c>
      <c r="J144" s="400" t="s">
        <v>399</v>
      </c>
      <c r="K144" s="400" t="s">
        <v>3013</v>
      </c>
      <c r="L144" s="400" t="s">
        <v>230</v>
      </c>
      <c r="M144" s="403"/>
      <c r="N144" s="403"/>
      <c r="O144" s="403"/>
      <c r="P144" s="403"/>
      <c r="Q144" s="403"/>
      <c r="R144" s="403"/>
      <c r="S144" s="400" t="s">
        <v>3388</v>
      </c>
      <c r="T144" s="400" t="s">
        <v>3013</v>
      </c>
      <c r="U144" s="400" t="s">
        <v>230</v>
      </c>
      <c r="V144" s="400" t="s">
        <v>2951</v>
      </c>
      <c r="W144" s="404">
        <v>44765.0</v>
      </c>
      <c r="X144" s="400" t="s">
        <v>3315</v>
      </c>
      <c r="Y144" s="405" t="s">
        <v>3352</v>
      </c>
      <c r="Z144" s="406"/>
      <c r="AA144" s="400"/>
      <c r="AB144" s="341" t="s">
        <v>316</v>
      </c>
      <c r="AC144" s="400"/>
      <c r="AD144" s="400"/>
      <c r="AE144" s="400"/>
      <c r="AF144" s="400"/>
      <c r="AG144" s="400"/>
      <c r="AH144" s="400"/>
      <c r="AI144" s="400"/>
      <c r="AJ144" s="400"/>
      <c r="AK144" s="400"/>
      <c r="AL144" s="400"/>
      <c r="AM144" s="400"/>
      <c r="AN144" s="400"/>
      <c r="AO144" s="400"/>
      <c r="AP144" s="400"/>
      <c r="AQ144" s="400"/>
      <c r="AR144" s="400"/>
      <c r="AS144" s="400"/>
      <c r="AT144" s="400"/>
    </row>
    <row r="145">
      <c r="A145" s="398">
        <v>2016.0</v>
      </c>
      <c r="B145" s="399">
        <v>44759.96277759259</v>
      </c>
      <c r="C145" s="400" t="s">
        <v>726</v>
      </c>
      <c r="D145" s="398">
        <v>1.602016022E9</v>
      </c>
      <c r="E145" s="400" t="s">
        <v>727</v>
      </c>
      <c r="F145" s="401" t="s">
        <v>728</v>
      </c>
      <c r="G145" s="400" t="s">
        <v>3389</v>
      </c>
      <c r="H145" s="402">
        <v>44540.0</v>
      </c>
      <c r="I145" s="402">
        <v>44585.0</v>
      </c>
      <c r="J145" s="400" t="s">
        <v>399</v>
      </c>
      <c r="K145" s="400" t="s">
        <v>183</v>
      </c>
      <c r="L145" s="400" t="s">
        <v>241</v>
      </c>
      <c r="M145" s="403"/>
      <c r="N145" s="403"/>
      <c r="O145" s="403"/>
      <c r="P145" s="403"/>
      <c r="Q145" s="403"/>
      <c r="R145" s="403"/>
      <c r="S145" s="400" t="s">
        <v>3390</v>
      </c>
      <c r="T145" s="400" t="s">
        <v>183</v>
      </c>
      <c r="U145" s="400" t="s">
        <v>1900</v>
      </c>
      <c r="V145" s="400" t="s">
        <v>3170</v>
      </c>
      <c r="W145" s="404">
        <v>44767.0</v>
      </c>
      <c r="X145" s="400" t="s">
        <v>3321</v>
      </c>
      <c r="Y145" s="405" t="s">
        <v>3322</v>
      </c>
      <c r="Z145" s="406"/>
      <c r="AA145" s="400"/>
      <c r="AB145" s="341" t="s">
        <v>316</v>
      </c>
      <c r="AC145" s="400"/>
      <c r="AD145" s="400"/>
      <c r="AE145" s="400"/>
      <c r="AF145" s="400"/>
      <c r="AG145" s="400"/>
      <c r="AH145" s="400"/>
      <c r="AI145" s="400"/>
      <c r="AJ145" s="400"/>
      <c r="AK145" s="400"/>
      <c r="AL145" s="400"/>
      <c r="AM145" s="400"/>
      <c r="AN145" s="400"/>
      <c r="AO145" s="400"/>
      <c r="AP145" s="400"/>
      <c r="AQ145" s="400"/>
      <c r="AR145" s="400"/>
      <c r="AS145" s="400"/>
      <c r="AT145" s="400"/>
    </row>
    <row r="146">
      <c r="A146" s="385">
        <v>2015.0</v>
      </c>
      <c r="B146" s="395">
        <v>44764.494078564814</v>
      </c>
      <c r="C146" s="387" t="s">
        <v>3391</v>
      </c>
      <c r="D146" s="385">
        <v>1.500016041E9</v>
      </c>
      <c r="E146" s="387" t="s">
        <v>318</v>
      </c>
      <c r="F146" s="388" t="s">
        <v>319</v>
      </c>
      <c r="G146" s="387" t="s">
        <v>320</v>
      </c>
      <c r="H146" s="389">
        <v>44313.0</v>
      </c>
      <c r="I146" s="389">
        <v>44274.0</v>
      </c>
      <c r="J146" s="387" t="s">
        <v>399</v>
      </c>
      <c r="K146" s="387" t="s">
        <v>230</v>
      </c>
      <c r="L146" s="387" t="s">
        <v>241</v>
      </c>
      <c r="M146" s="390"/>
      <c r="N146" s="390"/>
      <c r="O146" s="390"/>
      <c r="P146" s="390"/>
      <c r="Q146" s="390"/>
      <c r="R146" s="390"/>
      <c r="S146" s="387" t="s">
        <v>3392</v>
      </c>
      <c r="T146" s="387" t="s">
        <v>230</v>
      </c>
      <c r="U146" s="387" t="s">
        <v>3013</v>
      </c>
      <c r="V146" s="387" t="s">
        <v>117</v>
      </c>
      <c r="W146" s="394">
        <v>44771.0</v>
      </c>
      <c r="X146" s="387" t="s">
        <v>3393</v>
      </c>
      <c r="Y146" s="397" t="s">
        <v>3362</v>
      </c>
      <c r="Z146" s="392"/>
      <c r="AA146" s="387"/>
      <c r="AB146" s="341" t="s">
        <v>316</v>
      </c>
      <c r="AC146" s="387"/>
      <c r="AD146" s="387"/>
      <c r="AE146" s="387"/>
      <c r="AF146" s="387"/>
      <c r="AG146" s="387"/>
      <c r="AH146" s="387"/>
      <c r="AI146" s="387"/>
      <c r="AJ146" s="387"/>
      <c r="AK146" s="387"/>
      <c r="AL146" s="387"/>
      <c r="AM146" s="387"/>
      <c r="AN146" s="387"/>
      <c r="AO146" s="387"/>
      <c r="AP146" s="387"/>
      <c r="AQ146" s="387"/>
      <c r="AR146" s="387"/>
      <c r="AS146" s="387"/>
      <c r="AT146" s="387"/>
    </row>
    <row r="147">
      <c r="A147" s="385">
        <v>2015.0</v>
      </c>
      <c r="B147" s="395">
        <v>44765.34507542824</v>
      </c>
      <c r="C147" s="387" t="s">
        <v>704</v>
      </c>
      <c r="D147" s="385">
        <v>1.500016021E9</v>
      </c>
      <c r="E147" s="387" t="s">
        <v>705</v>
      </c>
      <c r="F147" s="388" t="s">
        <v>3394</v>
      </c>
      <c r="G147" s="387" t="s">
        <v>3395</v>
      </c>
      <c r="H147" s="389">
        <v>44713.0</v>
      </c>
      <c r="I147" s="389">
        <v>44579.0</v>
      </c>
      <c r="J147" s="387" t="s">
        <v>399</v>
      </c>
      <c r="K147" s="387" t="s">
        <v>2379</v>
      </c>
      <c r="L147" s="387" t="s">
        <v>703</v>
      </c>
      <c r="M147" s="390"/>
      <c r="N147" s="390"/>
      <c r="O147" s="390"/>
      <c r="P147" s="390"/>
      <c r="Q147" s="390"/>
      <c r="R147" s="390"/>
      <c r="S147" s="387" t="s">
        <v>3396</v>
      </c>
      <c r="T147" s="387" t="s">
        <v>2379</v>
      </c>
      <c r="U147" s="387" t="s">
        <v>703</v>
      </c>
      <c r="V147" s="387" t="s">
        <v>3145</v>
      </c>
      <c r="W147" s="394">
        <v>44771.0</v>
      </c>
      <c r="X147" s="387" t="s">
        <v>3397</v>
      </c>
      <c r="Y147" s="397" t="s">
        <v>3362</v>
      </c>
      <c r="Z147" s="392"/>
      <c r="AA147" s="387"/>
      <c r="AB147" s="341" t="s">
        <v>316</v>
      </c>
      <c r="AC147" s="387"/>
      <c r="AD147" s="387"/>
      <c r="AE147" s="387"/>
      <c r="AF147" s="387"/>
      <c r="AG147" s="387"/>
      <c r="AH147" s="387"/>
      <c r="AI147" s="387"/>
      <c r="AJ147" s="387"/>
      <c r="AK147" s="387"/>
      <c r="AL147" s="387"/>
      <c r="AM147" s="387"/>
      <c r="AN147" s="387"/>
      <c r="AO147" s="387"/>
      <c r="AP147" s="387"/>
      <c r="AQ147" s="387"/>
      <c r="AR147" s="387"/>
      <c r="AS147" s="387"/>
      <c r="AT147" s="387"/>
    </row>
    <row r="148">
      <c r="A148" s="385">
        <v>2018.0</v>
      </c>
      <c r="B148" s="395">
        <v>44765.625856053244</v>
      </c>
      <c r="C148" s="387" t="s">
        <v>827</v>
      </c>
      <c r="D148" s="385">
        <v>1.800016056E9</v>
      </c>
      <c r="E148" s="387" t="s">
        <v>828</v>
      </c>
      <c r="F148" s="388" t="s">
        <v>829</v>
      </c>
      <c r="G148" s="387" t="s">
        <v>3398</v>
      </c>
      <c r="H148" s="389">
        <v>44502.0</v>
      </c>
      <c r="I148" s="389">
        <v>44650.0</v>
      </c>
      <c r="J148" s="387" t="s">
        <v>399</v>
      </c>
      <c r="K148" s="387" t="s">
        <v>183</v>
      </c>
      <c r="L148" s="387" t="s">
        <v>2379</v>
      </c>
      <c r="M148" s="390"/>
      <c r="N148" s="390"/>
      <c r="O148" s="390"/>
      <c r="P148" s="390"/>
      <c r="Q148" s="390"/>
      <c r="R148" s="390"/>
      <c r="S148" s="387" t="s">
        <v>3399</v>
      </c>
      <c r="T148" s="387" t="s">
        <v>183</v>
      </c>
      <c r="U148" s="387" t="s">
        <v>2379</v>
      </c>
      <c r="V148" s="387" t="s">
        <v>2951</v>
      </c>
      <c r="W148" s="394">
        <v>44771.0</v>
      </c>
      <c r="X148" s="387" t="s">
        <v>3400</v>
      </c>
      <c r="Y148" s="397" t="s">
        <v>3362</v>
      </c>
      <c r="Z148" s="392"/>
      <c r="AA148" s="387"/>
      <c r="AB148" s="341" t="s">
        <v>316</v>
      </c>
      <c r="AC148" s="387"/>
      <c r="AD148" s="387"/>
      <c r="AE148" s="387"/>
      <c r="AF148" s="387"/>
      <c r="AG148" s="387"/>
      <c r="AH148" s="387"/>
      <c r="AI148" s="387"/>
      <c r="AJ148" s="387"/>
      <c r="AK148" s="387"/>
      <c r="AL148" s="387"/>
      <c r="AM148" s="387"/>
      <c r="AN148" s="387"/>
      <c r="AO148" s="387"/>
      <c r="AP148" s="387"/>
      <c r="AQ148" s="387"/>
      <c r="AR148" s="387"/>
      <c r="AS148" s="387"/>
      <c r="AT148" s="387"/>
    </row>
    <row r="149">
      <c r="A149" s="385">
        <v>2018.0</v>
      </c>
      <c r="B149" s="395">
        <v>44767.941502222224</v>
      </c>
      <c r="C149" s="387" t="s">
        <v>3401</v>
      </c>
      <c r="D149" s="385">
        <v>1.800016009E9</v>
      </c>
      <c r="E149" s="387" t="s">
        <v>804</v>
      </c>
      <c r="F149" s="387" t="s">
        <v>805</v>
      </c>
      <c r="G149" s="387" t="s">
        <v>3402</v>
      </c>
      <c r="H149" s="389">
        <v>44719.0</v>
      </c>
      <c r="I149" s="389">
        <v>44651.0</v>
      </c>
      <c r="J149" s="387" t="s">
        <v>399</v>
      </c>
      <c r="K149" s="387" t="s">
        <v>3013</v>
      </c>
      <c r="L149" s="387" t="s">
        <v>230</v>
      </c>
      <c r="M149" s="390"/>
      <c r="N149" s="390"/>
      <c r="O149" s="390"/>
      <c r="P149" s="390"/>
      <c r="Q149" s="390"/>
      <c r="R149" s="390"/>
      <c r="S149" s="387" t="s">
        <v>3403</v>
      </c>
      <c r="T149" s="387" t="s">
        <v>3013</v>
      </c>
      <c r="U149" s="387" t="s">
        <v>230</v>
      </c>
      <c r="V149" s="387" t="s">
        <v>2951</v>
      </c>
      <c r="W149" s="394">
        <v>44771.0</v>
      </c>
      <c r="X149" s="387" t="s">
        <v>3404</v>
      </c>
      <c r="Y149" s="397" t="s">
        <v>3352</v>
      </c>
      <c r="Z149" s="392"/>
      <c r="AA149" s="387"/>
      <c r="AB149" s="341" t="s">
        <v>316</v>
      </c>
      <c r="AC149" s="387"/>
      <c r="AD149" s="387"/>
      <c r="AE149" s="387"/>
      <c r="AF149" s="387"/>
      <c r="AG149" s="387"/>
      <c r="AH149" s="387"/>
      <c r="AI149" s="387"/>
      <c r="AJ149" s="387"/>
      <c r="AK149" s="387"/>
      <c r="AL149" s="387"/>
      <c r="AM149" s="387"/>
      <c r="AN149" s="387"/>
      <c r="AO149" s="387"/>
      <c r="AP149" s="387"/>
      <c r="AQ149" s="387"/>
      <c r="AR149" s="387"/>
      <c r="AS149" s="387"/>
      <c r="AT149" s="387"/>
    </row>
    <row r="150">
      <c r="A150" s="385">
        <v>2017.0</v>
      </c>
      <c r="B150" s="395">
        <v>44771.45897987268</v>
      </c>
      <c r="C150" s="387" t="s">
        <v>640</v>
      </c>
      <c r="D150" s="385">
        <v>1.700016044E9</v>
      </c>
      <c r="E150" s="387" t="s">
        <v>641</v>
      </c>
      <c r="F150" s="388" t="s">
        <v>642</v>
      </c>
      <c r="G150" s="387" t="s">
        <v>3405</v>
      </c>
      <c r="H150" s="389">
        <v>44379.0</v>
      </c>
      <c r="I150" s="389">
        <v>44408.0</v>
      </c>
      <c r="J150" s="387" t="s">
        <v>399</v>
      </c>
      <c r="K150" s="387" t="s">
        <v>183</v>
      </c>
      <c r="L150" s="387" t="s">
        <v>3013</v>
      </c>
      <c r="M150" s="390"/>
      <c r="N150" s="390"/>
      <c r="O150" s="390"/>
      <c r="P150" s="390"/>
      <c r="Q150" s="390"/>
      <c r="R150" s="387"/>
      <c r="S150" s="387"/>
      <c r="T150" s="387" t="s">
        <v>183</v>
      </c>
      <c r="U150" s="387" t="s">
        <v>3013</v>
      </c>
      <c r="V150" s="387" t="s">
        <v>117</v>
      </c>
      <c r="W150" s="394">
        <v>44778.0</v>
      </c>
      <c r="X150" s="387" t="s">
        <v>3406</v>
      </c>
      <c r="Y150" s="397" t="s">
        <v>3322</v>
      </c>
      <c r="Z150" s="396"/>
      <c r="AA150" s="387"/>
      <c r="AB150" s="341" t="s">
        <v>316</v>
      </c>
      <c r="AC150" s="387"/>
      <c r="AD150" s="387"/>
      <c r="AE150" s="387"/>
      <c r="AF150" s="387"/>
      <c r="AG150" s="387"/>
      <c r="AH150" s="387"/>
      <c r="AI150" s="387"/>
      <c r="AJ150" s="387"/>
      <c r="AK150" s="387"/>
      <c r="AL150" s="387"/>
      <c r="AM150" s="387"/>
      <c r="AN150" s="387"/>
      <c r="AO150" s="387"/>
      <c r="AP150" s="387"/>
      <c r="AQ150" s="387"/>
      <c r="AR150" s="387"/>
      <c r="AS150" s="387"/>
      <c r="AT150" s="387"/>
    </row>
    <row r="151">
      <c r="A151" s="385">
        <v>2018.0</v>
      </c>
      <c r="B151" s="395">
        <v>44771.62737840277</v>
      </c>
      <c r="C151" s="387" t="s">
        <v>811</v>
      </c>
      <c r="D151" s="385">
        <v>1.800016098E9</v>
      </c>
      <c r="E151" s="387" t="s">
        <v>812</v>
      </c>
      <c r="F151" s="388" t="s">
        <v>813</v>
      </c>
      <c r="G151" s="387" t="s">
        <v>814</v>
      </c>
      <c r="H151" s="389">
        <v>44571.0</v>
      </c>
      <c r="I151" s="389">
        <v>44651.0</v>
      </c>
      <c r="J151" s="387" t="s">
        <v>399</v>
      </c>
      <c r="K151" s="387" t="s">
        <v>3013</v>
      </c>
      <c r="L151" s="387" t="s">
        <v>230</v>
      </c>
      <c r="M151" s="390"/>
      <c r="N151" s="390"/>
      <c r="O151" s="390"/>
      <c r="P151" s="390"/>
      <c r="Q151" s="390"/>
      <c r="R151" s="387"/>
      <c r="S151" s="387"/>
      <c r="T151" s="387" t="s">
        <v>3013</v>
      </c>
      <c r="U151" s="387" t="s">
        <v>230</v>
      </c>
      <c r="V151" s="387" t="s">
        <v>2951</v>
      </c>
      <c r="W151" s="394">
        <v>44778.0</v>
      </c>
      <c r="X151" s="387" t="s">
        <v>3407</v>
      </c>
      <c r="Y151" s="397" t="s">
        <v>3386</v>
      </c>
      <c r="Z151" s="396"/>
      <c r="AA151" s="387"/>
      <c r="AB151" s="341" t="s">
        <v>316</v>
      </c>
      <c r="AC151" s="387"/>
      <c r="AD151" s="387"/>
      <c r="AE151" s="387"/>
      <c r="AF151" s="387"/>
      <c r="AG151" s="387"/>
      <c r="AH151" s="387"/>
      <c r="AI151" s="387"/>
      <c r="AJ151" s="387"/>
      <c r="AK151" s="387"/>
      <c r="AL151" s="387"/>
      <c r="AM151" s="387"/>
      <c r="AN151" s="387"/>
      <c r="AO151" s="387"/>
      <c r="AP151" s="387"/>
      <c r="AQ151" s="387"/>
      <c r="AR151" s="387"/>
      <c r="AS151" s="387"/>
      <c r="AT151" s="387"/>
    </row>
    <row r="152">
      <c r="A152" s="385">
        <v>2018.0</v>
      </c>
      <c r="B152" s="395">
        <v>44774.376970937505</v>
      </c>
      <c r="C152" s="387" t="s">
        <v>3408</v>
      </c>
      <c r="D152" s="385">
        <v>1.800016048E9</v>
      </c>
      <c r="E152" s="387" t="s">
        <v>783</v>
      </c>
      <c r="F152" s="388" t="s">
        <v>784</v>
      </c>
      <c r="G152" s="387" t="s">
        <v>785</v>
      </c>
      <c r="H152" s="389">
        <v>44470.0</v>
      </c>
      <c r="I152" s="389">
        <v>44642.0</v>
      </c>
      <c r="J152" s="387" t="s">
        <v>399</v>
      </c>
      <c r="K152" s="387" t="s">
        <v>3013</v>
      </c>
      <c r="L152" s="387" t="s">
        <v>230</v>
      </c>
      <c r="M152" s="390"/>
      <c r="N152" s="390"/>
      <c r="O152" s="390"/>
      <c r="P152" s="390"/>
      <c r="Q152" s="390"/>
      <c r="R152" s="390"/>
      <c r="S152" s="387" t="s">
        <v>3409</v>
      </c>
      <c r="T152" s="387" t="s">
        <v>3013</v>
      </c>
      <c r="U152" s="387" t="s">
        <v>230</v>
      </c>
      <c r="V152" s="387" t="s">
        <v>2951</v>
      </c>
      <c r="W152" s="394">
        <v>44778.0</v>
      </c>
      <c r="X152" s="387" t="s">
        <v>3345</v>
      </c>
      <c r="Y152" s="397" t="s">
        <v>3352</v>
      </c>
      <c r="Z152" s="392"/>
      <c r="AA152" s="387"/>
      <c r="AB152" s="341" t="s">
        <v>316</v>
      </c>
      <c r="AC152" s="387"/>
      <c r="AD152" s="387"/>
      <c r="AE152" s="387"/>
      <c r="AF152" s="387"/>
      <c r="AG152" s="387"/>
      <c r="AH152" s="387"/>
      <c r="AI152" s="387"/>
      <c r="AJ152" s="387"/>
      <c r="AK152" s="387"/>
      <c r="AL152" s="387"/>
      <c r="AM152" s="387"/>
      <c r="AN152" s="387"/>
      <c r="AO152" s="387"/>
      <c r="AP152" s="387"/>
      <c r="AQ152" s="387"/>
      <c r="AR152" s="387"/>
      <c r="AS152" s="387"/>
      <c r="AT152" s="387"/>
    </row>
    <row r="153">
      <c r="A153" s="385">
        <v>2015.0</v>
      </c>
      <c r="B153" s="395">
        <v>44774.49135013889</v>
      </c>
      <c r="C153" s="387" t="s">
        <v>411</v>
      </c>
      <c r="D153" s="385">
        <v>1.500016066E9</v>
      </c>
      <c r="E153" s="387" t="s">
        <v>412</v>
      </c>
      <c r="F153" s="388" t="s">
        <v>3410</v>
      </c>
      <c r="G153" s="387" t="s">
        <v>3411</v>
      </c>
      <c r="H153" s="389">
        <v>44593.0</v>
      </c>
      <c r="I153" s="389">
        <v>44337.0</v>
      </c>
      <c r="J153" s="387" t="s">
        <v>399</v>
      </c>
      <c r="K153" s="387" t="s">
        <v>1900</v>
      </c>
      <c r="L153" s="387" t="s">
        <v>703</v>
      </c>
      <c r="M153" s="390"/>
      <c r="N153" s="390"/>
      <c r="O153" s="390"/>
      <c r="P153" s="390"/>
      <c r="Q153" s="390"/>
      <c r="R153" s="390"/>
      <c r="S153" s="387" t="s">
        <v>3412</v>
      </c>
      <c r="T153" s="387" t="s">
        <v>1900</v>
      </c>
      <c r="U153" s="387" t="s">
        <v>703</v>
      </c>
      <c r="V153" s="387" t="s">
        <v>117</v>
      </c>
      <c r="W153" s="394">
        <v>44782.0</v>
      </c>
      <c r="X153" s="387" t="s">
        <v>3331</v>
      </c>
      <c r="Y153" s="397" t="s">
        <v>3362</v>
      </c>
      <c r="Z153" s="392"/>
      <c r="AA153" s="387"/>
      <c r="AB153" s="341" t="s">
        <v>316</v>
      </c>
      <c r="AC153" s="387"/>
      <c r="AD153" s="387"/>
      <c r="AE153" s="387"/>
      <c r="AF153" s="387"/>
      <c r="AG153" s="387"/>
      <c r="AH153" s="387"/>
      <c r="AI153" s="387"/>
      <c r="AJ153" s="387"/>
      <c r="AK153" s="387"/>
      <c r="AL153" s="387"/>
      <c r="AM153" s="387"/>
      <c r="AN153" s="387"/>
      <c r="AO153" s="387"/>
      <c r="AP153" s="387"/>
      <c r="AQ153" s="387"/>
      <c r="AR153" s="387"/>
      <c r="AS153" s="387"/>
      <c r="AT153" s="387"/>
    </row>
    <row r="154">
      <c r="A154" s="385">
        <v>2015.0</v>
      </c>
      <c r="B154" s="395">
        <v>44775.686956736114</v>
      </c>
      <c r="C154" s="387" t="s">
        <v>3413</v>
      </c>
      <c r="D154" s="385">
        <v>1.500016024E9</v>
      </c>
      <c r="E154" s="387" t="s">
        <v>755</v>
      </c>
      <c r="F154" s="388" t="s">
        <v>756</v>
      </c>
      <c r="G154" s="387" t="s">
        <v>757</v>
      </c>
      <c r="H154" s="389">
        <v>44644.0</v>
      </c>
      <c r="I154" s="389">
        <v>44618.0</v>
      </c>
      <c r="J154" s="387" t="s">
        <v>399</v>
      </c>
      <c r="K154" s="387" t="s">
        <v>1900</v>
      </c>
      <c r="L154" s="387" t="s">
        <v>117</v>
      </c>
      <c r="M154" s="390"/>
      <c r="N154" s="390"/>
      <c r="O154" s="390"/>
      <c r="P154" s="390"/>
      <c r="Q154" s="390"/>
      <c r="R154" s="390"/>
      <c r="S154" s="387" t="s">
        <v>3414</v>
      </c>
      <c r="T154" s="387" t="s">
        <v>1900</v>
      </c>
      <c r="U154" s="387" t="s">
        <v>117</v>
      </c>
      <c r="V154" s="387" t="s">
        <v>703</v>
      </c>
      <c r="W154" s="394">
        <v>44782.0</v>
      </c>
      <c r="X154" s="387" t="s">
        <v>3415</v>
      </c>
      <c r="Y154" s="397" t="s">
        <v>3362</v>
      </c>
      <c r="Z154" s="392"/>
      <c r="AA154" s="387"/>
      <c r="AB154" s="341" t="s">
        <v>316</v>
      </c>
      <c r="AC154" s="387"/>
      <c r="AD154" s="387"/>
      <c r="AE154" s="387"/>
      <c r="AF154" s="387"/>
      <c r="AG154" s="387"/>
      <c r="AH154" s="387"/>
      <c r="AI154" s="387"/>
      <c r="AJ154" s="387"/>
      <c r="AK154" s="387"/>
      <c r="AL154" s="387"/>
      <c r="AM154" s="387"/>
      <c r="AN154" s="387"/>
      <c r="AO154" s="387"/>
      <c r="AP154" s="387"/>
      <c r="AQ154" s="387"/>
      <c r="AR154" s="387"/>
      <c r="AS154" s="387"/>
      <c r="AT154" s="387"/>
    </row>
    <row r="155">
      <c r="A155" s="385">
        <v>2016.0</v>
      </c>
      <c r="B155" s="395">
        <v>44777.51862710648</v>
      </c>
      <c r="C155" s="387" t="s">
        <v>133</v>
      </c>
      <c r="D155" s="385">
        <v>1.600016076E9</v>
      </c>
      <c r="E155" s="387" t="s">
        <v>134</v>
      </c>
      <c r="F155" s="388" t="s">
        <v>135</v>
      </c>
      <c r="G155" s="387" t="s">
        <v>3416</v>
      </c>
      <c r="H155" s="389">
        <v>44362.0</v>
      </c>
      <c r="I155" s="389">
        <v>43972.0</v>
      </c>
      <c r="J155" s="387" t="s">
        <v>399</v>
      </c>
      <c r="K155" s="387" t="s">
        <v>2379</v>
      </c>
      <c r="L155" s="387" t="s">
        <v>1900</v>
      </c>
      <c r="M155" s="390"/>
      <c r="N155" s="390"/>
      <c r="O155" s="390"/>
      <c r="P155" s="390"/>
      <c r="Q155" s="390"/>
      <c r="R155" s="390"/>
      <c r="S155" s="387" t="s">
        <v>3417</v>
      </c>
      <c r="T155" s="387" t="s">
        <v>2379</v>
      </c>
      <c r="U155" s="387" t="s">
        <v>1900</v>
      </c>
      <c r="V155" s="387" t="s">
        <v>703</v>
      </c>
      <c r="W155" s="394">
        <v>44790.0</v>
      </c>
      <c r="X155" s="387" t="s">
        <v>3418</v>
      </c>
      <c r="Y155" s="397" t="s">
        <v>3322</v>
      </c>
      <c r="Z155" s="392"/>
      <c r="AA155" s="387"/>
      <c r="AB155" s="341" t="s">
        <v>316</v>
      </c>
      <c r="AC155" s="387"/>
      <c r="AD155" s="387"/>
      <c r="AE155" s="387"/>
      <c r="AF155" s="387"/>
      <c r="AG155" s="387"/>
      <c r="AH155" s="387"/>
      <c r="AI155" s="387"/>
      <c r="AJ155" s="387"/>
      <c r="AK155" s="387"/>
      <c r="AL155" s="387"/>
      <c r="AM155" s="387"/>
      <c r="AN155" s="387"/>
      <c r="AO155" s="387"/>
      <c r="AP155" s="387"/>
      <c r="AQ155" s="387"/>
      <c r="AR155" s="387"/>
      <c r="AS155" s="387"/>
      <c r="AT155" s="387"/>
    </row>
    <row r="156">
      <c r="A156" s="385">
        <v>2018.0</v>
      </c>
      <c r="B156" s="395">
        <v>44775.21605524306</v>
      </c>
      <c r="C156" s="387" t="s">
        <v>778</v>
      </c>
      <c r="D156" s="385">
        <v>1.800016101E9</v>
      </c>
      <c r="E156" s="387" t="s">
        <v>779</v>
      </c>
      <c r="F156" s="388" t="s">
        <v>780</v>
      </c>
      <c r="G156" s="387" t="s">
        <v>3419</v>
      </c>
      <c r="H156" s="389">
        <v>44593.0</v>
      </c>
      <c r="I156" s="389">
        <v>44676.0</v>
      </c>
      <c r="J156" s="387" t="s">
        <v>399</v>
      </c>
      <c r="K156" s="387" t="s">
        <v>2379</v>
      </c>
      <c r="L156" s="387" t="s">
        <v>3062</v>
      </c>
      <c r="M156" s="390"/>
      <c r="N156" s="390"/>
      <c r="O156" s="390"/>
      <c r="P156" s="390"/>
      <c r="Q156" s="390"/>
      <c r="R156" s="390"/>
      <c r="S156" s="387" t="s">
        <v>3420</v>
      </c>
      <c r="T156" s="387" t="s">
        <v>2379</v>
      </c>
      <c r="U156" s="387" t="s">
        <v>3062</v>
      </c>
      <c r="V156" s="387" t="s">
        <v>703</v>
      </c>
      <c r="W156" s="394">
        <v>44790.0</v>
      </c>
      <c r="X156" s="387" t="s">
        <v>3421</v>
      </c>
      <c r="Y156" s="407">
        <v>44891.0</v>
      </c>
      <c r="Z156" s="392"/>
      <c r="AA156" s="387"/>
      <c r="AB156" s="341" t="s">
        <v>316</v>
      </c>
      <c r="AC156" s="387"/>
      <c r="AD156" s="387"/>
      <c r="AE156" s="387"/>
      <c r="AF156" s="387"/>
      <c r="AG156" s="387"/>
      <c r="AH156" s="387"/>
      <c r="AI156" s="387"/>
      <c r="AJ156" s="387"/>
      <c r="AK156" s="387"/>
      <c r="AL156" s="387"/>
      <c r="AM156" s="387"/>
      <c r="AN156" s="387"/>
      <c r="AO156" s="387"/>
      <c r="AP156" s="387"/>
      <c r="AQ156" s="387"/>
      <c r="AR156" s="387"/>
      <c r="AS156" s="387"/>
      <c r="AT156" s="387"/>
    </row>
    <row r="157">
      <c r="A157" s="385">
        <v>2018.0</v>
      </c>
      <c r="B157" s="395">
        <v>44777.86462862269</v>
      </c>
      <c r="C157" s="387" t="s">
        <v>839</v>
      </c>
      <c r="D157" s="385">
        <v>1.800016097E9</v>
      </c>
      <c r="E157" s="387" t="s">
        <v>840</v>
      </c>
      <c r="F157" s="388" t="s">
        <v>841</v>
      </c>
      <c r="G157" s="387" t="s">
        <v>3422</v>
      </c>
      <c r="H157" s="389">
        <v>44698.0</v>
      </c>
      <c r="I157" s="389">
        <v>44652.0</v>
      </c>
      <c r="J157" s="387" t="s">
        <v>399</v>
      </c>
      <c r="K157" s="387" t="s">
        <v>2379</v>
      </c>
      <c r="L157" s="387" t="s">
        <v>183</v>
      </c>
      <c r="M157" s="390"/>
      <c r="N157" s="390"/>
      <c r="O157" s="390"/>
      <c r="P157" s="390"/>
      <c r="Q157" s="390"/>
      <c r="R157" s="390"/>
      <c r="S157" s="387" t="s">
        <v>3423</v>
      </c>
      <c r="T157" s="387" t="s">
        <v>2379</v>
      </c>
      <c r="U157" s="387" t="s">
        <v>183</v>
      </c>
      <c r="V157" s="387" t="s">
        <v>3145</v>
      </c>
      <c r="W157" s="394">
        <v>44797.0</v>
      </c>
      <c r="X157" s="387" t="s">
        <v>3424</v>
      </c>
      <c r="Y157" s="397" t="s">
        <v>3425</v>
      </c>
      <c r="Z157" s="392"/>
      <c r="AA157" s="387"/>
      <c r="AB157" s="341" t="s">
        <v>316</v>
      </c>
      <c r="AC157" s="387"/>
      <c r="AD157" s="387"/>
      <c r="AE157" s="387"/>
      <c r="AF157" s="387"/>
      <c r="AG157" s="387"/>
      <c r="AH157" s="387"/>
      <c r="AI157" s="387"/>
      <c r="AJ157" s="387"/>
      <c r="AK157" s="387"/>
      <c r="AL157" s="387"/>
      <c r="AM157" s="387"/>
      <c r="AN157" s="387"/>
      <c r="AO157" s="387"/>
      <c r="AP157" s="387"/>
      <c r="AQ157" s="387"/>
      <c r="AR157" s="387"/>
      <c r="AS157" s="387"/>
      <c r="AT157" s="387"/>
    </row>
    <row r="158">
      <c r="A158" s="385">
        <v>2017.0</v>
      </c>
      <c r="B158" s="395">
        <v>44781.05683670139</v>
      </c>
      <c r="C158" s="387" t="s">
        <v>560</v>
      </c>
      <c r="D158" s="385">
        <v>1.700016052E9</v>
      </c>
      <c r="E158" s="387" t="s">
        <v>561</v>
      </c>
      <c r="F158" s="388" t="s">
        <v>562</v>
      </c>
      <c r="G158" s="387" t="s">
        <v>3426</v>
      </c>
      <c r="H158" s="389">
        <v>44368.0</v>
      </c>
      <c r="I158" s="389">
        <v>44361.0</v>
      </c>
      <c r="J158" s="387" t="s">
        <v>399</v>
      </c>
      <c r="K158" s="387" t="s">
        <v>2379</v>
      </c>
      <c r="L158" s="387" t="s">
        <v>230</v>
      </c>
      <c r="M158" s="390"/>
      <c r="N158" s="390"/>
      <c r="O158" s="390"/>
      <c r="P158" s="390"/>
      <c r="Q158" s="390"/>
      <c r="R158" s="390"/>
      <c r="S158" s="387" t="s">
        <v>3427</v>
      </c>
      <c r="T158" s="387" t="s">
        <v>2379</v>
      </c>
      <c r="U158" s="387" t="s">
        <v>230</v>
      </c>
      <c r="V158" s="387" t="s">
        <v>703</v>
      </c>
      <c r="W158" s="394">
        <v>44796.0</v>
      </c>
      <c r="X158" s="387" t="s">
        <v>3424</v>
      </c>
      <c r="Y158" s="397" t="s">
        <v>3322</v>
      </c>
      <c r="Z158" s="392"/>
      <c r="AA158" s="387"/>
      <c r="AB158" s="341" t="s">
        <v>316</v>
      </c>
      <c r="AC158" s="387"/>
      <c r="AD158" s="387"/>
      <c r="AE158" s="387"/>
      <c r="AF158" s="387"/>
      <c r="AG158" s="387"/>
      <c r="AH158" s="387"/>
      <c r="AI158" s="387"/>
      <c r="AJ158" s="387"/>
      <c r="AK158" s="387"/>
      <c r="AL158" s="387"/>
      <c r="AM158" s="387"/>
      <c r="AN158" s="387"/>
      <c r="AO158" s="387"/>
      <c r="AP158" s="387"/>
      <c r="AQ158" s="387"/>
      <c r="AR158" s="387"/>
      <c r="AS158" s="387"/>
      <c r="AT158" s="387"/>
    </row>
    <row r="159">
      <c r="A159" s="385">
        <v>2016.0</v>
      </c>
      <c r="B159" s="395">
        <v>44781.67889765046</v>
      </c>
      <c r="C159" s="387" t="s">
        <v>145</v>
      </c>
      <c r="D159" s="385">
        <v>1.600016036E9</v>
      </c>
      <c r="E159" s="387" t="s">
        <v>146</v>
      </c>
      <c r="F159" s="388" t="s">
        <v>147</v>
      </c>
      <c r="G159" s="387" t="s">
        <v>3428</v>
      </c>
      <c r="H159" s="389">
        <v>43840.0</v>
      </c>
      <c r="I159" s="389">
        <v>43867.0</v>
      </c>
      <c r="J159" s="387" t="s">
        <v>399</v>
      </c>
      <c r="K159" s="387" t="s">
        <v>2379</v>
      </c>
      <c r="L159" s="387" t="s">
        <v>1900</v>
      </c>
      <c r="M159" s="390"/>
      <c r="N159" s="390"/>
      <c r="O159" s="390"/>
      <c r="P159" s="390"/>
      <c r="Q159" s="390"/>
      <c r="R159" s="390"/>
      <c r="S159" s="387" t="s">
        <v>3429</v>
      </c>
      <c r="T159" s="387" t="s">
        <v>2379</v>
      </c>
      <c r="U159" s="387" t="s">
        <v>1900</v>
      </c>
      <c r="V159" s="387" t="s">
        <v>703</v>
      </c>
      <c r="W159" s="394">
        <v>44790.0</v>
      </c>
      <c r="X159" s="387" t="s">
        <v>3430</v>
      </c>
      <c r="Y159" s="397" t="s">
        <v>3322</v>
      </c>
      <c r="Z159" s="392"/>
      <c r="AA159" s="387"/>
      <c r="AB159" s="341" t="s">
        <v>316</v>
      </c>
      <c r="AC159" s="387"/>
      <c r="AD159" s="387"/>
      <c r="AE159" s="387"/>
      <c r="AF159" s="387"/>
      <c r="AG159" s="387"/>
      <c r="AH159" s="387"/>
      <c r="AI159" s="387"/>
      <c r="AJ159" s="387"/>
      <c r="AK159" s="387"/>
      <c r="AL159" s="387"/>
      <c r="AM159" s="387"/>
      <c r="AN159" s="387"/>
      <c r="AO159" s="387"/>
      <c r="AP159" s="387"/>
      <c r="AQ159" s="387"/>
      <c r="AR159" s="387"/>
      <c r="AS159" s="387"/>
      <c r="AT159" s="387"/>
    </row>
    <row r="160">
      <c r="A160" s="385">
        <v>2018.0</v>
      </c>
      <c r="B160" s="395">
        <v>44781.93568704861</v>
      </c>
      <c r="C160" s="387" t="s">
        <v>815</v>
      </c>
      <c r="D160" s="385">
        <v>1.800016038E9</v>
      </c>
      <c r="E160" s="387" t="s">
        <v>816</v>
      </c>
      <c r="F160" s="388" t="s">
        <v>817</v>
      </c>
      <c r="G160" s="387" t="s">
        <v>3431</v>
      </c>
      <c r="H160" s="389">
        <v>44655.0</v>
      </c>
      <c r="I160" s="389">
        <v>44650.0</v>
      </c>
      <c r="J160" s="387" t="s">
        <v>399</v>
      </c>
      <c r="K160" s="387" t="s">
        <v>241</v>
      </c>
      <c r="L160" s="387" t="s">
        <v>2379</v>
      </c>
      <c r="M160" s="390"/>
      <c r="N160" s="390"/>
      <c r="O160" s="390"/>
      <c r="P160" s="390"/>
      <c r="Q160" s="390"/>
      <c r="R160" s="390"/>
      <c r="S160" s="387" t="s">
        <v>3432</v>
      </c>
      <c r="T160" s="387" t="s">
        <v>950</v>
      </c>
      <c r="U160" s="387" t="s">
        <v>2379</v>
      </c>
      <c r="V160" s="387" t="s">
        <v>3145</v>
      </c>
      <c r="W160" s="394">
        <v>44798.0</v>
      </c>
      <c r="X160" s="387" t="s">
        <v>3424</v>
      </c>
      <c r="Y160" s="397" t="s">
        <v>3322</v>
      </c>
      <c r="Z160" s="392"/>
      <c r="AA160" s="387"/>
      <c r="AB160" s="341" t="s">
        <v>316</v>
      </c>
      <c r="AC160" s="387"/>
      <c r="AD160" s="387"/>
      <c r="AE160" s="387"/>
      <c r="AF160" s="387"/>
      <c r="AG160" s="387"/>
      <c r="AH160" s="387"/>
      <c r="AI160" s="387"/>
      <c r="AJ160" s="387"/>
      <c r="AK160" s="387"/>
      <c r="AL160" s="387"/>
      <c r="AM160" s="387"/>
      <c r="AN160" s="387"/>
      <c r="AO160" s="387"/>
      <c r="AP160" s="387"/>
      <c r="AQ160" s="387"/>
      <c r="AR160" s="387"/>
      <c r="AS160" s="387"/>
      <c r="AT160" s="387"/>
    </row>
    <row r="161">
      <c r="A161" s="385">
        <v>2018.0</v>
      </c>
      <c r="B161" s="395">
        <v>44782.37715320602</v>
      </c>
      <c r="C161" s="387" t="s">
        <v>909</v>
      </c>
      <c r="D161" s="385">
        <v>1.800016066E9</v>
      </c>
      <c r="E161" s="387" t="s">
        <v>910</v>
      </c>
      <c r="F161" s="388" t="s">
        <v>911</v>
      </c>
      <c r="G161" s="387" t="s">
        <v>912</v>
      </c>
      <c r="H161" s="389">
        <v>44509.0</v>
      </c>
      <c r="I161" s="389">
        <v>44704.0</v>
      </c>
      <c r="J161" s="387" t="s">
        <v>399</v>
      </c>
      <c r="K161" s="387" t="s">
        <v>241</v>
      </c>
      <c r="L161" s="387" t="s">
        <v>183</v>
      </c>
      <c r="M161" s="390"/>
      <c r="N161" s="390"/>
      <c r="O161" s="390"/>
      <c r="P161" s="390"/>
      <c r="Q161" s="390"/>
      <c r="R161" s="390"/>
      <c r="S161" s="387" t="s">
        <v>3433</v>
      </c>
      <c r="T161" s="387" t="s">
        <v>241</v>
      </c>
      <c r="U161" s="387" t="s">
        <v>183</v>
      </c>
      <c r="V161" s="387" t="s">
        <v>117</v>
      </c>
      <c r="W161" s="394">
        <v>44790.0</v>
      </c>
      <c r="X161" s="387" t="s">
        <v>3434</v>
      </c>
      <c r="Y161" s="397" t="s">
        <v>3322</v>
      </c>
      <c r="Z161" s="392"/>
      <c r="AA161" s="387"/>
      <c r="AB161" s="341" t="s">
        <v>316</v>
      </c>
      <c r="AC161" s="387"/>
      <c r="AD161" s="387"/>
      <c r="AE161" s="387"/>
      <c r="AF161" s="387"/>
      <c r="AG161" s="387"/>
      <c r="AH161" s="387"/>
      <c r="AI161" s="387"/>
      <c r="AJ161" s="387"/>
      <c r="AK161" s="387"/>
      <c r="AL161" s="387"/>
      <c r="AM161" s="387"/>
      <c r="AN161" s="387"/>
      <c r="AO161" s="387"/>
      <c r="AP161" s="387"/>
      <c r="AQ161" s="387"/>
      <c r="AR161" s="387"/>
      <c r="AS161" s="387"/>
      <c r="AT161" s="387"/>
    </row>
    <row r="162">
      <c r="A162" s="385">
        <v>2016.0</v>
      </c>
      <c r="B162" s="395">
        <v>44784.51915457176</v>
      </c>
      <c r="C162" s="387" t="s">
        <v>3435</v>
      </c>
      <c r="D162" s="385">
        <v>1.60201608E9</v>
      </c>
      <c r="E162" s="387" t="s">
        <v>328</v>
      </c>
      <c r="F162" s="388" t="s">
        <v>329</v>
      </c>
      <c r="G162" s="387" t="s">
        <v>3436</v>
      </c>
      <c r="H162" s="389">
        <v>44284.0</v>
      </c>
      <c r="I162" s="389">
        <v>44301.0</v>
      </c>
      <c r="J162" s="387" t="s">
        <v>399</v>
      </c>
      <c r="K162" s="387" t="s">
        <v>183</v>
      </c>
      <c r="L162" s="387" t="s">
        <v>241</v>
      </c>
      <c r="M162" s="390"/>
      <c r="N162" s="390"/>
      <c r="O162" s="390"/>
      <c r="P162" s="390"/>
      <c r="Q162" s="390"/>
      <c r="R162" s="390"/>
      <c r="S162" s="387" t="s">
        <v>3437</v>
      </c>
      <c r="T162" s="387" t="s">
        <v>183</v>
      </c>
      <c r="U162" s="387" t="s">
        <v>241</v>
      </c>
      <c r="V162" s="387" t="s">
        <v>2951</v>
      </c>
      <c r="W162" s="394">
        <v>44795.0</v>
      </c>
      <c r="X162" s="387" t="s">
        <v>3424</v>
      </c>
      <c r="Y162" s="397" t="s">
        <v>3425</v>
      </c>
      <c r="Z162" s="392"/>
      <c r="AA162" s="387"/>
      <c r="AB162" s="341" t="s">
        <v>316</v>
      </c>
      <c r="AC162" s="387"/>
      <c r="AD162" s="387"/>
      <c r="AE162" s="387"/>
      <c r="AF162" s="387"/>
      <c r="AG162" s="387"/>
      <c r="AH162" s="387"/>
      <c r="AI162" s="387"/>
      <c r="AJ162" s="387"/>
      <c r="AK162" s="387"/>
      <c r="AL162" s="387"/>
      <c r="AM162" s="387"/>
      <c r="AN162" s="387"/>
      <c r="AO162" s="387"/>
      <c r="AP162" s="387"/>
      <c r="AQ162" s="387"/>
      <c r="AR162" s="387"/>
      <c r="AS162" s="387"/>
      <c r="AT162" s="387"/>
    </row>
    <row r="163">
      <c r="A163" s="385">
        <v>2016.0</v>
      </c>
      <c r="B163" s="395">
        <v>44788.46668320602</v>
      </c>
      <c r="C163" s="387" t="s">
        <v>690</v>
      </c>
      <c r="D163" s="385">
        <v>1.600016015E9</v>
      </c>
      <c r="E163" s="387" t="s">
        <v>691</v>
      </c>
      <c r="F163" s="388" t="s">
        <v>692</v>
      </c>
      <c r="G163" s="387" t="s">
        <v>3438</v>
      </c>
      <c r="H163" s="389">
        <v>44416.0</v>
      </c>
      <c r="I163" s="389">
        <v>44513.0</v>
      </c>
      <c r="J163" s="387" t="s">
        <v>399</v>
      </c>
      <c r="K163" s="387" t="s">
        <v>3062</v>
      </c>
      <c r="L163" s="387" t="s">
        <v>703</v>
      </c>
      <c r="M163" s="390"/>
      <c r="N163" s="390"/>
      <c r="O163" s="390"/>
      <c r="P163" s="390"/>
      <c r="Q163" s="390"/>
      <c r="R163" s="390"/>
      <c r="S163" s="387" t="s">
        <v>3439</v>
      </c>
      <c r="T163" s="387" t="s">
        <v>3062</v>
      </c>
      <c r="U163" s="387" t="s">
        <v>703</v>
      </c>
      <c r="V163" s="387" t="s">
        <v>117</v>
      </c>
      <c r="W163" s="394">
        <v>44795.0</v>
      </c>
      <c r="X163" s="387" t="s">
        <v>3424</v>
      </c>
      <c r="Y163" s="407">
        <v>44828.0</v>
      </c>
      <c r="Z163" s="392"/>
      <c r="AA163" s="387"/>
      <c r="AB163" s="341" t="s">
        <v>316</v>
      </c>
      <c r="AC163" s="387"/>
      <c r="AD163" s="387"/>
      <c r="AE163" s="387"/>
      <c r="AF163" s="387"/>
      <c r="AG163" s="387"/>
      <c r="AH163" s="387"/>
      <c r="AI163" s="387"/>
      <c r="AJ163" s="387"/>
      <c r="AK163" s="387"/>
      <c r="AL163" s="387"/>
      <c r="AM163" s="387"/>
      <c r="AN163" s="387"/>
      <c r="AO163" s="387"/>
      <c r="AP163" s="387"/>
      <c r="AQ163" s="387"/>
      <c r="AR163" s="387"/>
      <c r="AS163" s="387"/>
      <c r="AT163" s="387"/>
    </row>
    <row r="164">
      <c r="A164" s="385">
        <v>2016.0</v>
      </c>
      <c r="B164" s="395">
        <v>44790.985616875</v>
      </c>
      <c r="C164" s="387" t="s">
        <v>618</v>
      </c>
      <c r="D164" s="385">
        <v>1.600016009E9</v>
      </c>
      <c r="E164" s="387" t="s">
        <v>619</v>
      </c>
      <c r="F164" s="388" t="s">
        <v>620</v>
      </c>
      <c r="G164" s="387" t="s">
        <v>621</v>
      </c>
      <c r="H164" s="389">
        <v>44197.0</v>
      </c>
      <c r="I164" s="389">
        <v>44375.0</v>
      </c>
      <c r="J164" s="387" t="s">
        <v>399</v>
      </c>
      <c r="K164" s="387" t="s">
        <v>3062</v>
      </c>
      <c r="L164" s="387" t="s">
        <v>703</v>
      </c>
      <c r="M164" s="390"/>
      <c r="N164" s="390"/>
      <c r="O164" s="390"/>
      <c r="P164" s="390"/>
      <c r="Q164" s="390"/>
      <c r="R164" s="390"/>
      <c r="S164" s="387" t="s">
        <v>3440</v>
      </c>
      <c r="T164" s="387" t="s">
        <v>3062</v>
      </c>
      <c r="U164" s="387" t="s">
        <v>703</v>
      </c>
      <c r="V164" s="387" t="s">
        <v>117</v>
      </c>
      <c r="W164" s="394">
        <v>44804.0</v>
      </c>
      <c r="X164" s="387" t="s">
        <v>3441</v>
      </c>
      <c r="Y164" s="407">
        <v>44828.0</v>
      </c>
      <c r="Z164" s="392"/>
      <c r="AA164" s="387"/>
      <c r="AB164" s="341" t="s">
        <v>316</v>
      </c>
      <c r="AC164" s="387"/>
      <c r="AD164" s="387"/>
      <c r="AE164" s="387"/>
      <c r="AF164" s="387"/>
      <c r="AG164" s="387"/>
      <c r="AH164" s="387"/>
      <c r="AI164" s="387"/>
      <c r="AJ164" s="387"/>
      <c r="AK164" s="387"/>
      <c r="AL164" s="387"/>
      <c r="AM164" s="387"/>
      <c r="AN164" s="387"/>
      <c r="AO164" s="387"/>
      <c r="AP164" s="387"/>
      <c r="AQ164" s="387"/>
      <c r="AR164" s="387"/>
      <c r="AS164" s="387"/>
      <c r="AT164" s="387"/>
    </row>
    <row r="165">
      <c r="A165" s="385">
        <v>2018.0</v>
      </c>
      <c r="B165" s="395">
        <v>44791.89476340278</v>
      </c>
      <c r="C165" s="387" t="s">
        <v>823</v>
      </c>
      <c r="D165" s="385">
        <v>1.800016015E9</v>
      </c>
      <c r="E165" s="387" t="s">
        <v>824</v>
      </c>
      <c r="F165" s="388" t="s">
        <v>825</v>
      </c>
      <c r="G165" s="387" t="s">
        <v>826</v>
      </c>
      <c r="H165" s="389">
        <v>44491.0</v>
      </c>
      <c r="I165" s="389">
        <v>44650.0</v>
      </c>
      <c r="J165" s="387" t="s">
        <v>399</v>
      </c>
      <c r="K165" s="387" t="s">
        <v>183</v>
      </c>
      <c r="L165" s="387" t="s">
        <v>2379</v>
      </c>
      <c r="M165" s="390"/>
      <c r="N165" s="390"/>
      <c r="O165" s="390"/>
      <c r="P165" s="390"/>
      <c r="Q165" s="390"/>
      <c r="R165" s="390"/>
      <c r="S165" s="387" t="s">
        <v>3442</v>
      </c>
      <c r="T165" s="387" t="s">
        <v>183</v>
      </c>
      <c r="U165" s="387" t="s">
        <v>2379</v>
      </c>
      <c r="V165" s="387" t="s">
        <v>703</v>
      </c>
      <c r="W165" s="394">
        <v>44805.0</v>
      </c>
      <c r="X165" s="387" t="s">
        <v>3441</v>
      </c>
      <c r="Y165" s="397" t="s">
        <v>3322</v>
      </c>
      <c r="Z165" s="392"/>
      <c r="AA165" s="387"/>
      <c r="AB165" s="341" t="s">
        <v>316</v>
      </c>
      <c r="AC165" s="387"/>
      <c r="AD165" s="387"/>
      <c r="AE165" s="387"/>
      <c r="AF165" s="387"/>
      <c r="AG165" s="387"/>
      <c r="AH165" s="387"/>
      <c r="AI165" s="387"/>
      <c r="AJ165" s="387"/>
      <c r="AK165" s="387"/>
      <c r="AL165" s="387"/>
      <c r="AM165" s="387"/>
      <c r="AN165" s="387"/>
      <c r="AO165" s="387"/>
      <c r="AP165" s="387"/>
      <c r="AQ165" s="387"/>
      <c r="AR165" s="387"/>
      <c r="AS165" s="387"/>
      <c r="AT165" s="387"/>
    </row>
    <row r="166">
      <c r="A166" s="385">
        <v>2018.0</v>
      </c>
      <c r="B166" s="395">
        <v>44794.837286469905</v>
      </c>
      <c r="C166" s="387" t="s">
        <v>3443</v>
      </c>
      <c r="D166" s="385">
        <v>1.800016117E9</v>
      </c>
      <c r="E166" s="387" t="s">
        <v>832</v>
      </c>
      <c r="F166" s="388" t="s">
        <v>833</v>
      </c>
      <c r="G166" s="387" t="s">
        <v>3444</v>
      </c>
      <c r="H166" s="389">
        <v>44483.0</v>
      </c>
      <c r="I166" s="389">
        <v>44653.0</v>
      </c>
      <c r="J166" s="387" t="s">
        <v>399</v>
      </c>
      <c r="K166" s="387" t="s">
        <v>3013</v>
      </c>
      <c r="L166" s="387" t="s">
        <v>3062</v>
      </c>
      <c r="M166" s="390"/>
      <c r="N166" s="390"/>
      <c r="O166" s="390"/>
      <c r="P166" s="390"/>
      <c r="Q166" s="390"/>
      <c r="R166" s="390"/>
      <c r="S166" s="387" t="s">
        <v>3445</v>
      </c>
      <c r="T166" s="387" t="s">
        <v>3013</v>
      </c>
      <c r="U166" s="387" t="s">
        <v>3062</v>
      </c>
      <c r="V166" s="387" t="s">
        <v>117</v>
      </c>
      <c r="W166" s="394">
        <v>44805.0</v>
      </c>
      <c r="X166" s="387" t="s">
        <v>3441</v>
      </c>
      <c r="Y166" s="407">
        <v>44891.0</v>
      </c>
      <c r="Z166" s="392"/>
      <c r="AA166" s="387"/>
      <c r="AB166" s="341" t="s">
        <v>316</v>
      </c>
      <c r="AC166" s="387"/>
      <c r="AD166" s="387"/>
      <c r="AE166" s="387"/>
      <c r="AF166" s="387"/>
      <c r="AG166" s="387"/>
      <c r="AH166" s="387"/>
      <c r="AI166" s="387"/>
      <c r="AJ166" s="387"/>
      <c r="AK166" s="387"/>
      <c r="AL166" s="387"/>
      <c r="AM166" s="387"/>
      <c r="AN166" s="387"/>
      <c r="AO166" s="387"/>
      <c r="AP166" s="387"/>
      <c r="AQ166" s="387"/>
      <c r="AR166" s="387"/>
      <c r="AS166" s="387"/>
      <c r="AT166" s="387"/>
    </row>
    <row r="167">
      <c r="A167" s="385">
        <v>2018.0</v>
      </c>
      <c r="B167" s="395">
        <v>44796.62037549769</v>
      </c>
      <c r="C167" s="387" t="s">
        <v>795</v>
      </c>
      <c r="D167" s="385">
        <v>1.80001606E9</v>
      </c>
      <c r="E167" s="387" t="s">
        <v>796</v>
      </c>
      <c r="F167" s="388" t="s">
        <v>797</v>
      </c>
      <c r="G167" s="387" t="s">
        <v>3446</v>
      </c>
      <c r="H167" s="389">
        <v>44562.0</v>
      </c>
      <c r="I167" s="389">
        <v>44641.0</v>
      </c>
      <c r="J167" s="387" t="s">
        <v>399</v>
      </c>
      <c r="K167" s="387" t="s">
        <v>3013</v>
      </c>
      <c r="L167" s="387" t="s">
        <v>230</v>
      </c>
      <c r="M167" s="390"/>
      <c r="N167" s="390"/>
      <c r="O167" s="390"/>
      <c r="P167" s="390"/>
      <c r="Q167" s="390"/>
      <c r="R167" s="390"/>
      <c r="S167" s="387" t="s">
        <v>3447</v>
      </c>
      <c r="T167" s="387" t="s">
        <v>3013</v>
      </c>
      <c r="U167" s="387" t="s">
        <v>230</v>
      </c>
      <c r="V167" s="387" t="s">
        <v>703</v>
      </c>
      <c r="W167" s="394">
        <v>44806.0</v>
      </c>
      <c r="X167" s="387" t="s">
        <v>3441</v>
      </c>
      <c r="Y167" s="397" t="s">
        <v>3425</v>
      </c>
      <c r="Z167" s="392"/>
      <c r="AA167" s="387"/>
      <c r="AB167" s="341" t="s">
        <v>316</v>
      </c>
      <c r="AC167" s="387"/>
      <c r="AD167" s="387"/>
      <c r="AE167" s="387"/>
      <c r="AF167" s="387"/>
      <c r="AG167" s="387"/>
      <c r="AH167" s="387"/>
      <c r="AI167" s="387"/>
      <c r="AJ167" s="387"/>
      <c r="AK167" s="387"/>
      <c r="AL167" s="387"/>
      <c r="AM167" s="387"/>
      <c r="AN167" s="387"/>
      <c r="AO167" s="387"/>
      <c r="AP167" s="387"/>
      <c r="AQ167" s="387"/>
      <c r="AR167" s="387"/>
      <c r="AS167" s="387"/>
      <c r="AT167" s="387"/>
    </row>
    <row r="168">
      <c r="A168" s="385">
        <v>2017.0</v>
      </c>
      <c r="B168" s="395">
        <v>44797.684501296295</v>
      </c>
      <c r="C168" s="387" t="s">
        <v>428</v>
      </c>
      <c r="D168" s="385">
        <v>1.711016099E9</v>
      </c>
      <c r="E168" s="387" t="s">
        <v>429</v>
      </c>
      <c r="F168" s="388" t="s">
        <v>430</v>
      </c>
      <c r="G168" s="387" t="s">
        <v>431</v>
      </c>
      <c r="H168" s="389">
        <v>44368.0</v>
      </c>
      <c r="I168" s="389">
        <v>44309.0</v>
      </c>
      <c r="J168" s="387" t="s">
        <v>399</v>
      </c>
      <c r="K168" s="387" t="s">
        <v>2379</v>
      </c>
      <c r="L168" s="387" t="s">
        <v>3013</v>
      </c>
      <c r="M168" s="390"/>
      <c r="N168" s="390"/>
      <c r="O168" s="390"/>
      <c r="P168" s="390"/>
      <c r="Q168" s="390"/>
      <c r="R168" s="390"/>
      <c r="S168" s="387" t="s">
        <v>3448</v>
      </c>
      <c r="T168" s="387" t="s">
        <v>2379</v>
      </c>
      <c r="U168" s="387" t="s">
        <v>3013</v>
      </c>
      <c r="V168" s="387" t="s">
        <v>241</v>
      </c>
      <c r="W168" s="394">
        <v>44807.0</v>
      </c>
      <c r="X168" s="387" t="s">
        <v>3441</v>
      </c>
      <c r="Y168" s="408"/>
      <c r="Z168" s="392"/>
      <c r="AA168" s="387"/>
      <c r="AB168" s="341" t="s">
        <v>316</v>
      </c>
      <c r="AC168" s="387"/>
      <c r="AD168" s="387"/>
      <c r="AE168" s="387"/>
      <c r="AF168" s="387"/>
      <c r="AG168" s="387"/>
      <c r="AH168" s="387"/>
      <c r="AI168" s="387"/>
      <c r="AJ168" s="387"/>
      <c r="AK168" s="387"/>
      <c r="AL168" s="387"/>
      <c r="AM168" s="387"/>
      <c r="AN168" s="387"/>
      <c r="AO168" s="387"/>
      <c r="AP168" s="387"/>
      <c r="AQ168" s="387"/>
      <c r="AR168" s="387"/>
      <c r="AS168" s="387"/>
      <c r="AT168" s="387"/>
    </row>
    <row r="169">
      <c r="A169" s="385">
        <v>2017.0</v>
      </c>
      <c r="B169" s="395">
        <v>44799.5056937037</v>
      </c>
      <c r="C169" s="387" t="s">
        <v>471</v>
      </c>
      <c r="D169" s="385">
        <v>1.700016009E9</v>
      </c>
      <c r="E169" s="387" t="s">
        <v>472</v>
      </c>
      <c r="F169" s="388" t="s">
        <v>473</v>
      </c>
      <c r="G169" s="387" t="s">
        <v>3449</v>
      </c>
      <c r="H169" s="389">
        <v>44265.0</v>
      </c>
      <c r="I169" s="389">
        <v>44319.0</v>
      </c>
      <c r="J169" s="387" t="s">
        <v>399</v>
      </c>
      <c r="K169" s="387" t="s">
        <v>2379</v>
      </c>
      <c r="L169" s="387" t="s">
        <v>3013</v>
      </c>
      <c r="M169" s="390"/>
      <c r="N169" s="390"/>
      <c r="O169" s="390"/>
      <c r="P169" s="390"/>
      <c r="Q169" s="390"/>
      <c r="R169" s="390"/>
      <c r="S169" s="387" t="s">
        <v>3450</v>
      </c>
      <c r="T169" s="387" t="s">
        <v>2379</v>
      </c>
      <c r="U169" s="387" t="s">
        <v>3013</v>
      </c>
      <c r="V169" s="387" t="s">
        <v>3159</v>
      </c>
      <c r="W169" s="394">
        <v>44816.0</v>
      </c>
      <c r="X169" s="387" t="s">
        <v>3331</v>
      </c>
      <c r="Y169" s="408"/>
      <c r="Z169" s="392"/>
      <c r="AA169" s="387"/>
      <c r="AB169" s="341" t="s">
        <v>316</v>
      </c>
      <c r="AC169" s="387"/>
      <c r="AD169" s="387"/>
      <c r="AE169" s="387"/>
      <c r="AF169" s="387"/>
      <c r="AG169" s="387"/>
      <c r="AH169" s="387"/>
      <c r="AI169" s="387"/>
      <c r="AJ169" s="387"/>
      <c r="AK169" s="387"/>
      <c r="AL169" s="387"/>
      <c r="AM169" s="387"/>
      <c r="AN169" s="387"/>
      <c r="AO169" s="387"/>
      <c r="AP169" s="387"/>
      <c r="AQ169" s="387"/>
      <c r="AR169" s="387"/>
      <c r="AS169" s="387"/>
      <c r="AT169" s="387"/>
    </row>
    <row r="170">
      <c r="A170" s="385">
        <v>2017.0</v>
      </c>
      <c r="B170" s="395">
        <v>44801.672952824076</v>
      </c>
      <c r="C170" s="387" t="s">
        <v>551</v>
      </c>
      <c r="D170" s="385">
        <v>1.700016039E9</v>
      </c>
      <c r="E170" s="387" t="s">
        <v>552</v>
      </c>
      <c r="F170" s="388" t="s">
        <v>553</v>
      </c>
      <c r="G170" s="387" t="s">
        <v>3451</v>
      </c>
      <c r="H170" s="389">
        <v>44531.0</v>
      </c>
      <c r="I170" s="389">
        <v>44617.0</v>
      </c>
      <c r="J170" s="387" t="s">
        <v>399</v>
      </c>
      <c r="K170" s="387" t="s">
        <v>183</v>
      </c>
      <c r="L170" s="387" t="s">
        <v>230</v>
      </c>
      <c r="M170" s="390"/>
      <c r="N170" s="390"/>
      <c r="O170" s="390"/>
      <c r="P170" s="390"/>
      <c r="Q170" s="390"/>
      <c r="R170" s="390"/>
      <c r="S170" s="387" t="s">
        <v>3452</v>
      </c>
      <c r="T170" s="387" t="s">
        <v>183</v>
      </c>
      <c r="U170" s="387" t="s">
        <v>230</v>
      </c>
      <c r="V170" s="387" t="s">
        <v>703</v>
      </c>
      <c r="W170" s="394">
        <v>44807.0</v>
      </c>
      <c r="X170" s="387" t="s">
        <v>3441</v>
      </c>
      <c r="Y170" s="397" t="s">
        <v>3322</v>
      </c>
      <c r="Z170" s="392"/>
      <c r="AA170" s="387"/>
      <c r="AB170" s="341" t="s">
        <v>316</v>
      </c>
      <c r="AC170" s="387"/>
      <c r="AD170" s="387"/>
      <c r="AE170" s="387"/>
      <c r="AF170" s="387"/>
      <c r="AG170" s="387"/>
      <c r="AH170" s="387"/>
      <c r="AI170" s="387"/>
      <c r="AJ170" s="387"/>
      <c r="AK170" s="387"/>
      <c r="AL170" s="387"/>
      <c r="AM170" s="387"/>
      <c r="AN170" s="387"/>
      <c r="AO170" s="387"/>
      <c r="AP170" s="387"/>
      <c r="AQ170" s="387"/>
      <c r="AR170" s="387"/>
      <c r="AS170" s="387"/>
      <c r="AT170" s="387"/>
    </row>
    <row r="171">
      <c r="A171" s="385">
        <v>2016.0</v>
      </c>
      <c r="B171" s="395">
        <v>44802.67483451389</v>
      </c>
      <c r="C171" s="387" t="s">
        <v>835</v>
      </c>
      <c r="D171" s="385">
        <v>1.600016102E9</v>
      </c>
      <c r="E171" s="387" t="s">
        <v>836</v>
      </c>
      <c r="F171" s="388" t="s">
        <v>837</v>
      </c>
      <c r="G171" s="387" t="s">
        <v>3453</v>
      </c>
      <c r="H171" s="389">
        <v>44713.0</v>
      </c>
      <c r="I171" s="389">
        <v>44652.0</v>
      </c>
      <c r="J171" s="387" t="s">
        <v>399</v>
      </c>
      <c r="K171" s="387" t="s">
        <v>183</v>
      </c>
      <c r="L171" s="387" t="s">
        <v>1900</v>
      </c>
      <c r="M171" s="390"/>
      <c r="N171" s="390"/>
      <c r="O171" s="390"/>
      <c r="P171" s="390"/>
      <c r="Q171" s="390"/>
      <c r="R171" s="390"/>
      <c r="S171" s="387" t="s">
        <v>3454</v>
      </c>
      <c r="T171" s="387" t="s">
        <v>183</v>
      </c>
      <c r="U171" s="387" t="s">
        <v>1900</v>
      </c>
      <c r="V171" s="387" t="s">
        <v>3136</v>
      </c>
      <c r="W171" s="394">
        <v>44816.0</v>
      </c>
      <c r="X171" s="387" t="s">
        <v>3334</v>
      </c>
      <c r="Y171" s="408"/>
      <c r="Z171" s="387"/>
      <c r="AA171" s="387"/>
      <c r="AB171" s="341" t="s">
        <v>316</v>
      </c>
      <c r="AC171" s="387"/>
      <c r="AD171" s="387"/>
      <c r="AE171" s="387"/>
      <c r="AF171" s="387"/>
      <c r="AG171" s="387"/>
      <c r="AH171" s="387"/>
      <c r="AI171" s="387"/>
      <c r="AJ171" s="387"/>
      <c r="AK171" s="387"/>
      <c r="AL171" s="387"/>
      <c r="AM171" s="387"/>
      <c r="AN171" s="387"/>
      <c r="AO171" s="387"/>
      <c r="AP171" s="387"/>
      <c r="AQ171" s="387"/>
      <c r="AR171" s="387"/>
      <c r="AS171" s="387"/>
      <c r="AT171" s="387"/>
    </row>
    <row r="172">
      <c r="A172" s="385">
        <v>2018.0</v>
      </c>
      <c r="B172" s="395">
        <v>44786.403245567126</v>
      </c>
      <c r="C172" s="387" t="s">
        <v>934</v>
      </c>
      <c r="D172" s="385">
        <v>1.800016018E9</v>
      </c>
      <c r="E172" s="387" t="s">
        <v>3455</v>
      </c>
      <c r="F172" s="388" t="s">
        <v>936</v>
      </c>
      <c r="G172" s="387" t="s">
        <v>3456</v>
      </c>
      <c r="H172" s="389">
        <v>44661.0</v>
      </c>
      <c r="I172" s="389">
        <v>44711.0</v>
      </c>
      <c r="J172" s="387" t="s">
        <v>399</v>
      </c>
      <c r="K172" s="387" t="s">
        <v>241</v>
      </c>
      <c r="L172" s="387" t="s">
        <v>2379</v>
      </c>
      <c r="M172" s="390"/>
      <c r="N172" s="390"/>
      <c r="O172" s="390"/>
      <c r="P172" s="390"/>
      <c r="Q172" s="390"/>
      <c r="R172" s="390"/>
      <c r="S172" s="387" t="s">
        <v>3457</v>
      </c>
      <c r="T172" s="387" t="s">
        <v>241</v>
      </c>
      <c r="U172" s="387" t="s">
        <v>2379</v>
      </c>
      <c r="V172" s="387" t="s">
        <v>3145</v>
      </c>
      <c r="W172" s="394">
        <v>44816.0</v>
      </c>
      <c r="X172" s="387" t="s">
        <v>3334</v>
      </c>
      <c r="Y172" s="397" t="s">
        <v>3322</v>
      </c>
      <c r="Z172" s="392"/>
      <c r="AA172" s="387"/>
      <c r="AB172" s="341" t="s">
        <v>316</v>
      </c>
      <c r="AC172" s="387"/>
      <c r="AD172" s="387"/>
      <c r="AE172" s="387"/>
      <c r="AF172" s="387"/>
      <c r="AG172" s="387"/>
      <c r="AH172" s="387"/>
      <c r="AI172" s="387"/>
      <c r="AJ172" s="387"/>
      <c r="AK172" s="387"/>
      <c r="AL172" s="387"/>
      <c r="AM172" s="387"/>
      <c r="AN172" s="387"/>
      <c r="AO172" s="387"/>
      <c r="AP172" s="387"/>
      <c r="AQ172" s="387"/>
      <c r="AR172" s="387"/>
      <c r="AS172" s="387"/>
      <c r="AT172" s="387"/>
    </row>
    <row r="173">
      <c r="A173" s="385">
        <v>2017.0</v>
      </c>
      <c r="B173" s="395">
        <v>44803.642398888886</v>
      </c>
      <c r="C173" s="387" t="s">
        <v>496</v>
      </c>
      <c r="D173" s="385">
        <v>1.700016025E9</v>
      </c>
      <c r="E173" s="387" t="s">
        <v>497</v>
      </c>
      <c r="F173" s="388" t="s">
        <v>3458</v>
      </c>
      <c r="G173" s="387" t="s">
        <v>3459</v>
      </c>
      <c r="H173" s="389">
        <v>44368.0</v>
      </c>
      <c r="I173" s="389">
        <v>44350.0</v>
      </c>
      <c r="J173" s="387" t="s">
        <v>399</v>
      </c>
      <c r="K173" s="387" t="s">
        <v>2379</v>
      </c>
      <c r="L173" s="387" t="s">
        <v>3062</v>
      </c>
      <c r="M173" s="390"/>
      <c r="N173" s="390"/>
      <c r="O173" s="390"/>
      <c r="P173" s="390"/>
      <c r="Q173" s="390"/>
      <c r="R173" s="390"/>
      <c r="S173" s="387" t="s">
        <v>3460</v>
      </c>
      <c r="T173" s="387" t="s">
        <v>2379</v>
      </c>
      <c r="U173" s="387" t="s">
        <v>3062</v>
      </c>
      <c r="V173" s="387" t="s">
        <v>703</v>
      </c>
      <c r="W173" s="394">
        <v>44816.0</v>
      </c>
      <c r="X173" s="387" t="s">
        <v>3345</v>
      </c>
      <c r="Y173" s="408"/>
      <c r="Z173" s="390"/>
      <c r="AA173" s="387"/>
      <c r="AB173" s="341" t="s">
        <v>316</v>
      </c>
      <c r="AC173" s="387"/>
      <c r="AD173" s="387"/>
      <c r="AE173" s="387"/>
      <c r="AF173" s="387"/>
      <c r="AG173" s="387"/>
      <c r="AH173" s="387"/>
      <c r="AI173" s="387"/>
      <c r="AJ173" s="387"/>
      <c r="AK173" s="387"/>
      <c r="AL173" s="387"/>
      <c r="AM173" s="387"/>
      <c r="AN173" s="387"/>
      <c r="AO173" s="387"/>
      <c r="AP173" s="387"/>
      <c r="AQ173" s="387"/>
      <c r="AR173" s="387"/>
      <c r="AS173" s="387"/>
      <c r="AT173" s="387"/>
    </row>
    <row r="174">
      <c r="A174" s="385">
        <v>2018.0</v>
      </c>
      <c r="B174" s="395">
        <v>44804.57810266204</v>
      </c>
      <c r="C174" s="387" t="s">
        <v>799</v>
      </c>
      <c r="D174" s="385">
        <v>1.800016042E9</v>
      </c>
      <c r="E174" s="387" t="s">
        <v>800</v>
      </c>
      <c r="F174" s="388" t="s">
        <v>801</v>
      </c>
      <c r="G174" s="387" t="s">
        <v>3461</v>
      </c>
      <c r="H174" s="389">
        <v>44652.0</v>
      </c>
      <c r="I174" s="389">
        <v>44650.0</v>
      </c>
      <c r="J174" s="387" t="s">
        <v>399</v>
      </c>
      <c r="K174" s="387" t="s">
        <v>2379</v>
      </c>
      <c r="L174" s="387" t="s">
        <v>3062</v>
      </c>
      <c r="M174" s="390"/>
      <c r="N174" s="390"/>
      <c r="O174" s="390"/>
      <c r="P174" s="390"/>
      <c r="Q174" s="390"/>
      <c r="R174" s="390"/>
      <c r="S174" s="387" t="s">
        <v>3462</v>
      </c>
      <c r="T174" s="387" t="s">
        <v>2379</v>
      </c>
      <c r="U174" s="387" t="s">
        <v>3062</v>
      </c>
      <c r="V174" s="387" t="s">
        <v>703</v>
      </c>
      <c r="W174" s="394">
        <v>44821.0</v>
      </c>
      <c r="X174" s="387" t="s">
        <v>3406</v>
      </c>
      <c r="Y174" s="408"/>
      <c r="Z174" s="390"/>
      <c r="AA174" s="387"/>
      <c r="AB174" s="341" t="s">
        <v>316</v>
      </c>
      <c r="AC174" s="387"/>
      <c r="AD174" s="387"/>
      <c r="AE174" s="387"/>
      <c r="AF174" s="387"/>
      <c r="AG174" s="387"/>
      <c r="AH174" s="387"/>
      <c r="AI174" s="387"/>
      <c r="AJ174" s="387"/>
      <c r="AK174" s="387"/>
      <c r="AL174" s="387"/>
      <c r="AM174" s="387"/>
      <c r="AN174" s="387"/>
      <c r="AO174" s="387"/>
      <c r="AP174" s="387"/>
      <c r="AQ174" s="387"/>
      <c r="AR174" s="387"/>
      <c r="AS174" s="387"/>
      <c r="AT174" s="387"/>
    </row>
    <row r="175">
      <c r="A175" s="385">
        <v>2017.0</v>
      </c>
      <c r="B175" s="395">
        <v>44806.67053142361</v>
      </c>
      <c r="C175" s="387" t="s">
        <v>343</v>
      </c>
      <c r="D175" s="385">
        <v>1.700016019E9</v>
      </c>
      <c r="E175" s="387" t="s">
        <v>344</v>
      </c>
      <c r="F175" s="388" t="s">
        <v>345</v>
      </c>
      <c r="G175" s="387" t="s">
        <v>3463</v>
      </c>
      <c r="H175" s="389">
        <v>44368.0</v>
      </c>
      <c r="I175" s="389">
        <v>44302.0</v>
      </c>
      <c r="J175" s="387" t="s">
        <v>399</v>
      </c>
      <c r="K175" s="387" t="s">
        <v>2379</v>
      </c>
      <c r="L175" s="387" t="s">
        <v>3062</v>
      </c>
      <c r="M175" s="390"/>
      <c r="N175" s="390"/>
      <c r="O175" s="390"/>
      <c r="P175" s="390"/>
      <c r="Q175" s="390"/>
      <c r="R175" s="390"/>
      <c r="S175" s="387" t="s">
        <v>3464</v>
      </c>
      <c r="T175" s="387" t="s">
        <v>2379</v>
      </c>
      <c r="U175" s="387" t="s">
        <v>3062</v>
      </c>
      <c r="V175" s="387" t="s">
        <v>703</v>
      </c>
      <c r="W175" s="394">
        <v>44821.0</v>
      </c>
      <c r="X175" s="387" t="s">
        <v>3407</v>
      </c>
      <c r="Y175" s="408"/>
      <c r="Z175" s="392"/>
      <c r="AA175" s="387"/>
      <c r="AB175" s="341" t="s">
        <v>316</v>
      </c>
      <c r="AC175" s="387"/>
      <c r="AD175" s="387"/>
      <c r="AE175" s="387"/>
      <c r="AF175" s="387"/>
      <c r="AG175" s="387"/>
      <c r="AH175" s="387"/>
      <c r="AI175" s="387"/>
      <c r="AJ175" s="387"/>
      <c r="AK175" s="387"/>
      <c r="AL175" s="387"/>
      <c r="AM175" s="387"/>
      <c r="AN175" s="387"/>
      <c r="AO175" s="387"/>
      <c r="AP175" s="387"/>
      <c r="AQ175" s="387"/>
      <c r="AR175" s="387"/>
      <c r="AS175" s="387"/>
      <c r="AT175" s="387"/>
    </row>
    <row r="176">
      <c r="A176" s="385">
        <v>2018.0</v>
      </c>
      <c r="B176" s="395">
        <v>44809.50893494213</v>
      </c>
      <c r="C176" s="387" t="s">
        <v>843</v>
      </c>
      <c r="D176" s="385">
        <v>1.800016083E9</v>
      </c>
      <c r="E176" s="387" t="s">
        <v>844</v>
      </c>
      <c r="F176" s="388" t="s">
        <v>3465</v>
      </c>
      <c r="G176" s="387" t="s">
        <v>3466</v>
      </c>
      <c r="H176" s="389">
        <v>44453.0</v>
      </c>
      <c r="I176" s="389">
        <v>44652.0</v>
      </c>
      <c r="J176" s="387" t="s">
        <v>399</v>
      </c>
      <c r="K176" s="387" t="s">
        <v>2379</v>
      </c>
      <c r="L176" s="387" t="s">
        <v>183</v>
      </c>
      <c r="M176" s="390"/>
      <c r="N176" s="390"/>
      <c r="O176" s="390"/>
      <c r="P176" s="390"/>
      <c r="Q176" s="390"/>
      <c r="R176" s="390"/>
      <c r="S176" s="387" t="s">
        <v>3467</v>
      </c>
      <c r="T176" s="387" t="s">
        <v>2379</v>
      </c>
      <c r="U176" s="387" t="s">
        <v>183</v>
      </c>
      <c r="V176" s="387" t="s">
        <v>3145</v>
      </c>
      <c r="W176" s="394">
        <v>44823.0</v>
      </c>
      <c r="X176" s="387" t="s">
        <v>3468</v>
      </c>
      <c r="Y176" s="397" t="s">
        <v>3425</v>
      </c>
      <c r="Z176" s="390"/>
      <c r="AA176" s="387"/>
      <c r="AB176" s="341" t="s">
        <v>316</v>
      </c>
      <c r="AC176" s="387"/>
      <c r="AD176" s="387"/>
      <c r="AE176" s="387"/>
      <c r="AF176" s="387"/>
      <c r="AG176" s="387"/>
      <c r="AH176" s="387"/>
      <c r="AI176" s="387"/>
      <c r="AJ176" s="387"/>
      <c r="AK176" s="387"/>
      <c r="AL176" s="387"/>
      <c r="AM176" s="387"/>
      <c r="AN176" s="387"/>
      <c r="AO176" s="387"/>
      <c r="AP176" s="387"/>
      <c r="AQ176" s="387"/>
      <c r="AR176" s="387"/>
      <c r="AS176" s="387"/>
      <c r="AT176" s="387"/>
    </row>
    <row r="177">
      <c r="A177" s="385">
        <v>2016.0</v>
      </c>
      <c r="B177" s="395">
        <v>44813.53295746528</v>
      </c>
      <c r="C177" s="387" t="s">
        <v>189</v>
      </c>
      <c r="D177" s="385">
        <v>1.600016069E9</v>
      </c>
      <c r="E177" s="387" t="s">
        <v>190</v>
      </c>
      <c r="F177" s="388" t="s">
        <v>191</v>
      </c>
      <c r="G177" s="387" t="s">
        <v>3469</v>
      </c>
      <c r="H177" s="389">
        <v>43900.0</v>
      </c>
      <c r="I177" s="389">
        <v>43992.0</v>
      </c>
      <c r="J177" s="387" t="s">
        <v>399</v>
      </c>
      <c r="K177" s="387" t="s">
        <v>2379</v>
      </c>
      <c r="L177" s="387" t="s">
        <v>1900</v>
      </c>
      <c r="M177" s="390"/>
      <c r="N177" s="390"/>
      <c r="O177" s="390"/>
      <c r="P177" s="390"/>
      <c r="Q177" s="390"/>
      <c r="R177" s="390"/>
      <c r="S177" s="387" t="s">
        <v>3470</v>
      </c>
      <c r="T177" s="387" t="s">
        <v>2379</v>
      </c>
      <c r="U177" s="387" t="s">
        <v>1900</v>
      </c>
      <c r="V177" s="387" t="s">
        <v>241</v>
      </c>
      <c r="W177" s="394">
        <v>44821.0</v>
      </c>
      <c r="X177" s="387" t="s">
        <v>3418</v>
      </c>
      <c r="Y177" s="407">
        <v>44891.0</v>
      </c>
      <c r="Z177" s="390"/>
      <c r="AA177" s="387"/>
      <c r="AB177" s="341" t="s">
        <v>316</v>
      </c>
      <c r="AC177" s="387"/>
      <c r="AD177" s="387"/>
      <c r="AE177" s="387"/>
      <c r="AF177" s="387"/>
      <c r="AG177" s="387"/>
      <c r="AH177" s="387"/>
      <c r="AI177" s="387"/>
      <c r="AJ177" s="387"/>
      <c r="AK177" s="387"/>
      <c r="AL177" s="387"/>
      <c r="AM177" s="387"/>
      <c r="AN177" s="387"/>
      <c r="AO177" s="387"/>
      <c r="AP177" s="387"/>
      <c r="AQ177" s="387"/>
      <c r="AR177" s="387"/>
      <c r="AS177" s="387"/>
      <c r="AT177" s="387"/>
    </row>
    <row r="178">
      <c r="A178" s="385">
        <v>2016.0</v>
      </c>
      <c r="B178" s="395">
        <v>44813.53334887732</v>
      </c>
      <c r="C178" s="387" t="s">
        <v>185</v>
      </c>
      <c r="D178" s="385">
        <v>1.600016085E9</v>
      </c>
      <c r="E178" s="387" t="s">
        <v>186</v>
      </c>
      <c r="F178" s="388" t="s">
        <v>187</v>
      </c>
      <c r="G178" s="387" t="s">
        <v>188</v>
      </c>
      <c r="H178" s="389">
        <v>43900.0</v>
      </c>
      <c r="I178" s="389">
        <v>43992.0</v>
      </c>
      <c r="J178" s="387" t="s">
        <v>399</v>
      </c>
      <c r="K178" s="387" t="s">
        <v>2379</v>
      </c>
      <c r="L178" s="387" t="s">
        <v>241</v>
      </c>
      <c r="M178" s="390"/>
      <c r="N178" s="390"/>
      <c r="O178" s="390"/>
      <c r="P178" s="390"/>
      <c r="Q178" s="390"/>
      <c r="R178" s="390"/>
      <c r="S178" s="387" t="s">
        <v>3471</v>
      </c>
      <c r="T178" s="387" t="s">
        <v>2379</v>
      </c>
      <c r="U178" s="387" t="s">
        <v>241</v>
      </c>
      <c r="V178" s="387" t="s">
        <v>2951</v>
      </c>
      <c r="W178" s="394">
        <v>44821.0</v>
      </c>
      <c r="X178" s="387" t="s">
        <v>987</v>
      </c>
      <c r="Y178" s="407">
        <v>44891.0</v>
      </c>
      <c r="Z178" s="390"/>
      <c r="AA178" s="387"/>
      <c r="AB178" s="341" t="s">
        <v>316</v>
      </c>
      <c r="AC178" s="387"/>
      <c r="AD178" s="387"/>
      <c r="AE178" s="387"/>
      <c r="AF178" s="387"/>
      <c r="AG178" s="387"/>
      <c r="AH178" s="387"/>
      <c r="AI178" s="387"/>
      <c r="AJ178" s="387"/>
      <c r="AK178" s="387"/>
      <c r="AL178" s="387"/>
      <c r="AM178" s="387"/>
      <c r="AN178" s="387"/>
      <c r="AO178" s="387"/>
      <c r="AP178" s="387"/>
      <c r="AQ178" s="387"/>
      <c r="AR178" s="387"/>
      <c r="AS178" s="387"/>
      <c r="AT178" s="387"/>
    </row>
    <row r="179">
      <c r="A179" s="385">
        <v>2017.0</v>
      </c>
      <c r="B179" s="395">
        <v>44815.78122474537</v>
      </c>
      <c r="C179" s="387" t="s">
        <v>601</v>
      </c>
      <c r="D179" s="385">
        <v>1.70001609E9</v>
      </c>
      <c r="E179" s="387" t="s">
        <v>602</v>
      </c>
      <c r="F179" s="388" t="s">
        <v>603</v>
      </c>
      <c r="G179" s="387" t="s">
        <v>3472</v>
      </c>
      <c r="H179" s="389">
        <v>44256.0</v>
      </c>
      <c r="I179" s="389">
        <v>44364.0</v>
      </c>
      <c r="J179" s="387" t="s">
        <v>399</v>
      </c>
      <c r="K179" s="387" t="s">
        <v>2379</v>
      </c>
      <c r="L179" s="387" t="s">
        <v>230</v>
      </c>
      <c r="M179" s="390"/>
      <c r="N179" s="390"/>
      <c r="O179" s="390"/>
      <c r="P179" s="390"/>
      <c r="Q179" s="390"/>
      <c r="R179" s="390"/>
      <c r="S179" s="387" t="s">
        <v>3473</v>
      </c>
      <c r="T179" s="387" t="s">
        <v>2379</v>
      </c>
      <c r="U179" s="387" t="s">
        <v>230</v>
      </c>
      <c r="V179" s="387" t="s">
        <v>117</v>
      </c>
      <c r="W179" s="394">
        <v>44827.0</v>
      </c>
      <c r="X179" s="387" t="s">
        <v>3406</v>
      </c>
      <c r="Y179" s="408"/>
      <c r="Z179" s="390"/>
      <c r="AA179" s="387"/>
      <c r="AB179" s="341" t="s">
        <v>316</v>
      </c>
      <c r="AC179" s="387"/>
      <c r="AD179" s="387"/>
      <c r="AE179" s="387"/>
      <c r="AF179" s="387"/>
      <c r="AG179" s="387"/>
      <c r="AH179" s="387"/>
      <c r="AI179" s="387"/>
      <c r="AJ179" s="387"/>
      <c r="AK179" s="387"/>
      <c r="AL179" s="387"/>
      <c r="AM179" s="387"/>
      <c r="AN179" s="387"/>
      <c r="AO179" s="387"/>
      <c r="AP179" s="387"/>
      <c r="AQ179" s="387"/>
      <c r="AR179" s="387"/>
      <c r="AS179" s="387"/>
      <c r="AT179" s="387"/>
    </row>
    <row r="180">
      <c r="A180" s="385">
        <v>2017.0</v>
      </c>
      <c r="B180" s="395">
        <v>44816.73646799769</v>
      </c>
      <c r="C180" s="387" t="s">
        <v>644</v>
      </c>
      <c r="D180" s="385">
        <v>1.70001602E9</v>
      </c>
      <c r="E180" s="387" t="s">
        <v>645</v>
      </c>
      <c r="F180" s="388" t="s">
        <v>646</v>
      </c>
      <c r="G180" s="387" t="s">
        <v>3474</v>
      </c>
      <c r="H180" s="389">
        <v>44590.0</v>
      </c>
      <c r="I180" s="389">
        <v>44589.0</v>
      </c>
      <c r="J180" s="387" t="s">
        <v>399</v>
      </c>
      <c r="K180" s="387" t="s">
        <v>2379</v>
      </c>
      <c r="L180" s="387" t="s">
        <v>241</v>
      </c>
      <c r="M180" s="390"/>
      <c r="N180" s="390"/>
      <c r="O180" s="390"/>
      <c r="P180" s="390"/>
      <c r="Q180" s="390"/>
      <c r="R180" s="390"/>
      <c r="S180" s="387" t="s">
        <v>3475</v>
      </c>
      <c r="T180" s="387" t="s">
        <v>2379</v>
      </c>
      <c r="U180" s="387" t="s">
        <v>241</v>
      </c>
      <c r="V180" s="387" t="s">
        <v>3145</v>
      </c>
      <c r="W180" s="394">
        <v>44827.0</v>
      </c>
      <c r="X180" s="387" t="s">
        <v>3468</v>
      </c>
      <c r="Y180" s="408"/>
      <c r="Z180" s="390"/>
      <c r="AA180" s="387"/>
      <c r="AB180" s="341" t="s">
        <v>316</v>
      </c>
      <c r="AC180" s="387"/>
      <c r="AD180" s="387"/>
      <c r="AE180" s="387"/>
      <c r="AF180" s="387"/>
      <c r="AG180" s="387"/>
      <c r="AH180" s="387"/>
      <c r="AI180" s="387"/>
      <c r="AJ180" s="387"/>
      <c r="AK180" s="387"/>
      <c r="AL180" s="387"/>
      <c r="AM180" s="387"/>
      <c r="AN180" s="387"/>
      <c r="AO180" s="387"/>
      <c r="AP180" s="387"/>
      <c r="AQ180" s="387"/>
      <c r="AR180" s="387"/>
      <c r="AS180" s="387"/>
      <c r="AT180" s="387"/>
    </row>
    <row r="181">
      <c r="A181" s="385">
        <v>2018.0</v>
      </c>
      <c r="B181" s="395">
        <v>44806.457605648146</v>
      </c>
      <c r="C181" s="387" t="s">
        <v>926</v>
      </c>
      <c r="D181" s="385">
        <v>1.800016005E9</v>
      </c>
      <c r="E181" s="387" t="s">
        <v>927</v>
      </c>
      <c r="F181" s="388" t="s">
        <v>928</v>
      </c>
      <c r="G181" s="387" t="s">
        <v>929</v>
      </c>
      <c r="H181" s="389">
        <v>44520.0</v>
      </c>
      <c r="I181" s="389">
        <v>44711.0</v>
      </c>
      <c r="J181" s="387" t="s">
        <v>399</v>
      </c>
      <c r="K181" s="387" t="s">
        <v>1900</v>
      </c>
      <c r="L181" s="387" t="s">
        <v>703</v>
      </c>
      <c r="M181" s="390"/>
      <c r="N181" s="390"/>
      <c r="O181" s="390"/>
      <c r="P181" s="390"/>
      <c r="Q181" s="390"/>
      <c r="R181" s="390"/>
      <c r="S181" s="387" t="s">
        <v>3476</v>
      </c>
      <c r="T181" s="387" t="s">
        <v>1900</v>
      </c>
      <c r="U181" s="387" t="s">
        <v>703</v>
      </c>
      <c r="V181" s="387" t="s">
        <v>117</v>
      </c>
      <c r="W181" s="394">
        <v>44823.0</v>
      </c>
      <c r="X181" s="387" t="s">
        <v>3406</v>
      </c>
      <c r="Y181" s="407">
        <v>44892.0</v>
      </c>
      <c r="Z181" s="392"/>
      <c r="AA181" s="387"/>
      <c r="AB181" s="341" t="s">
        <v>316</v>
      </c>
      <c r="AC181" s="387"/>
      <c r="AD181" s="387"/>
      <c r="AE181" s="387"/>
      <c r="AF181" s="387"/>
      <c r="AG181" s="387"/>
      <c r="AH181" s="387"/>
      <c r="AI181" s="387"/>
      <c r="AJ181" s="387"/>
      <c r="AK181" s="387"/>
      <c r="AL181" s="387"/>
      <c r="AM181" s="387"/>
      <c r="AN181" s="387"/>
      <c r="AO181" s="387"/>
      <c r="AP181" s="387"/>
      <c r="AQ181" s="387"/>
      <c r="AR181" s="387"/>
      <c r="AS181" s="387"/>
      <c r="AT181" s="387"/>
    </row>
    <row r="182">
      <c r="A182" s="385">
        <v>2018.0</v>
      </c>
      <c r="B182" s="395">
        <v>44806.91403318287</v>
      </c>
      <c r="C182" s="387" t="s">
        <v>904</v>
      </c>
      <c r="D182" s="385">
        <v>1.800016074E9</v>
      </c>
      <c r="E182" s="387" t="s">
        <v>905</v>
      </c>
      <c r="F182" s="388" t="s">
        <v>906</v>
      </c>
      <c r="G182" s="387" t="s">
        <v>907</v>
      </c>
      <c r="H182" s="389">
        <v>44621.0</v>
      </c>
      <c r="I182" s="389">
        <v>44700.0</v>
      </c>
      <c r="J182" s="387" t="s">
        <v>399</v>
      </c>
      <c r="K182" s="387" t="s">
        <v>1900</v>
      </c>
      <c r="L182" s="387" t="s">
        <v>703</v>
      </c>
      <c r="M182" s="390"/>
      <c r="N182" s="390"/>
      <c r="O182" s="390"/>
      <c r="P182" s="390"/>
      <c r="Q182" s="390"/>
      <c r="R182" s="390"/>
      <c r="S182" s="387" t="s">
        <v>3477</v>
      </c>
      <c r="T182" s="387" t="s">
        <v>1900</v>
      </c>
      <c r="U182" s="387" t="s">
        <v>703</v>
      </c>
      <c r="V182" s="387" t="s">
        <v>3159</v>
      </c>
      <c r="W182" s="394">
        <v>44823.0</v>
      </c>
      <c r="X182" s="387" t="s">
        <v>3407</v>
      </c>
      <c r="Y182" s="408"/>
      <c r="Z182" s="390"/>
      <c r="AA182" s="387"/>
      <c r="AB182" s="341" t="s">
        <v>316</v>
      </c>
      <c r="AC182" s="387"/>
      <c r="AD182" s="387"/>
      <c r="AE182" s="387"/>
      <c r="AF182" s="387"/>
      <c r="AG182" s="387"/>
      <c r="AH182" s="387"/>
      <c r="AI182" s="387"/>
      <c r="AJ182" s="387"/>
      <c r="AK182" s="387"/>
      <c r="AL182" s="387"/>
      <c r="AM182" s="387"/>
      <c r="AN182" s="387"/>
      <c r="AO182" s="387"/>
      <c r="AP182" s="387"/>
      <c r="AQ182" s="387"/>
      <c r="AR182" s="387"/>
      <c r="AS182" s="387"/>
      <c r="AT182" s="387"/>
    </row>
    <row r="183">
      <c r="A183" s="385">
        <v>2017.0</v>
      </c>
      <c r="B183" s="395">
        <v>44816.97057385417</v>
      </c>
      <c r="C183" s="387" t="s">
        <v>648</v>
      </c>
      <c r="D183" s="385">
        <v>1.70001601E9</v>
      </c>
      <c r="E183" s="387" t="s">
        <v>649</v>
      </c>
      <c r="F183" s="388" t="s">
        <v>3478</v>
      </c>
      <c r="G183" s="387" t="s">
        <v>3479</v>
      </c>
      <c r="H183" s="389">
        <v>43849.0</v>
      </c>
      <c r="I183" s="389">
        <v>44427.0</v>
      </c>
      <c r="J183" s="387" t="s">
        <v>399</v>
      </c>
      <c r="K183" s="387" t="s">
        <v>241</v>
      </c>
      <c r="L183" s="387" t="s">
        <v>117</v>
      </c>
      <c r="M183" s="390"/>
      <c r="N183" s="390"/>
      <c r="O183" s="390"/>
      <c r="P183" s="390"/>
      <c r="Q183" s="390"/>
      <c r="R183" s="390"/>
      <c r="S183" s="387" t="s">
        <v>3480</v>
      </c>
      <c r="T183" s="387" t="s">
        <v>241</v>
      </c>
      <c r="U183" s="387" t="s">
        <v>117</v>
      </c>
      <c r="V183" s="387" t="s">
        <v>183</v>
      </c>
      <c r="W183" s="394">
        <v>44824.0</v>
      </c>
      <c r="X183" s="387" t="s">
        <v>3406</v>
      </c>
      <c r="Y183" s="408"/>
      <c r="Z183" s="390"/>
      <c r="AA183" s="387"/>
      <c r="AB183" s="341" t="s">
        <v>316</v>
      </c>
      <c r="AC183" s="387"/>
      <c r="AD183" s="387"/>
      <c r="AE183" s="387"/>
      <c r="AF183" s="387"/>
      <c r="AG183" s="387"/>
      <c r="AH183" s="387"/>
      <c r="AI183" s="387"/>
      <c r="AJ183" s="387"/>
      <c r="AK183" s="387"/>
      <c r="AL183" s="387"/>
      <c r="AM183" s="387"/>
      <c r="AN183" s="387"/>
      <c r="AO183" s="387"/>
      <c r="AP183" s="387"/>
      <c r="AQ183" s="387"/>
      <c r="AR183" s="387"/>
      <c r="AS183" s="387"/>
      <c r="AT183" s="387"/>
    </row>
    <row r="184">
      <c r="A184" s="385">
        <v>2018.0</v>
      </c>
      <c r="B184" s="395">
        <v>44809.930575046295</v>
      </c>
      <c r="C184" s="387" t="s">
        <v>3481</v>
      </c>
      <c r="D184" s="385">
        <v>1.800016137E9</v>
      </c>
      <c r="E184" s="387" t="s">
        <v>853</v>
      </c>
      <c r="F184" s="388" t="s">
        <v>854</v>
      </c>
      <c r="G184" s="387" t="s">
        <v>3482</v>
      </c>
      <c r="H184" s="389">
        <v>44483.0</v>
      </c>
      <c r="I184" s="389">
        <v>44653.0</v>
      </c>
      <c r="J184" s="387" t="s">
        <v>399</v>
      </c>
      <c r="K184" s="387" t="s">
        <v>3013</v>
      </c>
      <c r="L184" s="387" t="s">
        <v>3062</v>
      </c>
      <c r="M184" s="390"/>
      <c r="N184" s="390"/>
      <c r="O184" s="390"/>
      <c r="P184" s="390"/>
      <c r="Q184" s="390"/>
      <c r="R184" s="390"/>
      <c r="S184" s="387" t="s">
        <v>3483</v>
      </c>
      <c r="T184" s="387" t="s">
        <v>3013</v>
      </c>
      <c r="U184" s="387" t="s">
        <v>3062</v>
      </c>
      <c r="V184" s="387" t="s">
        <v>241</v>
      </c>
      <c r="W184" s="394">
        <v>44824.0</v>
      </c>
      <c r="X184" s="387" t="s">
        <v>3407</v>
      </c>
      <c r="Y184" s="408"/>
      <c r="Z184" s="390"/>
      <c r="AA184" s="387"/>
      <c r="AB184" s="341" t="s">
        <v>316</v>
      </c>
      <c r="AC184" s="387"/>
      <c r="AD184" s="387"/>
      <c r="AE184" s="387"/>
      <c r="AF184" s="387"/>
      <c r="AG184" s="387"/>
      <c r="AH184" s="387"/>
      <c r="AI184" s="387"/>
      <c r="AJ184" s="387"/>
      <c r="AK184" s="387"/>
      <c r="AL184" s="387"/>
      <c r="AM184" s="387"/>
      <c r="AN184" s="387"/>
      <c r="AO184" s="387"/>
      <c r="AP184" s="387"/>
      <c r="AQ184" s="387"/>
      <c r="AR184" s="387"/>
      <c r="AS184" s="387"/>
      <c r="AT184" s="387"/>
    </row>
    <row r="185">
      <c r="A185" s="385">
        <v>2018.0</v>
      </c>
      <c r="B185" s="395">
        <v>44826.42812488426</v>
      </c>
      <c r="C185" s="387" t="s">
        <v>864</v>
      </c>
      <c r="D185" s="385">
        <v>1.800016058E9</v>
      </c>
      <c r="E185" s="387" t="s">
        <v>865</v>
      </c>
      <c r="F185" s="388" t="s">
        <v>866</v>
      </c>
      <c r="G185" s="387" t="s">
        <v>3484</v>
      </c>
      <c r="H185" s="389">
        <v>44517.0</v>
      </c>
      <c r="I185" s="389">
        <v>44666.0</v>
      </c>
      <c r="J185" s="387" t="s">
        <v>399</v>
      </c>
      <c r="K185" s="387" t="s">
        <v>183</v>
      </c>
      <c r="L185" s="387" t="s">
        <v>117</v>
      </c>
      <c r="M185" s="390"/>
      <c r="N185" s="390"/>
      <c r="O185" s="390"/>
      <c r="P185" s="390"/>
      <c r="Q185" s="390"/>
      <c r="R185" s="390"/>
      <c r="S185" s="387" t="s">
        <v>3485</v>
      </c>
      <c r="T185" s="387" t="s">
        <v>183</v>
      </c>
      <c r="U185" s="387" t="s">
        <v>117</v>
      </c>
      <c r="V185" s="387" t="s">
        <v>2951</v>
      </c>
      <c r="W185" s="394">
        <v>44832.0</v>
      </c>
      <c r="X185" s="387" t="s">
        <v>3345</v>
      </c>
      <c r="Y185" s="407">
        <v>44892.0</v>
      </c>
      <c r="Z185" s="390"/>
      <c r="AA185" s="387"/>
      <c r="AB185" s="341" t="s">
        <v>316</v>
      </c>
      <c r="AC185" s="387"/>
      <c r="AD185" s="387"/>
      <c r="AE185" s="387"/>
      <c r="AF185" s="387"/>
      <c r="AG185" s="387"/>
      <c r="AH185" s="387"/>
      <c r="AI185" s="387"/>
      <c r="AJ185" s="387"/>
      <c r="AK185" s="387"/>
      <c r="AL185" s="387"/>
      <c r="AM185" s="387"/>
      <c r="AN185" s="387"/>
      <c r="AO185" s="387"/>
      <c r="AP185" s="387"/>
      <c r="AQ185" s="387"/>
      <c r="AR185" s="387"/>
      <c r="AS185" s="387"/>
      <c r="AT185" s="387"/>
    </row>
    <row r="186">
      <c r="A186" s="385">
        <v>2016.0</v>
      </c>
      <c r="B186" s="395">
        <v>44826.6471762963</v>
      </c>
      <c r="C186" s="387" t="s">
        <v>174</v>
      </c>
      <c r="D186" s="385">
        <v>1.600016074E9</v>
      </c>
      <c r="E186" s="387" t="s">
        <v>175</v>
      </c>
      <c r="F186" s="388" t="s">
        <v>176</v>
      </c>
      <c r="G186" s="387" t="s">
        <v>3486</v>
      </c>
      <c r="H186" s="389">
        <v>43765.0</v>
      </c>
      <c r="I186" s="389">
        <v>43992.0</v>
      </c>
      <c r="J186" s="387" t="s">
        <v>399</v>
      </c>
      <c r="K186" s="387" t="s">
        <v>1900</v>
      </c>
      <c r="L186" s="387" t="s">
        <v>3062</v>
      </c>
      <c r="M186" s="390"/>
      <c r="N186" s="390"/>
      <c r="O186" s="390"/>
      <c r="P186" s="390"/>
      <c r="Q186" s="390"/>
      <c r="R186" s="390"/>
      <c r="S186" s="387" t="s">
        <v>3487</v>
      </c>
      <c r="T186" s="387" t="s">
        <v>1900</v>
      </c>
      <c r="U186" s="387" t="s">
        <v>3062</v>
      </c>
      <c r="V186" s="387" t="s">
        <v>117</v>
      </c>
      <c r="W186" s="394">
        <v>44832.0</v>
      </c>
      <c r="X186" s="387" t="s">
        <v>3334</v>
      </c>
      <c r="Y186" s="408"/>
      <c r="Z186" s="390"/>
      <c r="AA186" s="387"/>
      <c r="AB186" s="341" t="s">
        <v>316</v>
      </c>
      <c r="AC186" s="387"/>
      <c r="AD186" s="387"/>
      <c r="AE186" s="387"/>
      <c r="AF186" s="387"/>
      <c r="AG186" s="387"/>
      <c r="AH186" s="387"/>
      <c r="AI186" s="387"/>
      <c r="AJ186" s="387"/>
      <c r="AK186" s="387"/>
      <c r="AL186" s="387"/>
      <c r="AM186" s="387"/>
      <c r="AN186" s="387"/>
      <c r="AO186" s="387"/>
      <c r="AP186" s="387"/>
      <c r="AQ186" s="387"/>
      <c r="AR186" s="387"/>
      <c r="AS186" s="387"/>
      <c r="AT186" s="387"/>
    </row>
    <row r="187">
      <c r="A187" s="385">
        <v>2017.0</v>
      </c>
      <c r="B187" s="395">
        <v>44820.9489131713</v>
      </c>
      <c r="C187" s="387" t="s">
        <v>667</v>
      </c>
      <c r="D187" s="385">
        <v>1.70001606E9</v>
      </c>
      <c r="E187" s="387" t="s">
        <v>3488</v>
      </c>
      <c r="F187" s="388" t="s">
        <v>669</v>
      </c>
      <c r="G187" s="387" t="s">
        <v>3489</v>
      </c>
      <c r="H187" s="389">
        <v>44669.0</v>
      </c>
      <c r="I187" s="389">
        <v>44453.0</v>
      </c>
      <c r="J187" s="387" t="s">
        <v>399</v>
      </c>
      <c r="K187" s="387" t="s">
        <v>2379</v>
      </c>
      <c r="L187" s="387" t="s">
        <v>183</v>
      </c>
      <c r="M187" s="390"/>
      <c r="N187" s="390"/>
      <c r="O187" s="390"/>
      <c r="P187" s="390"/>
      <c r="Q187" s="390"/>
      <c r="R187" s="390"/>
      <c r="S187" s="387" t="s">
        <v>3490</v>
      </c>
      <c r="T187" s="387" t="s">
        <v>2379</v>
      </c>
      <c r="U187" s="387" t="s">
        <v>3013</v>
      </c>
      <c r="V187" s="387" t="s">
        <v>241</v>
      </c>
      <c r="W187" s="394">
        <v>44835.0</v>
      </c>
      <c r="X187" s="387" t="s">
        <v>3491</v>
      </c>
      <c r="Y187" s="408"/>
      <c r="Z187" s="390"/>
      <c r="AA187" s="387"/>
      <c r="AB187" s="341" t="s">
        <v>316</v>
      </c>
      <c r="AC187" s="387"/>
      <c r="AD187" s="387"/>
      <c r="AE187" s="387"/>
      <c r="AF187" s="387"/>
      <c r="AG187" s="387"/>
      <c r="AH187" s="387"/>
      <c r="AI187" s="387"/>
      <c r="AJ187" s="387"/>
      <c r="AK187" s="387"/>
      <c r="AL187" s="387"/>
      <c r="AM187" s="387"/>
      <c r="AN187" s="387"/>
      <c r="AO187" s="387"/>
      <c r="AP187" s="387"/>
      <c r="AQ187" s="387"/>
      <c r="AR187" s="387"/>
      <c r="AS187" s="387"/>
      <c r="AT187" s="387"/>
    </row>
    <row r="188">
      <c r="A188" s="385">
        <v>2016.0</v>
      </c>
      <c r="B188" s="395">
        <v>44819.61813953704</v>
      </c>
      <c r="C188" s="387" t="s">
        <v>739</v>
      </c>
      <c r="D188" s="385">
        <v>1.600016094E9</v>
      </c>
      <c r="E188" s="387" t="s">
        <v>740</v>
      </c>
      <c r="F188" s="388" t="s">
        <v>741</v>
      </c>
      <c r="G188" s="387" t="s">
        <v>3492</v>
      </c>
      <c r="H188" s="389">
        <v>44519.0</v>
      </c>
      <c r="I188" s="389">
        <v>44622.0</v>
      </c>
      <c r="J188" s="387" t="s">
        <v>399</v>
      </c>
      <c r="K188" s="387" t="s">
        <v>117</v>
      </c>
      <c r="L188" s="387" t="s">
        <v>1900</v>
      </c>
      <c r="M188" s="390"/>
      <c r="N188" s="390"/>
      <c r="O188" s="390"/>
      <c r="P188" s="390"/>
      <c r="Q188" s="390"/>
      <c r="R188" s="390"/>
      <c r="S188" s="387" t="s">
        <v>3493</v>
      </c>
      <c r="T188" s="387" t="s">
        <v>117</v>
      </c>
      <c r="U188" s="387" t="s">
        <v>1900</v>
      </c>
      <c r="V188" s="387" t="s">
        <v>703</v>
      </c>
      <c r="W188" s="394">
        <v>44833.0</v>
      </c>
      <c r="X188" s="387" t="s">
        <v>3424</v>
      </c>
      <c r="Y188" s="408"/>
      <c r="Z188" s="390"/>
      <c r="AA188" s="387"/>
      <c r="AB188" s="341" t="s">
        <v>316</v>
      </c>
      <c r="AC188" s="387"/>
      <c r="AD188" s="387"/>
      <c r="AE188" s="387"/>
      <c r="AF188" s="387"/>
      <c r="AG188" s="387"/>
      <c r="AH188" s="387"/>
      <c r="AI188" s="387"/>
      <c r="AJ188" s="387"/>
      <c r="AK188" s="387"/>
      <c r="AL188" s="387"/>
      <c r="AM188" s="387"/>
      <c r="AN188" s="387"/>
      <c r="AO188" s="387"/>
      <c r="AP188" s="387"/>
      <c r="AQ188" s="387"/>
      <c r="AR188" s="387"/>
      <c r="AS188" s="387"/>
      <c r="AT188" s="387"/>
    </row>
    <row r="189">
      <c r="A189" s="385">
        <v>2018.0</v>
      </c>
      <c r="B189" s="395">
        <v>44828.507138125</v>
      </c>
      <c r="C189" s="387" t="s">
        <v>891</v>
      </c>
      <c r="D189" s="385">
        <v>1.800016161E9</v>
      </c>
      <c r="E189" s="387" t="s">
        <v>892</v>
      </c>
      <c r="F189" s="388" t="s">
        <v>893</v>
      </c>
      <c r="G189" s="387" t="s">
        <v>3494</v>
      </c>
      <c r="H189" s="389">
        <v>44487.0</v>
      </c>
      <c r="I189" s="389">
        <v>44702.0</v>
      </c>
      <c r="J189" s="387" t="s">
        <v>399</v>
      </c>
      <c r="K189" s="387" t="s">
        <v>1900</v>
      </c>
      <c r="L189" s="387" t="s">
        <v>3062</v>
      </c>
      <c r="M189" s="390"/>
      <c r="N189" s="390"/>
      <c r="O189" s="390"/>
      <c r="P189" s="390"/>
      <c r="Q189" s="390"/>
      <c r="R189" s="390"/>
      <c r="S189" s="387" t="s">
        <v>3495</v>
      </c>
      <c r="T189" s="387" t="s">
        <v>1900</v>
      </c>
      <c r="U189" s="387" t="s">
        <v>3062</v>
      </c>
      <c r="V189" s="387" t="s">
        <v>703</v>
      </c>
      <c r="W189" s="394">
        <v>44833.0</v>
      </c>
      <c r="X189" s="387" t="s">
        <v>3441</v>
      </c>
      <c r="Y189" s="408"/>
      <c r="Z189" s="390"/>
      <c r="AA189" s="387"/>
      <c r="AB189" s="341" t="s">
        <v>316</v>
      </c>
      <c r="AC189" s="387"/>
      <c r="AD189" s="387"/>
      <c r="AE189" s="387"/>
      <c r="AF189" s="387"/>
      <c r="AG189" s="387"/>
      <c r="AH189" s="387"/>
      <c r="AI189" s="387"/>
      <c r="AJ189" s="387"/>
      <c r="AK189" s="387"/>
      <c r="AL189" s="387"/>
      <c r="AM189" s="387"/>
      <c r="AN189" s="387"/>
      <c r="AO189" s="387"/>
      <c r="AP189" s="387"/>
      <c r="AQ189" s="387"/>
      <c r="AR189" s="387"/>
      <c r="AS189" s="387"/>
      <c r="AT189" s="387"/>
    </row>
    <row r="190">
      <c r="A190" s="385">
        <v>2018.0</v>
      </c>
      <c r="B190" s="395">
        <v>44828.83634902778</v>
      </c>
      <c r="C190" s="387" t="s">
        <v>900</v>
      </c>
      <c r="D190" s="385">
        <v>1.800016147E9</v>
      </c>
      <c r="E190" s="387" t="s">
        <v>901</v>
      </c>
      <c r="F190" s="388" t="s">
        <v>902</v>
      </c>
      <c r="G190" s="387" t="s">
        <v>903</v>
      </c>
      <c r="H190" s="389">
        <v>44487.0</v>
      </c>
      <c r="I190" s="389">
        <v>44702.0</v>
      </c>
      <c r="J190" s="387" t="s">
        <v>399</v>
      </c>
      <c r="K190" s="387" t="s">
        <v>1900</v>
      </c>
      <c r="L190" s="387" t="s">
        <v>3062</v>
      </c>
      <c r="M190" s="390"/>
      <c r="N190" s="390"/>
      <c r="O190" s="390"/>
      <c r="P190" s="390"/>
      <c r="Q190" s="390"/>
      <c r="R190" s="390"/>
      <c r="S190" s="387" t="s">
        <v>3496</v>
      </c>
      <c r="T190" s="387" t="s">
        <v>1900</v>
      </c>
      <c r="U190" s="387" t="s">
        <v>3062</v>
      </c>
      <c r="V190" s="387" t="s">
        <v>703</v>
      </c>
      <c r="W190" s="409">
        <v>44834.0</v>
      </c>
      <c r="X190" s="387" t="s">
        <v>3497</v>
      </c>
      <c r="Y190" s="408"/>
      <c r="Z190" s="390"/>
      <c r="AA190" s="387"/>
      <c r="AB190" s="341" t="s">
        <v>316</v>
      </c>
      <c r="AC190" s="387"/>
      <c r="AD190" s="387"/>
      <c r="AE190" s="387"/>
      <c r="AF190" s="387"/>
      <c r="AG190" s="387"/>
      <c r="AH190" s="387"/>
      <c r="AI190" s="387"/>
      <c r="AJ190" s="387"/>
      <c r="AK190" s="387"/>
      <c r="AL190" s="387"/>
      <c r="AM190" s="387"/>
      <c r="AN190" s="387"/>
      <c r="AO190" s="387"/>
      <c r="AP190" s="387"/>
      <c r="AQ190" s="387"/>
      <c r="AR190" s="387"/>
      <c r="AS190" s="387"/>
      <c r="AT190" s="387"/>
    </row>
    <row r="191">
      <c r="A191" s="385">
        <v>2018.0</v>
      </c>
      <c r="B191" s="395">
        <v>44831.93316721065</v>
      </c>
      <c r="C191" s="387" t="s">
        <v>860</v>
      </c>
      <c r="D191" s="385">
        <v>1.800016146E9</v>
      </c>
      <c r="E191" s="387" t="s">
        <v>861</v>
      </c>
      <c r="F191" s="388" t="s">
        <v>862</v>
      </c>
      <c r="G191" s="387" t="s">
        <v>3498</v>
      </c>
      <c r="H191" s="389">
        <v>44507.0</v>
      </c>
      <c r="I191" s="389">
        <v>44658.0</v>
      </c>
      <c r="J191" s="387" t="s">
        <v>399</v>
      </c>
      <c r="K191" s="387" t="s">
        <v>3062</v>
      </c>
      <c r="L191" s="387" t="s">
        <v>703</v>
      </c>
      <c r="M191" s="390"/>
      <c r="N191" s="390"/>
      <c r="O191" s="390"/>
      <c r="P191" s="390"/>
      <c r="Q191" s="390"/>
      <c r="R191" s="390"/>
      <c r="S191" s="387" t="s">
        <v>3499</v>
      </c>
      <c r="T191" s="387" t="s">
        <v>3062</v>
      </c>
      <c r="U191" s="387" t="s">
        <v>703</v>
      </c>
      <c r="V191" s="387" t="s">
        <v>2951</v>
      </c>
      <c r="W191" s="394">
        <v>44868.0</v>
      </c>
      <c r="X191" s="410" t="s">
        <v>3331</v>
      </c>
      <c r="Y191" s="408"/>
      <c r="Z191" s="390"/>
      <c r="AA191" s="387"/>
      <c r="AB191" s="341" t="s">
        <v>316</v>
      </c>
      <c r="AC191" s="387"/>
      <c r="AD191" s="387"/>
      <c r="AE191" s="387"/>
      <c r="AF191" s="387"/>
      <c r="AG191" s="387"/>
      <c r="AH191" s="387"/>
      <c r="AI191" s="387"/>
      <c r="AJ191" s="387"/>
      <c r="AK191" s="387"/>
      <c r="AL191" s="387"/>
      <c r="AM191" s="387"/>
      <c r="AN191" s="387"/>
      <c r="AO191" s="387"/>
      <c r="AP191" s="387"/>
      <c r="AQ191" s="387"/>
      <c r="AR191" s="387"/>
      <c r="AS191" s="387"/>
      <c r="AT191" s="387"/>
    </row>
    <row r="192">
      <c r="A192" s="385">
        <v>2017.0</v>
      </c>
      <c r="B192" s="395">
        <v>44860.280210462966</v>
      </c>
      <c r="C192" s="387" t="s">
        <v>631</v>
      </c>
      <c r="D192" s="385">
        <v>1.700016068E9</v>
      </c>
      <c r="E192" s="387" t="s">
        <v>632</v>
      </c>
      <c r="F192" s="388" t="s">
        <v>633</v>
      </c>
      <c r="G192" s="387" t="s">
        <v>634</v>
      </c>
      <c r="H192" s="389">
        <v>44470.0</v>
      </c>
      <c r="I192" s="389">
        <v>44378.0</v>
      </c>
      <c r="J192" s="387" t="s">
        <v>399</v>
      </c>
      <c r="K192" s="387" t="s">
        <v>1900</v>
      </c>
      <c r="L192" s="387" t="s">
        <v>3062</v>
      </c>
      <c r="M192" s="390"/>
      <c r="N192" s="390"/>
      <c r="O192" s="390"/>
      <c r="P192" s="390"/>
      <c r="Q192" s="390"/>
      <c r="R192" s="390"/>
      <c r="S192" s="387" t="s">
        <v>3500</v>
      </c>
      <c r="T192" s="387" t="s">
        <v>1900</v>
      </c>
      <c r="U192" s="387" t="s">
        <v>3062</v>
      </c>
      <c r="V192" s="387" t="s">
        <v>703</v>
      </c>
      <c r="W192" s="394">
        <v>44869.0</v>
      </c>
      <c r="X192" s="410" t="s">
        <v>3331</v>
      </c>
      <c r="Y192" s="408"/>
      <c r="Z192" s="390"/>
      <c r="AA192" s="387"/>
      <c r="AB192" s="341" t="s">
        <v>316</v>
      </c>
      <c r="AC192" s="387"/>
      <c r="AD192" s="387"/>
      <c r="AE192" s="387"/>
      <c r="AF192" s="387"/>
      <c r="AG192" s="387"/>
      <c r="AH192" s="387"/>
      <c r="AI192" s="387"/>
      <c r="AJ192" s="387"/>
      <c r="AK192" s="387"/>
      <c r="AL192" s="387"/>
      <c r="AM192" s="387"/>
      <c r="AN192" s="387"/>
      <c r="AO192" s="387"/>
      <c r="AP192" s="387"/>
      <c r="AQ192" s="387"/>
      <c r="AR192" s="387"/>
      <c r="AS192" s="387"/>
      <c r="AT192" s="387"/>
    </row>
    <row r="193">
      <c r="A193" s="385">
        <v>2018.0</v>
      </c>
      <c r="B193" s="395">
        <v>44866.46805836806</v>
      </c>
      <c r="C193" s="387" t="s">
        <v>1020</v>
      </c>
      <c r="D193" s="385">
        <v>1.800016013E9</v>
      </c>
      <c r="E193" s="387" t="s">
        <v>1021</v>
      </c>
      <c r="F193" s="388" t="s">
        <v>1022</v>
      </c>
      <c r="G193" s="387" t="s">
        <v>1023</v>
      </c>
      <c r="H193" s="389">
        <v>44635.0</v>
      </c>
      <c r="I193" s="389">
        <v>44750.0</v>
      </c>
      <c r="J193" s="387" t="s">
        <v>399</v>
      </c>
      <c r="K193" s="387" t="s">
        <v>3013</v>
      </c>
      <c r="L193" s="387" t="s">
        <v>2379</v>
      </c>
      <c r="M193" s="390"/>
      <c r="N193" s="390"/>
      <c r="O193" s="390"/>
      <c r="P193" s="390"/>
      <c r="Q193" s="390"/>
      <c r="R193" s="390"/>
      <c r="S193" s="387" t="s">
        <v>3501</v>
      </c>
      <c r="T193" s="387" t="s">
        <v>3013</v>
      </c>
      <c r="U193" s="387" t="s">
        <v>2379</v>
      </c>
      <c r="V193" s="387" t="s">
        <v>2951</v>
      </c>
      <c r="W193" s="394">
        <v>44879.0</v>
      </c>
      <c r="X193" s="387" t="s">
        <v>3502</v>
      </c>
      <c r="Y193" s="408"/>
      <c r="Z193" s="396"/>
      <c r="AA193" s="387"/>
      <c r="AB193" s="341" t="s">
        <v>316</v>
      </c>
      <c r="AC193" s="387"/>
      <c r="AD193" s="387"/>
      <c r="AE193" s="387"/>
      <c r="AF193" s="387"/>
      <c r="AG193" s="387"/>
      <c r="AH193" s="387"/>
      <c r="AI193" s="387"/>
      <c r="AJ193" s="387"/>
      <c r="AK193" s="387"/>
      <c r="AL193" s="387"/>
      <c r="AM193" s="387"/>
      <c r="AN193" s="387"/>
      <c r="AO193" s="387"/>
      <c r="AP193" s="387"/>
      <c r="AQ193" s="387"/>
      <c r="AR193" s="387"/>
      <c r="AS193" s="387"/>
      <c r="AT193" s="387"/>
    </row>
    <row r="194">
      <c r="A194" s="385">
        <v>2018.0</v>
      </c>
      <c r="B194" s="395">
        <v>44872.356182662035</v>
      </c>
      <c r="C194" s="387" t="s">
        <v>938</v>
      </c>
      <c r="D194" s="385">
        <v>1.800016017E9</v>
      </c>
      <c r="E194" s="387" t="s">
        <v>939</v>
      </c>
      <c r="F194" s="388" t="s">
        <v>940</v>
      </c>
      <c r="G194" s="387" t="s">
        <v>3503</v>
      </c>
      <c r="H194" s="389">
        <v>44494.0</v>
      </c>
      <c r="I194" s="389">
        <v>44711.0</v>
      </c>
      <c r="J194" s="387" t="s">
        <v>399</v>
      </c>
      <c r="K194" s="387" t="s">
        <v>1900</v>
      </c>
      <c r="L194" s="387" t="s">
        <v>703</v>
      </c>
      <c r="M194" s="390"/>
      <c r="N194" s="390"/>
      <c r="O194" s="390"/>
      <c r="P194" s="390"/>
      <c r="Q194" s="390"/>
      <c r="R194" s="390"/>
      <c r="S194" s="387" t="s">
        <v>3504</v>
      </c>
      <c r="T194" s="387" t="s">
        <v>1900</v>
      </c>
      <c r="U194" s="387" t="s">
        <v>703</v>
      </c>
      <c r="V194" s="387" t="s">
        <v>117</v>
      </c>
      <c r="W194" s="394">
        <v>44879.0</v>
      </c>
      <c r="X194" s="387" t="s">
        <v>3345</v>
      </c>
      <c r="Y194" s="408"/>
      <c r="Z194" s="396"/>
      <c r="AA194" s="387"/>
      <c r="AB194" s="341" t="s">
        <v>316</v>
      </c>
      <c r="AC194" s="387"/>
      <c r="AD194" s="387"/>
      <c r="AE194" s="387"/>
      <c r="AF194" s="387"/>
      <c r="AG194" s="387"/>
      <c r="AH194" s="387"/>
      <c r="AI194" s="387"/>
      <c r="AJ194" s="387"/>
      <c r="AK194" s="387"/>
      <c r="AL194" s="387"/>
      <c r="AM194" s="387"/>
      <c r="AN194" s="387"/>
      <c r="AO194" s="387"/>
      <c r="AP194" s="387"/>
      <c r="AQ194" s="387"/>
      <c r="AR194" s="387"/>
      <c r="AS194" s="387"/>
      <c r="AT194" s="387"/>
    </row>
    <row r="195">
      <c r="A195" s="385">
        <v>2017.0</v>
      </c>
      <c r="B195" s="395">
        <v>44873.4521107176</v>
      </c>
      <c r="C195" s="387" t="s">
        <v>856</v>
      </c>
      <c r="D195" s="385">
        <v>1.700016065E9</v>
      </c>
      <c r="E195" s="387" t="s">
        <v>857</v>
      </c>
      <c r="F195" s="388" t="s">
        <v>858</v>
      </c>
      <c r="G195" s="387" t="s">
        <v>3505</v>
      </c>
      <c r="H195" s="389">
        <v>44321.0</v>
      </c>
      <c r="I195" s="389">
        <v>44658.0</v>
      </c>
      <c r="J195" s="387" t="s">
        <v>399</v>
      </c>
      <c r="K195" s="387" t="s">
        <v>117</v>
      </c>
      <c r="L195" s="387" t="s">
        <v>1900</v>
      </c>
      <c r="M195" s="390"/>
      <c r="N195" s="390"/>
      <c r="O195" s="390"/>
      <c r="P195" s="390"/>
      <c r="Q195" s="390"/>
      <c r="R195" s="390"/>
      <c r="S195" s="387" t="s">
        <v>3506</v>
      </c>
      <c r="T195" s="387" t="s">
        <v>117</v>
      </c>
      <c r="U195" s="387" t="s">
        <v>1900</v>
      </c>
      <c r="V195" s="387" t="s">
        <v>703</v>
      </c>
      <c r="W195" s="394">
        <v>44880.0</v>
      </c>
      <c r="X195" s="387" t="s">
        <v>3502</v>
      </c>
      <c r="Y195" s="408"/>
      <c r="Z195" s="396"/>
      <c r="AA195" s="387"/>
      <c r="AB195" s="341" t="s">
        <v>316</v>
      </c>
      <c r="AC195" s="387"/>
      <c r="AD195" s="387"/>
      <c r="AE195" s="387"/>
      <c r="AF195" s="387"/>
      <c r="AG195" s="387"/>
      <c r="AH195" s="387"/>
      <c r="AI195" s="387"/>
      <c r="AJ195" s="387"/>
      <c r="AK195" s="387"/>
      <c r="AL195" s="387"/>
      <c r="AM195" s="387"/>
      <c r="AN195" s="387"/>
      <c r="AO195" s="387"/>
      <c r="AP195" s="387"/>
      <c r="AQ195" s="387"/>
      <c r="AR195" s="387"/>
      <c r="AS195" s="387"/>
      <c r="AT195" s="387"/>
    </row>
    <row r="196">
      <c r="A196" s="385">
        <v>2018.0</v>
      </c>
      <c r="B196" s="395">
        <v>44889.35788384259</v>
      </c>
      <c r="C196" s="387" t="s">
        <v>1079</v>
      </c>
      <c r="D196" s="385">
        <v>1.8000161E9</v>
      </c>
      <c r="E196" s="387" t="s">
        <v>1080</v>
      </c>
      <c r="F196" s="388" t="s">
        <v>1081</v>
      </c>
      <c r="G196" s="387" t="s">
        <v>3507</v>
      </c>
      <c r="H196" s="389">
        <v>44713.0</v>
      </c>
      <c r="I196" s="389">
        <v>44804.0</v>
      </c>
      <c r="J196" s="387" t="s">
        <v>399</v>
      </c>
      <c r="K196" s="387" t="s">
        <v>241</v>
      </c>
      <c r="L196" s="387" t="s">
        <v>703</v>
      </c>
      <c r="M196" s="390"/>
      <c r="N196" s="390"/>
      <c r="O196" s="390"/>
      <c r="P196" s="390"/>
      <c r="Q196" s="390"/>
      <c r="R196" s="390"/>
      <c r="S196" s="387" t="s">
        <v>3508</v>
      </c>
      <c r="T196" s="387" t="s">
        <v>241</v>
      </c>
      <c r="U196" s="387" t="s">
        <v>703</v>
      </c>
      <c r="V196" s="387" t="s">
        <v>2951</v>
      </c>
      <c r="W196" s="394">
        <v>44894.0</v>
      </c>
      <c r="X196" s="387" t="s">
        <v>3345</v>
      </c>
      <c r="Y196" s="408"/>
      <c r="Z196" s="390"/>
      <c r="AA196" s="387"/>
      <c r="AB196" s="341" t="s">
        <v>316</v>
      </c>
      <c r="AC196" s="387"/>
      <c r="AD196" s="387"/>
      <c r="AE196" s="387"/>
      <c r="AF196" s="387"/>
      <c r="AG196" s="387"/>
      <c r="AH196" s="387"/>
      <c r="AI196" s="387"/>
      <c r="AJ196" s="387"/>
      <c r="AK196" s="387"/>
      <c r="AL196" s="387"/>
      <c r="AM196" s="387"/>
      <c r="AN196" s="387"/>
      <c r="AO196" s="387"/>
      <c r="AP196" s="387"/>
      <c r="AQ196" s="387"/>
      <c r="AR196" s="387"/>
      <c r="AS196" s="387"/>
      <c r="AT196" s="387"/>
    </row>
    <row r="197">
      <c r="A197" s="385">
        <v>2016.0</v>
      </c>
      <c r="B197" s="395">
        <v>44892.59415971064</v>
      </c>
      <c r="C197" s="387" t="s">
        <v>695</v>
      </c>
      <c r="D197" s="385">
        <v>1.600016104E9</v>
      </c>
      <c r="E197" s="387" t="s">
        <v>3509</v>
      </c>
      <c r="F197" s="385">
        <v>6.282288137252E12</v>
      </c>
      <c r="G197" s="387" t="s">
        <v>3510</v>
      </c>
      <c r="H197" s="389">
        <v>44513.0</v>
      </c>
      <c r="I197" s="389">
        <v>44513.0</v>
      </c>
      <c r="J197" s="387" t="s">
        <v>399</v>
      </c>
      <c r="K197" s="387" t="s">
        <v>2379</v>
      </c>
      <c r="L197" s="387" t="s">
        <v>703</v>
      </c>
      <c r="M197" s="390"/>
      <c r="N197" s="390"/>
      <c r="O197" s="390"/>
      <c r="P197" s="390"/>
      <c r="Q197" s="390"/>
      <c r="R197" s="390"/>
      <c r="S197" s="387" t="s">
        <v>3511</v>
      </c>
      <c r="T197" s="387" t="s">
        <v>2379</v>
      </c>
      <c r="U197" s="387" t="s">
        <v>703</v>
      </c>
      <c r="V197" s="387" t="s">
        <v>2951</v>
      </c>
      <c r="W197" s="411">
        <v>44901.0</v>
      </c>
      <c r="X197" s="410" t="s">
        <v>3345</v>
      </c>
      <c r="Y197" s="408"/>
      <c r="Z197" s="390"/>
      <c r="AA197" s="387"/>
      <c r="AB197" s="341" t="s">
        <v>316</v>
      </c>
      <c r="AC197" s="387"/>
      <c r="AD197" s="387"/>
      <c r="AE197" s="387"/>
      <c r="AF197" s="387"/>
      <c r="AG197" s="387"/>
      <c r="AH197" s="387"/>
      <c r="AI197" s="387"/>
      <c r="AJ197" s="387"/>
      <c r="AK197" s="387"/>
      <c r="AL197" s="387"/>
      <c r="AM197" s="387"/>
      <c r="AN197" s="387"/>
      <c r="AO197" s="387"/>
      <c r="AP197" s="387"/>
      <c r="AQ197" s="387"/>
      <c r="AR197" s="387"/>
      <c r="AS197" s="387"/>
      <c r="AT197" s="387"/>
    </row>
    <row r="198">
      <c r="A198" s="385">
        <v>2017.0</v>
      </c>
      <c r="B198" s="395">
        <v>44897.38933355324</v>
      </c>
      <c r="C198" s="387" t="s">
        <v>763</v>
      </c>
      <c r="D198" s="385">
        <v>1.700016114E9</v>
      </c>
      <c r="E198" s="387" t="s">
        <v>764</v>
      </c>
      <c r="F198" s="388" t="s">
        <v>765</v>
      </c>
      <c r="G198" s="387" t="s">
        <v>3512</v>
      </c>
      <c r="H198" s="389">
        <v>44420.0</v>
      </c>
      <c r="I198" s="389">
        <v>44635.0</v>
      </c>
      <c r="J198" s="387" t="s">
        <v>399</v>
      </c>
      <c r="K198" s="387" t="s">
        <v>117</v>
      </c>
      <c r="L198" s="387" t="s">
        <v>1900</v>
      </c>
      <c r="M198" s="390"/>
      <c r="N198" s="390"/>
      <c r="O198" s="390"/>
      <c r="P198" s="390"/>
      <c r="Q198" s="390"/>
      <c r="R198" s="390"/>
      <c r="S198" s="387" t="s">
        <v>3513</v>
      </c>
      <c r="T198" s="387" t="s">
        <v>117</v>
      </c>
      <c r="U198" s="387" t="s">
        <v>1900</v>
      </c>
      <c r="V198" s="387" t="s">
        <v>703</v>
      </c>
      <c r="W198" s="411">
        <v>44904.0</v>
      </c>
      <c r="X198" s="387" t="s">
        <v>3373</v>
      </c>
      <c r="Y198" s="408"/>
      <c r="Z198" s="390"/>
      <c r="AA198" s="387"/>
      <c r="AB198" s="341" t="s">
        <v>316</v>
      </c>
      <c r="AC198" s="387"/>
      <c r="AD198" s="387"/>
      <c r="AE198" s="387"/>
      <c r="AF198" s="387"/>
      <c r="AG198" s="387"/>
      <c r="AH198" s="387"/>
      <c r="AI198" s="387"/>
      <c r="AJ198" s="387"/>
      <c r="AK198" s="387"/>
      <c r="AL198" s="387"/>
      <c r="AM198" s="387"/>
      <c r="AN198" s="387"/>
      <c r="AO198" s="387"/>
      <c r="AP198" s="387"/>
      <c r="AQ198" s="387"/>
      <c r="AR198" s="387"/>
      <c r="AS198" s="387"/>
      <c r="AT198" s="387"/>
    </row>
    <row r="199">
      <c r="A199" s="385">
        <v>2018.0</v>
      </c>
      <c r="B199" s="395">
        <v>44898.89440356482</v>
      </c>
      <c r="C199" s="387" t="s">
        <v>996</v>
      </c>
      <c r="D199" s="385">
        <v>1.800016085E9</v>
      </c>
      <c r="E199" s="387" t="s">
        <v>997</v>
      </c>
      <c r="F199" s="388" t="s">
        <v>998</v>
      </c>
      <c r="G199" s="387" t="s">
        <v>3514</v>
      </c>
      <c r="H199" s="389">
        <v>44770.0</v>
      </c>
      <c r="I199" s="389">
        <v>44743.0</v>
      </c>
      <c r="J199" s="387" t="s">
        <v>399</v>
      </c>
      <c r="K199" s="387" t="s">
        <v>117</v>
      </c>
      <c r="L199" s="387" t="s">
        <v>703</v>
      </c>
      <c r="M199" s="390"/>
      <c r="N199" s="390"/>
      <c r="O199" s="390"/>
      <c r="P199" s="390"/>
      <c r="Q199" s="390"/>
      <c r="R199" s="390"/>
      <c r="S199" s="387" t="s">
        <v>3515</v>
      </c>
      <c r="T199" s="387" t="s">
        <v>117</v>
      </c>
      <c r="U199" s="387" t="s">
        <v>703</v>
      </c>
      <c r="V199" s="387" t="s">
        <v>2951</v>
      </c>
      <c r="W199" s="411">
        <v>44904.0</v>
      </c>
      <c r="X199" s="387" t="s">
        <v>3516</v>
      </c>
      <c r="Y199" s="408"/>
      <c r="Z199" s="390"/>
      <c r="AA199" s="387"/>
      <c r="AB199" s="341" t="s">
        <v>316</v>
      </c>
      <c r="AC199" s="387"/>
      <c r="AD199" s="387"/>
      <c r="AE199" s="387"/>
      <c r="AF199" s="387"/>
      <c r="AG199" s="387"/>
      <c r="AH199" s="387"/>
      <c r="AI199" s="387"/>
      <c r="AJ199" s="387"/>
      <c r="AK199" s="387"/>
      <c r="AL199" s="387"/>
      <c r="AM199" s="387"/>
      <c r="AN199" s="387"/>
      <c r="AO199" s="387"/>
      <c r="AP199" s="387"/>
      <c r="AQ199" s="387"/>
      <c r="AR199" s="387"/>
      <c r="AS199" s="387"/>
      <c r="AT199" s="387"/>
    </row>
    <row r="200">
      <c r="A200" s="385">
        <v>2018.0</v>
      </c>
      <c r="B200" s="395">
        <v>44902.9542837037</v>
      </c>
      <c r="C200" s="387" t="s">
        <v>963</v>
      </c>
      <c r="D200" s="385">
        <v>1.800016063E9</v>
      </c>
      <c r="E200" s="387" t="s">
        <v>964</v>
      </c>
      <c r="F200" s="388" t="s">
        <v>965</v>
      </c>
      <c r="G200" s="387" t="s">
        <v>966</v>
      </c>
      <c r="H200" s="389">
        <v>44737.0</v>
      </c>
      <c r="I200" s="389">
        <v>44736.0</v>
      </c>
      <c r="J200" s="387" t="s">
        <v>399</v>
      </c>
      <c r="K200" s="387" t="s">
        <v>117</v>
      </c>
      <c r="L200" s="387" t="s">
        <v>1900</v>
      </c>
      <c r="M200" s="390"/>
      <c r="N200" s="390"/>
      <c r="O200" s="390"/>
      <c r="P200" s="390"/>
      <c r="Q200" s="390"/>
      <c r="R200" s="390"/>
      <c r="S200" s="387" t="s">
        <v>3517</v>
      </c>
      <c r="T200" s="387" t="s">
        <v>117</v>
      </c>
      <c r="U200" s="387" t="s">
        <v>1900</v>
      </c>
      <c r="V200" s="387" t="s">
        <v>183</v>
      </c>
      <c r="W200" s="394">
        <v>44910.0</v>
      </c>
      <c r="X200" s="387" t="s">
        <v>3345</v>
      </c>
      <c r="Y200" s="408"/>
      <c r="Z200" s="390"/>
      <c r="AA200" s="387"/>
      <c r="AB200" s="341" t="s">
        <v>316</v>
      </c>
      <c r="AC200" s="387"/>
      <c r="AD200" s="387"/>
      <c r="AE200" s="387"/>
      <c r="AF200" s="387"/>
      <c r="AG200" s="387"/>
      <c r="AH200" s="387"/>
      <c r="AI200" s="387"/>
      <c r="AJ200" s="387"/>
      <c r="AK200" s="387"/>
      <c r="AL200" s="387"/>
      <c r="AM200" s="387"/>
      <c r="AN200" s="387"/>
      <c r="AO200" s="387"/>
      <c r="AP200" s="387"/>
      <c r="AQ200" s="387"/>
      <c r="AR200" s="387"/>
      <c r="AS200" s="387"/>
      <c r="AT200" s="387"/>
    </row>
    <row r="201">
      <c r="A201" s="385">
        <v>2017.0</v>
      </c>
      <c r="B201" s="395">
        <v>44905.77611100694</v>
      </c>
      <c r="C201" s="387" t="s">
        <v>681</v>
      </c>
      <c r="D201" s="385">
        <v>1.700016034E9</v>
      </c>
      <c r="E201" s="387" t="s">
        <v>682</v>
      </c>
      <c r="F201" s="388" t="s">
        <v>683</v>
      </c>
      <c r="G201" s="387" t="s">
        <v>3518</v>
      </c>
      <c r="H201" s="389">
        <v>44044.0</v>
      </c>
      <c r="I201" s="389">
        <v>44481.0</v>
      </c>
      <c r="J201" s="387" t="s">
        <v>399</v>
      </c>
      <c r="K201" s="387" t="s">
        <v>183</v>
      </c>
      <c r="L201" s="387" t="s">
        <v>1900</v>
      </c>
      <c r="M201" s="390"/>
      <c r="N201" s="390"/>
      <c r="O201" s="390"/>
      <c r="P201" s="390"/>
      <c r="Q201" s="390"/>
      <c r="R201" s="390"/>
      <c r="S201" s="387" t="s">
        <v>3519</v>
      </c>
      <c r="T201" s="387" t="s">
        <v>183</v>
      </c>
      <c r="U201" s="387" t="s">
        <v>1900</v>
      </c>
      <c r="V201" s="387" t="s">
        <v>703</v>
      </c>
      <c r="W201" s="394">
        <v>44914.0</v>
      </c>
      <c r="X201" s="387" t="s">
        <v>3345</v>
      </c>
      <c r="Y201" s="408"/>
      <c r="Z201" s="396"/>
      <c r="AA201" s="387"/>
      <c r="AB201" s="341" t="s">
        <v>316</v>
      </c>
      <c r="AC201" s="387"/>
      <c r="AD201" s="387"/>
      <c r="AE201" s="387"/>
      <c r="AF201" s="387"/>
      <c r="AG201" s="387"/>
      <c r="AH201" s="387"/>
      <c r="AI201" s="387"/>
      <c r="AJ201" s="387"/>
      <c r="AK201" s="387"/>
      <c r="AL201" s="387"/>
      <c r="AM201" s="387"/>
      <c r="AN201" s="387"/>
      <c r="AO201" s="387"/>
      <c r="AP201" s="387"/>
      <c r="AQ201" s="387"/>
      <c r="AR201" s="387"/>
      <c r="AS201" s="387"/>
      <c r="AT201" s="387"/>
    </row>
    <row r="202">
      <c r="A202" s="385">
        <v>2018.0</v>
      </c>
      <c r="B202" s="395">
        <v>44912.48585591435</v>
      </c>
      <c r="C202" s="387" t="s">
        <v>946</v>
      </c>
      <c r="D202" s="385">
        <v>1.80001609E9</v>
      </c>
      <c r="E202" s="387" t="s">
        <v>947</v>
      </c>
      <c r="F202" s="388" t="s">
        <v>948</v>
      </c>
      <c r="G202" s="387" t="s">
        <v>949</v>
      </c>
      <c r="H202" s="389">
        <v>44594.0</v>
      </c>
      <c r="I202" s="389">
        <v>44732.0</v>
      </c>
      <c r="J202" s="387" t="s">
        <v>399</v>
      </c>
      <c r="K202" s="387" t="s">
        <v>241</v>
      </c>
      <c r="L202" s="387" t="s">
        <v>230</v>
      </c>
      <c r="M202" s="390"/>
      <c r="N202" s="390"/>
      <c r="O202" s="390"/>
      <c r="P202" s="390"/>
      <c r="Q202" s="390"/>
      <c r="R202" s="390"/>
      <c r="S202" s="387" t="s">
        <v>3520</v>
      </c>
      <c r="T202" s="387" t="s">
        <v>241</v>
      </c>
      <c r="U202" s="387" t="s">
        <v>230</v>
      </c>
      <c r="V202" s="387" t="s">
        <v>117</v>
      </c>
      <c r="W202" s="394">
        <v>44922.0</v>
      </c>
      <c r="X202" s="387" t="s">
        <v>3334</v>
      </c>
      <c r="Y202" s="397" t="s">
        <v>3521</v>
      </c>
      <c r="Z202" s="390"/>
      <c r="AA202" s="387"/>
      <c r="AB202" s="341" t="s">
        <v>316</v>
      </c>
      <c r="AC202" s="387"/>
      <c r="AD202" s="387"/>
      <c r="AE202" s="387"/>
      <c r="AF202" s="387"/>
      <c r="AG202" s="387"/>
      <c r="AH202" s="387"/>
      <c r="AI202" s="387"/>
      <c r="AJ202" s="387"/>
      <c r="AK202" s="387"/>
      <c r="AL202" s="387"/>
      <c r="AM202" s="387"/>
      <c r="AN202" s="387"/>
      <c r="AO202" s="387"/>
      <c r="AP202" s="387"/>
      <c r="AQ202" s="387"/>
      <c r="AR202" s="387"/>
      <c r="AS202" s="387"/>
      <c r="AT202" s="387"/>
    </row>
    <row r="203">
      <c r="A203" s="385">
        <v>2018.0</v>
      </c>
      <c r="B203" s="395">
        <v>44912.85163824074</v>
      </c>
      <c r="C203" s="387" t="s">
        <v>1051</v>
      </c>
      <c r="D203" s="385">
        <v>1.800016071E9</v>
      </c>
      <c r="E203" s="387" t="s">
        <v>1052</v>
      </c>
      <c r="F203" s="388" t="s">
        <v>1053</v>
      </c>
      <c r="G203" s="387" t="s">
        <v>1054</v>
      </c>
      <c r="H203" s="389">
        <v>44466.0</v>
      </c>
      <c r="I203" s="389">
        <v>44762.0</v>
      </c>
      <c r="J203" s="387" t="s">
        <v>399</v>
      </c>
      <c r="K203" s="387" t="s">
        <v>241</v>
      </c>
      <c r="L203" s="387" t="s">
        <v>3013</v>
      </c>
      <c r="M203" s="390"/>
      <c r="N203" s="390"/>
      <c r="O203" s="390"/>
      <c r="P203" s="390"/>
      <c r="Q203" s="390"/>
      <c r="R203" s="390"/>
      <c r="S203" s="387" t="s">
        <v>3522</v>
      </c>
      <c r="T203" s="387" t="s">
        <v>241</v>
      </c>
      <c r="U203" s="387" t="s">
        <v>3013</v>
      </c>
      <c r="V203" s="387" t="s">
        <v>183</v>
      </c>
      <c r="W203" s="409">
        <v>44922.0</v>
      </c>
      <c r="X203" s="387" t="s">
        <v>3516</v>
      </c>
      <c r="Y203" s="397" t="s">
        <v>3521</v>
      </c>
      <c r="Z203" s="390"/>
      <c r="AA203" s="387"/>
      <c r="AB203" s="341" t="s">
        <v>316</v>
      </c>
      <c r="AC203" s="387"/>
      <c r="AD203" s="387"/>
      <c r="AE203" s="387"/>
      <c r="AF203" s="387"/>
      <c r="AG203" s="387"/>
      <c r="AH203" s="387"/>
      <c r="AI203" s="387"/>
      <c r="AJ203" s="387"/>
      <c r="AK203" s="387"/>
      <c r="AL203" s="387"/>
      <c r="AM203" s="387"/>
      <c r="AN203" s="387"/>
      <c r="AO203" s="387"/>
      <c r="AP203" s="387"/>
      <c r="AQ203" s="387"/>
      <c r="AR203" s="387"/>
      <c r="AS203" s="387"/>
      <c r="AT203" s="387"/>
    </row>
    <row r="204">
      <c r="A204" s="385">
        <v>2018.0</v>
      </c>
      <c r="B204" s="395">
        <v>44912.92160728009</v>
      </c>
      <c r="C204" s="387" t="s">
        <v>1005</v>
      </c>
      <c r="D204" s="385">
        <v>1.800016033E9</v>
      </c>
      <c r="E204" s="387" t="s">
        <v>1007</v>
      </c>
      <c r="F204" s="388" t="s">
        <v>1008</v>
      </c>
      <c r="G204" s="387" t="s">
        <v>1009</v>
      </c>
      <c r="H204" s="389">
        <v>44745.0</v>
      </c>
      <c r="I204" s="389">
        <v>44743.0</v>
      </c>
      <c r="J204" s="387" t="s">
        <v>399</v>
      </c>
      <c r="K204" s="387" t="s">
        <v>117</v>
      </c>
      <c r="L204" s="387" t="s">
        <v>1900</v>
      </c>
      <c r="M204" s="390"/>
      <c r="N204" s="390"/>
      <c r="O204" s="390"/>
      <c r="P204" s="390"/>
      <c r="Q204" s="390"/>
      <c r="R204" s="390"/>
      <c r="S204" s="387" t="s">
        <v>3523</v>
      </c>
      <c r="T204" s="387" t="s">
        <v>117</v>
      </c>
      <c r="U204" s="387" t="s">
        <v>1900</v>
      </c>
      <c r="V204" s="387" t="s">
        <v>703</v>
      </c>
      <c r="W204" s="394">
        <v>44922.0</v>
      </c>
      <c r="X204" s="387" t="s">
        <v>3524</v>
      </c>
      <c r="Y204" s="397" t="s">
        <v>1112</v>
      </c>
      <c r="Z204" s="390"/>
      <c r="AA204" s="387"/>
      <c r="AB204" s="341" t="s">
        <v>316</v>
      </c>
      <c r="AC204" s="387"/>
      <c r="AD204" s="387"/>
      <c r="AE204" s="387"/>
      <c r="AF204" s="387"/>
      <c r="AG204" s="387"/>
      <c r="AH204" s="387"/>
      <c r="AI204" s="387"/>
      <c r="AJ204" s="387"/>
      <c r="AK204" s="387"/>
      <c r="AL204" s="387"/>
      <c r="AM204" s="387"/>
      <c r="AN204" s="387"/>
      <c r="AO204" s="387"/>
      <c r="AP204" s="387"/>
      <c r="AQ204" s="387"/>
      <c r="AR204" s="387"/>
      <c r="AS204" s="387"/>
      <c r="AT204" s="387"/>
    </row>
    <row r="205">
      <c r="A205" s="385">
        <v>2018.0</v>
      </c>
      <c r="B205" s="395">
        <v>44915.689517280094</v>
      </c>
      <c r="C205" s="387" t="s">
        <v>3525</v>
      </c>
      <c r="D205" s="385">
        <v>1.800016159E9</v>
      </c>
      <c r="E205" s="387" t="s">
        <v>1025</v>
      </c>
      <c r="F205" s="388" t="s">
        <v>1026</v>
      </c>
      <c r="G205" s="387" t="s">
        <v>3526</v>
      </c>
      <c r="H205" s="389">
        <v>44581.0</v>
      </c>
      <c r="I205" s="389">
        <v>44749.0</v>
      </c>
      <c r="J205" s="387" t="s">
        <v>399</v>
      </c>
      <c r="K205" s="387" t="s">
        <v>117</v>
      </c>
      <c r="L205" s="387" t="s">
        <v>3062</v>
      </c>
      <c r="M205" s="390"/>
      <c r="N205" s="390"/>
      <c r="O205" s="390"/>
      <c r="P205" s="390"/>
      <c r="Q205" s="390"/>
      <c r="R205" s="390"/>
      <c r="S205" s="387" t="s">
        <v>3527</v>
      </c>
      <c r="T205" s="387" t="s">
        <v>117</v>
      </c>
      <c r="U205" s="387" t="s">
        <v>3062</v>
      </c>
      <c r="V205" s="387" t="s">
        <v>241</v>
      </c>
      <c r="W205" s="394">
        <v>44923.0</v>
      </c>
      <c r="X205" s="387" t="s">
        <v>3345</v>
      </c>
      <c r="Y205" s="397" t="s">
        <v>3528</v>
      </c>
      <c r="Z205" s="390"/>
      <c r="AA205" s="387"/>
      <c r="AB205" s="341" t="s">
        <v>316</v>
      </c>
      <c r="AC205" s="387"/>
      <c r="AD205" s="387"/>
      <c r="AE205" s="387"/>
      <c r="AF205" s="387"/>
      <c r="AG205" s="387"/>
      <c r="AH205" s="387"/>
      <c r="AI205" s="387"/>
      <c r="AJ205" s="387"/>
      <c r="AK205" s="387"/>
      <c r="AL205" s="387"/>
      <c r="AM205" s="387"/>
      <c r="AN205" s="387"/>
      <c r="AO205" s="387"/>
      <c r="AP205" s="387"/>
      <c r="AQ205" s="387"/>
      <c r="AR205" s="387"/>
      <c r="AS205" s="387"/>
      <c r="AT205" s="387"/>
    </row>
    <row r="206">
      <c r="A206" s="385">
        <v>2018.0</v>
      </c>
      <c r="B206" s="395">
        <v>44915.68953304398</v>
      </c>
      <c r="C206" s="387" t="s">
        <v>973</v>
      </c>
      <c r="D206" s="385">
        <v>1.80001613E9</v>
      </c>
      <c r="E206" s="387" t="s">
        <v>974</v>
      </c>
      <c r="F206" s="388" t="s">
        <v>975</v>
      </c>
      <c r="G206" s="387" t="s">
        <v>3529</v>
      </c>
      <c r="H206" s="389">
        <v>44586.0</v>
      </c>
      <c r="I206" s="389">
        <v>44736.0</v>
      </c>
      <c r="J206" s="387" t="s">
        <v>399</v>
      </c>
      <c r="K206" s="387" t="s">
        <v>117</v>
      </c>
      <c r="L206" s="387" t="s">
        <v>1900</v>
      </c>
      <c r="M206" s="390"/>
      <c r="N206" s="390"/>
      <c r="O206" s="390"/>
      <c r="P206" s="390"/>
      <c r="Q206" s="390"/>
      <c r="R206" s="390"/>
      <c r="S206" s="387" t="s">
        <v>3530</v>
      </c>
      <c r="T206" s="387" t="s">
        <v>117</v>
      </c>
      <c r="U206" s="387" t="s">
        <v>1900</v>
      </c>
      <c r="V206" s="387" t="s">
        <v>703</v>
      </c>
      <c r="W206" s="394">
        <v>44924.0</v>
      </c>
      <c r="X206" s="387" t="s">
        <v>3373</v>
      </c>
      <c r="Y206" s="397" t="s">
        <v>1112</v>
      </c>
      <c r="Z206" s="390"/>
      <c r="AA206" s="387"/>
      <c r="AB206" s="341" t="s">
        <v>316</v>
      </c>
      <c r="AC206" s="387"/>
      <c r="AD206" s="387"/>
      <c r="AE206" s="387"/>
      <c r="AF206" s="387"/>
      <c r="AG206" s="387"/>
      <c r="AH206" s="387"/>
      <c r="AI206" s="387"/>
      <c r="AJ206" s="387"/>
      <c r="AK206" s="387"/>
      <c r="AL206" s="387"/>
      <c r="AM206" s="387"/>
      <c r="AN206" s="387"/>
      <c r="AO206" s="387"/>
      <c r="AP206" s="387"/>
      <c r="AQ206" s="387"/>
      <c r="AR206" s="387"/>
      <c r="AS206" s="387"/>
      <c r="AT206" s="387"/>
    </row>
    <row r="207">
      <c r="A207" s="385">
        <v>2018.0</v>
      </c>
      <c r="B207" s="395">
        <v>44915.689585671294</v>
      </c>
      <c r="C207" s="387" t="s">
        <v>3531</v>
      </c>
      <c r="D207" s="385">
        <v>1.800016165E9</v>
      </c>
      <c r="E207" s="387" t="s">
        <v>979</v>
      </c>
      <c r="F207" s="388" t="s">
        <v>980</v>
      </c>
      <c r="G207" s="387" t="s">
        <v>3532</v>
      </c>
      <c r="H207" s="389">
        <v>44696.0</v>
      </c>
      <c r="I207" s="389">
        <v>44586.0</v>
      </c>
      <c r="J207" s="387" t="s">
        <v>399</v>
      </c>
      <c r="K207" s="387" t="s">
        <v>117</v>
      </c>
      <c r="L207" s="387" t="s">
        <v>1900</v>
      </c>
      <c r="M207" s="390"/>
      <c r="N207" s="390"/>
      <c r="O207" s="390"/>
      <c r="P207" s="390"/>
      <c r="Q207" s="390"/>
      <c r="R207" s="390"/>
      <c r="S207" s="387" t="s">
        <v>3533</v>
      </c>
      <c r="T207" s="387" t="s">
        <v>117</v>
      </c>
      <c r="U207" s="387" t="s">
        <v>1900</v>
      </c>
      <c r="V207" s="387" t="s">
        <v>183</v>
      </c>
      <c r="W207" s="394">
        <v>44924.0</v>
      </c>
      <c r="X207" s="387" t="s">
        <v>3345</v>
      </c>
      <c r="Y207" s="397" t="s">
        <v>3528</v>
      </c>
      <c r="Z207" s="390"/>
      <c r="AA207" s="387"/>
      <c r="AB207" s="341" t="s">
        <v>316</v>
      </c>
      <c r="AC207" s="387"/>
      <c r="AD207" s="387"/>
      <c r="AE207" s="387"/>
      <c r="AF207" s="387"/>
      <c r="AG207" s="387"/>
      <c r="AH207" s="387"/>
      <c r="AI207" s="387"/>
      <c r="AJ207" s="387"/>
      <c r="AK207" s="387"/>
      <c r="AL207" s="387"/>
      <c r="AM207" s="387"/>
      <c r="AN207" s="387"/>
      <c r="AO207" s="387"/>
      <c r="AP207" s="387"/>
      <c r="AQ207" s="387"/>
      <c r="AR207" s="387"/>
      <c r="AS207" s="387"/>
      <c r="AT207" s="387"/>
    </row>
    <row r="208">
      <c r="A208" s="385">
        <v>2017.0</v>
      </c>
      <c r="B208" s="395">
        <v>44920.708519074076</v>
      </c>
      <c r="C208" s="387" t="s">
        <v>657</v>
      </c>
      <c r="D208" s="385">
        <v>1.700016111E9</v>
      </c>
      <c r="E208" s="387" t="s">
        <v>658</v>
      </c>
      <c r="F208" s="388" t="s">
        <v>659</v>
      </c>
      <c r="G208" s="387" t="s">
        <v>3534</v>
      </c>
      <c r="H208" s="389">
        <v>43952.0</v>
      </c>
      <c r="I208" s="389">
        <v>44439.0</v>
      </c>
      <c r="J208" s="387" t="s">
        <v>399</v>
      </c>
      <c r="K208" s="387" t="s">
        <v>3062</v>
      </c>
      <c r="L208" s="387" t="s">
        <v>117</v>
      </c>
      <c r="M208" s="390"/>
      <c r="N208" s="390"/>
      <c r="O208" s="390"/>
      <c r="P208" s="390"/>
      <c r="Q208" s="390"/>
      <c r="R208" s="390"/>
      <c r="S208" s="387" t="s">
        <v>3535</v>
      </c>
      <c r="T208" s="387" t="s">
        <v>3062</v>
      </c>
      <c r="U208" s="387" t="s">
        <v>117</v>
      </c>
      <c r="V208" s="387" t="s">
        <v>241</v>
      </c>
      <c r="W208" s="411">
        <v>44931.0</v>
      </c>
      <c r="X208" s="387" t="s">
        <v>3373</v>
      </c>
      <c r="Y208" s="397" t="s">
        <v>1948</v>
      </c>
      <c r="Z208" s="390"/>
      <c r="AA208" s="387"/>
      <c r="AB208" s="341" t="s">
        <v>316</v>
      </c>
      <c r="AC208" s="387"/>
      <c r="AD208" s="387"/>
      <c r="AE208" s="387"/>
      <c r="AF208" s="387"/>
      <c r="AG208" s="387"/>
      <c r="AH208" s="387"/>
      <c r="AI208" s="387"/>
      <c r="AJ208" s="387"/>
      <c r="AK208" s="387"/>
      <c r="AL208" s="387"/>
      <c r="AM208" s="387"/>
      <c r="AN208" s="387"/>
      <c r="AO208" s="387"/>
      <c r="AP208" s="387"/>
      <c r="AQ208" s="387"/>
      <c r="AR208" s="387"/>
      <c r="AS208" s="387"/>
      <c r="AT208" s="387"/>
    </row>
    <row r="209">
      <c r="A209" s="385">
        <v>2018.0</v>
      </c>
      <c r="B209" s="395">
        <v>44921.36216233796</v>
      </c>
      <c r="C209" s="387" t="s">
        <v>1099</v>
      </c>
      <c r="D209" s="385">
        <v>1.800016162E9</v>
      </c>
      <c r="E209" s="387" t="s">
        <v>1100</v>
      </c>
      <c r="F209" s="388" t="s">
        <v>1101</v>
      </c>
      <c r="G209" s="387" t="s">
        <v>3536</v>
      </c>
      <c r="H209" s="389">
        <v>44858.0</v>
      </c>
      <c r="I209" s="389">
        <v>44851.0</v>
      </c>
      <c r="J209" s="387" t="s">
        <v>399</v>
      </c>
      <c r="K209" s="387" t="s">
        <v>183</v>
      </c>
      <c r="L209" s="387" t="s">
        <v>2379</v>
      </c>
      <c r="M209" s="390"/>
      <c r="N209" s="390"/>
      <c r="O209" s="390"/>
      <c r="P209" s="390"/>
      <c r="Q209" s="390"/>
      <c r="R209" s="390"/>
      <c r="S209" s="387" t="s">
        <v>3537</v>
      </c>
      <c r="T209" s="387" t="s">
        <v>183</v>
      </c>
      <c r="U209" s="387" t="s">
        <v>2379</v>
      </c>
      <c r="V209" s="387" t="s">
        <v>241</v>
      </c>
      <c r="W209" s="411">
        <v>44929.0</v>
      </c>
      <c r="X209" s="387" t="s">
        <v>3345</v>
      </c>
      <c r="Y209" s="397" t="s">
        <v>1948</v>
      </c>
      <c r="Z209" s="390"/>
      <c r="AA209" s="387"/>
      <c r="AB209" s="341" t="s">
        <v>316</v>
      </c>
      <c r="AC209" s="387"/>
      <c r="AD209" s="387"/>
      <c r="AE209" s="387"/>
      <c r="AF209" s="387"/>
      <c r="AG209" s="387"/>
      <c r="AH209" s="387"/>
      <c r="AI209" s="387"/>
      <c r="AJ209" s="387"/>
      <c r="AK209" s="387"/>
      <c r="AL209" s="387"/>
      <c r="AM209" s="387"/>
      <c r="AN209" s="387"/>
      <c r="AO209" s="387"/>
      <c r="AP209" s="387"/>
      <c r="AQ209" s="387"/>
      <c r="AR209" s="387"/>
      <c r="AS209" s="387"/>
      <c r="AT209" s="387"/>
    </row>
    <row r="210">
      <c r="A210" s="385">
        <v>2018.0</v>
      </c>
      <c r="B210" s="395">
        <v>44923.59448170139</v>
      </c>
      <c r="C210" s="387" t="s">
        <v>959</v>
      </c>
      <c r="D210" s="385">
        <v>1.800016055E9</v>
      </c>
      <c r="E210" s="387" t="s">
        <v>960</v>
      </c>
      <c r="F210" s="388" t="s">
        <v>961</v>
      </c>
      <c r="G210" s="387" t="s">
        <v>3538</v>
      </c>
      <c r="H210" s="389">
        <v>44749.0</v>
      </c>
      <c r="I210" s="389">
        <v>44732.0</v>
      </c>
      <c r="J210" s="387" t="s">
        <v>399</v>
      </c>
      <c r="K210" s="387" t="s">
        <v>117</v>
      </c>
      <c r="L210" s="387" t="s">
        <v>1900</v>
      </c>
      <c r="M210" s="390"/>
      <c r="N210" s="390"/>
      <c r="O210" s="390"/>
      <c r="P210" s="390"/>
      <c r="Q210" s="390"/>
      <c r="R210" s="390"/>
      <c r="S210" s="387" t="s">
        <v>3539</v>
      </c>
      <c r="T210" s="387" t="s">
        <v>117</v>
      </c>
      <c r="U210" s="387" t="s">
        <v>1900</v>
      </c>
      <c r="V210" s="387" t="s">
        <v>183</v>
      </c>
      <c r="W210" s="394">
        <v>44938.0</v>
      </c>
      <c r="X210" s="387" t="s">
        <v>3373</v>
      </c>
      <c r="Y210" s="397" t="s">
        <v>1948</v>
      </c>
      <c r="Z210" s="390"/>
      <c r="AA210" s="387"/>
      <c r="AB210" s="341" t="s">
        <v>316</v>
      </c>
      <c r="AC210" s="387"/>
      <c r="AD210" s="387"/>
      <c r="AE210" s="387"/>
      <c r="AF210" s="387"/>
      <c r="AG210" s="387"/>
      <c r="AH210" s="387"/>
      <c r="AI210" s="387"/>
      <c r="AJ210" s="387"/>
      <c r="AK210" s="387"/>
      <c r="AL210" s="387"/>
      <c r="AM210" s="387"/>
      <c r="AN210" s="387"/>
      <c r="AO210" s="387"/>
      <c r="AP210" s="387"/>
      <c r="AQ210" s="387"/>
      <c r="AR210" s="387"/>
      <c r="AS210" s="387"/>
      <c r="AT210" s="387"/>
    </row>
    <row r="211">
      <c r="A211" s="385">
        <v>2018.0</v>
      </c>
      <c r="B211" s="395">
        <v>44928.522397962966</v>
      </c>
      <c r="C211" s="387" t="s">
        <v>983</v>
      </c>
      <c r="D211" s="385">
        <v>1.800016138E9</v>
      </c>
      <c r="E211" s="387" t="s">
        <v>984</v>
      </c>
      <c r="F211" s="388" t="s">
        <v>985</v>
      </c>
      <c r="G211" s="387" t="s">
        <v>3540</v>
      </c>
      <c r="H211" s="389">
        <v>44621.0</v>
      </c>
      <c r="I211" s="389">
        <v>44743.0</v>
      </c>
      <c r="J211" s="387" t="s">
        <v>399</v>
      </c>
      <c r="K211" s="387" t="s">
        <v>117</v>
      </c>
      <c r="L211" s="387" t="s">
        <v>703</v>
      </c>
      <c r="M211" s="390"/>
      <c r="N211" s="390"/>
      <c r="O211" s="390"/>
      <c r="P211" s="390"/>
      <c r="Q211" s="390"/>
      <c r="R211" s="390"/>
      <c r="S211" s="387" t="s">
        <v>3541</v>
      </c>
      <c r="T211" s="387" t="s">
        <v>117</v>
      </c>
      <c r="U211" s="387" t="s">
        <v>703</v>
      </c>
      <c r="V211" s="387" t="s">
        <v>3145</v>
      </c>
      <c r="W211" s="394">
        <v>44938.0</v>
      </c>
      <c r="X211" s="387" t="s">
        <v>3345</v>
      </c>
      <c r="Y211" s="397" t="s">
        <v>1948</v>
      </c>
      <c r="Z211" s="390"/>
      <c r="AA211" s="387"/>
      <c r="AB211" s="341" t="s">
        <v>316</v>
      </c>
      <c r="AC211" s="387"/>
      <c r="AD211" s="387"/>
      <c r="AE211" s="387"/>
      <c r="AF211" s="387"/>
      <c r="AG211" s="387"/>
      <c r="AH211" s="387"/>
      <c r="AI211" s="387"/>
      <c r="AJ211" s="387"/>
      <c r="AK211" s="387"/>
      <c r="AL211" s="387"/>
      <c r="AM211" s="387"/>
      <c r="AN211" s="387"/>
      <c r="AO211" s="387"/>
      <c r="AP211" s="387"/>
      <c r="AQ211" s="387"/>
      <c r="AR211" s="387"/>
      <c r="AS211" s="387"/>
      <c r="AT211" s="387"/>
    </row>
    <row r="212">
      <c r="A212" s="385">
        <v>2018.0</v>
      </c>
      <c r="B212" s="395">
        <v>44928.52260835648</v>
      </c>
      <c r="C212" s="387" t="s">
        <v>1000</v>
      </c>
      <c r="D212" s="385">
        <v>1.800016132E9</v>
      </c>
      <c r="E212" s="387" t="s">
        <v>1001</v>
      </c>
      <c r="F212" s="388" t="s">
        <v>1002</v>
      </c>
      <c r="G212" s="387" t="s">
        <v>1003</v>
      </c>
      <c r="H212" s="389">
        <v>44621.0</v>
      </c>
      <c r="I212" s="389">
        <v>44744.0</v>
      </c>
      <c r="J212" s="387" t="s">
        <v>399</v>
      </c>
      <c r="K212" s="387" t="s">
        <v>117</v>
      </c>
      <c r="L212" s="387" t="s">
        <v>1900</v>
      </c>
      <c r="M212" s="390"/>
      <c r="N212" s="390"/>
      <c r="O212" s="390"/>
      <c r="P212" s="390"/>
      <c r="Q212" s="390"/>
      <c r="R212" s="390"/>
      <c r="S212" s="387" t="s">
        <v>3542</v>
      </c>
      <c r="T212" s="387" t="s">
        <v>117</v>
      </c>
      <c r="U212" s="387" t="s">
        <v>1900</v>
      </c>
      <c r="V212" s="387" t="s">
        <v>703</v>
      </c>
      <c r="W212" s="394">
        <v>44939.0</v>
      </c>
      <c r="X212" s="387" t="s">
        <v>3373</v>
      </c>
      <c r="Y212" s="397" t="s">
        <v>1948</v>
      </c>
      <c r="Z212" s="390"/>
      <c r="AA212" s="387"/>
      <c r="AB212" s="341" t="s">
        <v>316</v>
      </c>
      <c r="AC212" s="387"/>
      <c r="AD212" s="387"/>
      <c r="AE212" s="387"/>
      <c r="AF212" s="387"/>
      <c r="AG212" s="387"/>
      <c r="AH212" s="387"/>
      <c r="AI212" s="387"/>
      <c r="AJ212" s="387"/>
      <c r="AK212" s="387"/>
      <c r="AL212" s="387"/>
      <c r="AM212" s="387"/>
      <c r="AN212" s="387"/>
      <c r="AO212" s="387"/>
      <c r="AP212" s="387"/>
      <c r="AQ212" s="387"/>
      <c r="AR212" s="387"/>
      <c r="AS212" s="387"/>
      <c r="AT212" s="387"/>
    </row>
    <row r="213">
      <c r="A213" s="385">
        <v>2018.0</v>
      </c>
      <c r="B213" s="395">
        <v>44928.626408854165</v>
      </c>
      <c r="C213" s="387" t="s">
        <v>968</v>
      </c>
      <c r="D213" s="385">
        <v>1.800016061E9</v>
      </c>
      <c r="E213" s="387" t="s">
        <v>969</v>
      </c>
      <c r="F213" s="388" t="s">
        <v>970</v>
      </c>
      <c r="G213" s="387" t="s">
        <v>971</v>
      </c>
      <c r="H213" s="389">
        <v>44683.0</v>
      </c>
      <c r="I213" s="389">
        <v>44736.0</v>
      </c>
      <c r="J213" s="387" t="s">
        <v>399</v>
      </c>
      <c r="K213" s="387" t="s">
        <v>117</v>
      </c>
      <c r="L213" s="387" t="s">
        <v>703</v>
      </c>
      <c r="M213" s="390"/>
      <c r="N213" s="390"/>
      <c r="O213" s="390"/>
      <c r="P213" s="390"/>
      <c r="Q213" s="390"/>
      <c r="R213" s="390"/>
      <c r="S213" s="387" t="s">
        <v>3543</v>
      </c>
      <c r="T213" s="387" t="s">
        <v>117</v>
      </c>
      <c r="U213" s="387" t="s">
        <v>703</v>
      </c>
      <c r="V213" s="387" t="s">
        <v>3145</v>
      </c>
      <c r="W213" s="394">
        <v>44939.0</v>
      </c>
      <c r="X213" s="387" t="s">
        <v>3345</v>
      </c>
      <c r="Y213" s="397" t="s">
        <v>1948</v>
      </c>
      <c r="Z213" s="390"/>
      <c r="AA213" s="387"/>
      <c r="AB213" s="341" t="s">
        <v>316</v>
      </c>
      <c r="AC213" s="387"/>
      <c r="AD213" s="387"/>
      <c r="AE213" s="387"/>
      <c r="AF213" s="387"/>
      <c r="AG213" s="387"/>
      <c r="AH213" s="387"/>
      <c r="AI213" s="387"/>
      <c r="AJ213" s="387"/>
      <c r="AK213" s="387"/>
      <c r="AL213" s="387"/>
      <c r="AM213" s="387"/>
      <c r="AN213" s="387"/>
      <c r="AO213" s="387"/>
      <c r="AP213" s="387"/>
      <c r="AQ213" s="387"/>
      <c r="AR213" s="387"/>
      <c r="AS213" s="387"/>
      <c r="AT213" s="387"/>
    </row>
    <row r="214">
      <c r="A214" s="385">
        <v>2018.0</v>
      </c>
      <c r="B214" s="395">
        <v>44942.87808197917</v>
      </c>
      <c r="C214" s="387" t="s">
        <v>3544</v>
      </c>
      <c r="D214" s="385">
        <v>1.800016121E9</v>
      </c>
      <c r="E214" s="387" t="s">
        <v>1109</v>
      </c>
      <c r="F214" s="388" t="s">
        <v>1110</v>
      </c>
      <c r="G214" s="387" t="s">
        <v>1111</v>
      </c>
      <c r="H214" s="389">
        <v>44807.0</v>
      </c>
      <c r="I214" s="389">
        <v>44866.0</v>
      </c>
      <c r="J214" s="387" t="s">
        <v>399</v>
      </c>
      <c r="K214" s="387" t="s">
        <v>241</v>
      </c>
      <c r="L214" s="387" t="s">
        <v>230</v>
      </c>
      <c r="M214" s="390"/>
      <c r="N214" s="390"/>
      <c r="O214" s="390"/>
      <c r="P214" s="390"/>
      <c r="Q214" s="390"/>
      <c r="R214" s="390"/>
      <c r="S214" s="387" t="s">
        <v>3545</v>
      </c>
      <c r="T214" s="387" t="s">
        <v>241</v>
      </c>
      <c r="U214" s="387" t="s">
        <v>230</v>
      </c>
      <c r="V214" s="387" t="s">
        <v>117</v>
      </c>
      <c r="W214" s="394">
        <v>44947.0</v>
      </c>
      <c r="X214" s="387" t="s">
        <v>3373</v>
      </c>
      <c r="Y214" s="397" t="s">
        <v>1948</v>
      </c>
      <c r="Z214" s="390"/>
      <c r="AA214" s="387"/>
      <c r="AB214" s="341" t="s">
        <v>316</v>
      </c>
      <c r="AC214" s="387"/>
      <c r="AD214" s="387"/>
      <c r="AE214" s="387"/>
      <c r="AF214" s="387"/>
      <c r="AG214" s="387"/>
      <c r="AH214" s="387"/>
      <c r="AI214" s="387"/>
      <c r="AJ214" s="387"/>
      <c r="AK214" s="387"/>
      <c r="AL214" s="387"/>
      <c r="AM214" s="387"/>
      <c r="AN214" s="387"/>
      <c r="AO214" s="387"/>
      <c r="AP214" s="387"/>
      <c r="AQ214" s="387"/>
      <c r="AR214" s="387"/>
      <c r="AS214" s="387"/>
      <c r="AT214" s="387"/>
    </row>
    <row r="215">
      <c r="A215" s="385">
        <v>2018.0</v>
      </c>
      <c r="B215" s="395">
        <v>44942.883540625</v>
      </c>
      <c r="C215" s="387" t="s">
        <v>1113</v>
      </c>
      <c r="D215" s="385">
        <v>1.800016155E9</v>
      </c>
      <c r="E215" s="387" t="s">
        <v>1114</v>
      </c>
      <c r="F215" s="388" t="s">
        <v>1115</v>
      </c>
      <c r="G215" s="387" t="s">
        <v>1116</v>
      </c>
      <c r="H215" s="389">
        <v>44813.0</v>
      </c>
      <c r="I215" s="389">
        <v>44868.0</v>
      </c>
      <c r="J215" s="387" t="s">
        <v>399</v>
      </c>
      <c r="K215" s="387" t="s">
        <v>241</v>
      </c>
      <c r="L215" s="387" t="s">
        <v>230</v>
      </c>
      <c r="M215" s="390"/>
      <c r="N215" s="390"/>
      <c r="O215" s="390"/>
      <c r="P215" s="390"/>
      <c r="Q215" s="390"/>
      <c r="R215" s="390"/>
      <c r="S215" s="387" t="s">
        <v>3546</v>
      </c>
      <c r="T215" s="387" t="s">
        <v>241</v>
      </c>
      <c r="U215" s="387" t="s">
        <v>230</v>
      </c>
      <c r="V215" s="387" t="s">
        <v>117</v>
      </c>
      <c r="W215" s="394">
        <v>44947.0</v>
      </c>
      <c r="X215" s="387" t="s">
        <v>3345</v>
      </c>
      <c r="Y215" s="397" t="s">
        <v>1948</v>
      </c>
      <c r="Z215" s="390"/>
      <c r="AA215" s="387"/>
      <c r="AB215" s="341" t="s">
        <v>316</v>
      </c>
      <c r="AC215" s="387"/>
      <c r="AD215" s="387"/>
      <c r="AE215" s="387"/>
      <c r="AF215" s="387"/>
      <c r="AG215" s="387"/>
      <c r="AH215" s="387"/>
      <c r="AI215" s="387"/>
      <c r="AJ215" s="387"/>
      <c r="AK215" s="387"/>
      <c r="AL215" s="387"/>
      <c r="AM215" s="387"/>
      <c r="AN215" s="387"/>
      <c r="AO215" s="387"/>
      <c r="AP215" s="387"/>
      <c r="AQ215" s="387"/>
      <c r="AR215" s="387"/>
      <c r="AS215" s="387"/>
      <c r="AT215" s="387"/>
    </row>
    <row r="216">
      <c r="A216" s="385">
        <v>2018.0</v>
      </c>
      <c r="B216" s="395">
        <v>44946.8123694213</v>
      </c>
      <c r="C216" s="387" t="s">
        <v>1087</v>
      </c>
      <c r="D216" s="385">
        <v>1.800016158E9</v>
      </c>
      <c r="E216" s="387" t="s">
        <v>1088</v>
      </c>
      <c r="F216" s="388" t="s">
        <v>1089</v>
      </c>
      <c r="G216" s="387" t="s">
        <v>3547</v>
      </c>
      <c r="H216" s="389">
        <v>44461.0</v>
      </c>
      <c r="I216" s="389">
        <v>44826.0</v>
      </c>
      <c r="J216" s="387" t="s">
        <v>399</v>
      </c>
      <c r="K216" s="387" t="s">
        <v>241</v>
      </c>
      <c r="L216" s="387" t="s">
        <v>3062</v>
      </c>
      <c r="M216" s="390"/>
      <c r="N216" s="390"/>
      <c r="O216" s="390"/>
      <c r="P216" s="390"/>
      <c r="Q216" s="390"/>
      <c r="R216" s="390"/>
      <c r="S216" s="387" t="s">
        <v>3548</v>
      </c>
      <c r="T216" s="387" t="s">
        <v>241</v>
      </c>
      <c r="U216" s="387" t="s">
        <v>3062</v>
      </c>
      <c r="V216" s="387" t="s">
        <v>2951</v>
      </c>
      <c r="W216" s="411">
        <v>44963.0</v>
      </c>
      <c r="X216" s="387" t="s">
        <v>3334</v>
      </c>
      <c r="Y216" s="397" t="s">
        <v>1948</v>
      </c>
      <c r="Z216" s="390"/>
      <c r="AA216" s="387"/>
      <c r="AB216" s="341" t="s">
        <v>316</v>
      </c>
      <c r="AC216" s="387"/>
      <c r="AD216" s="387"/>
      <c r="AE216" s="387"/>
      <c r="AF216" s="387"/>
      <c r="AG216" s="387"/>
      <c r="AH216" s="387"/>
      <c r="AI216" s="387"/>
      <c r="AJ216" s="387"/>
      <c r="AK216" s="387"/>
      <c r="AL216" s="387"/>
      <c r="AM216" s="387"/>
      <c r="AN216" s="387"/>
      <c r="AO216" s="387"/>
      <c r="AP216" s="387"/>
      <c r="AQ216" s="387"/>
      <c r="AR216" s="387"/>
      <c r="AS216" s="387"/>
      <c r="AT216" s="387"/>
    </row>
    <row r="217">
      <c r="A217" s="385">
        <v>2016.0</v>
      </c>
      <c r="B217" s="395">
        <v>44947.84335440972</v>
      </c>
      <c r="C217" s="387" t="s">
        <v>719</v>
      </c>
      <c r="D217" s="385">
        <v>1.600016062E9</v>
      </c>
      <c r="E217" s="387" t="s">
        <v>720</v>
      </c>
      <c r="F217" s="388" t="s">
        <v>721</v>
      </c>
      <c r="G217" s="387" t="s">
        <v>722</v>
      </c>
      <c r="H217" s="389">
        <v>44501.0</v>
      </c>
      <c r="I217" s="389">
        <v>44582.0</v>
      </c>
      <c r="J217" s="387" t="s">
        <v>399</v>
      </c>
      <c r="K217" s="387" t="s">
        <v>2379</v>
      </c>
      <c r="L217" s="387" t="s">
        <v>241</v>
      </c>
      <c r="M217" s="390"/>
      <c r="N217" s="390"/>
      <c r="O217" s="390"/>
      <c r="P217" s="390"/>
      <c r="Q217" s="390"/>
      <c r="R217" s="390"/>
      <c r="S217" s="387" t="s">
        <v>3549</v>
      </c>
      <c r="T217" s="387" t="s">
        <v>2379</v>
      </c>
      <c r="U217" s="387" t="s">
        <v>241</v>
      </c>
      <c r="V217" s="387" t="s">
        <v>183</v>
      </c>
      <c r="W217" s="394">
        <v>44958.0</v>
      </c>
      <c r="X217" s="387" t="s">
        <v>3373</v>
      </c>
      <c r="Y217" s="397" t="s">
        <v>1948</v>
      </c>
      <c r="Z217" s="390"/>
      <c r="AA217" s="387"/>
      <c r="AB217" s="341" t="s">
        <v>316</v>
      </c>
      <c r="AC217" s="387"/>
      <c r="AD217" s="387"/>
      <c r="AE217" s="387"/>
      <c r="AF217" s="387"/>
      <c r="AG217" s="387"/>
      <c r="AH217" s="387"/>
      <c r="AI217" s="387"/>
      <c r="AJ217" s="387"/>
      <c r="AK217" s="387"/>
      <c r="AL217" s="387"/>
      <c r="AM217" s="387"/>
      <c r="AN217" s="387"/>
      <c r="AO217" s="387"/>
      <c r="AP217" s="387"/>
      <c r="AQ217" s="387"/>
      <c r="AR217" s="387"/>
      <c r="AS217" s="387"/>
      <c r="AT217" s="387"/>
    </row>
    <row r="218">
      <c r="A218" s="385">
        <v>2018.0</v>
      </c>
      <c r="B218" s="395">
        <v>44949.0389924537</v>
      </c>
      <c r="C218" s="387" t="s">
        <v>896</v>
      </c>
      <c r="D218" s="385">
        <v>1.600016056E9</v>
      </c>
      <c r="E218" s="387" t="s">
        <v>897</v>
      </c>
      <c r="F218" s="388" t="s">
        <v>3550</v>
      </c>
      <c r="G218" s="387" t="s">
        <v>899</v>
      </c>
      <c r="H218" s="389">
        <v>44461.0</v>
      </c>
      <c r="I218" s="389">
        <v>44643.0</v>
      </c>
      <c r="J218" s="387" t="s">
        <v>399</v>
      </c>
      <c r="K218" s="387" t="s">
        <v>183</v>
      </c>
      <c r="L218" s="387" t="s">
        <v>241</v>
      </c>
      <c r="M218" s="390"/>
      <c r="N218" s="390"/>
      <c r="O218" s="390"/>
      <c r="P218" s="390"/>
      <c r="Q218" s="390"/>
      <c r="R218" s="390"/>
      <c r="S218" s="387" t="s">
        <v>3551</v>
      </c>
      <c r="T218" s="387" t="s">
        <v>183</v>
      </c>
      <c r="U218" s="387" t="s">
        <v>241</v>
      </c>
      <c r="V218" s="387" t="s">
        <v>3145</v>
      </c>
      <c r="W218" s="394">
        <v>44958.0</v>
      </c>
      <c r="X218" s="387" t="s">
        <v>3345</v>
      </c>
      <c r="Y218" s="397" t="s">
        <v>1948</v>
      </c>
      <c r="Z218" s="390"/>
      <c r="AA218" s="387"/>
      <c r="AB218" s="341" t="s">
        <v>316</v>
      </c>
      <c r="AC218" s="387"/>
      <c r="AD218" s="387"/>
      <c r="AE218" s="387"/>
      <c r="AF218" s="387"/>
      <c r="AG218" s="387"/>
      <c r="AH218" s="387"/>
      <c r="AI218" s="387"/>
      <c r="AJ218" s="387"/>
      <c r="AK218" s="387"/>
      <c r="AL218" s="387"/>
      <c r="AM218" s="387"/>
      <c r="AN218" s="387"/>
      <c r="AO218" s="387"/>
      <c r="AP218" s="387"/>
      <c r="AQ218" s="387"/>
      <c r="AR218" s="387"/>
      <c r="AS218" s="387"/>
      <c r="AT218" s="387"/>
    </row>
    <row r="219">
      <c r="A219" s="385">
        <v>2018.0</v>
      </c>
      <c r="B219" s="395">
        <v>44952.61833915509</v>
      </c>
      <c r="C219" s="387" t="s">
        <v>1067</v>
      </c>
      <c r="D219" s="385">
        <v>1.800016081E9</v>
      </c>
      <c r="E219" s="387" t="s">
        <v>1068</v>
      </c>
      <c r="F219" s="388" t="s">
        <v>1069</v>
      </c>
      <c r="G219" s="387" t="s">
        <v>3552</v>
      </c>
      <c r="H219" s="389">
        <v>44756.0</v>
      </c>
      <c r="I219" s="389">
        <v>44799.0</v>
      </c>
      <c r="J219" s="387" t="s">
        <v>399</v>
      </c>
      <c r="K219" s="387" t="s">
        <v>1900</v>
      </c>
      <c r="L219" s="387" t="s">
        <v>703</v>
      </c>
      <c r="M219" s="390"/>
      <c r="N219" s="390"/>
      <c r="O219" s="390"/>
      <c r="P219" s="390"/>
      <c r="Q219" s="390"/>
      <c r="R219" s="390"/>
      <c r="S219" s="387" t="s">
        <v>3553</v>
      </c>
      <c r="T219" s="387" t="s">
        <v>1900</v>
      </c>
      <c r="U219" s="387" t="s">
        <v>703</v>
      </c>
      <c r="V219" s="387" t="s">
        <v>241</v>
      </c>
      <c r="W219" s="394">
        <v>44963.0</v>
      </c>
      <c r="X219" s="387" t="s">
        <v>3554</v>
      </c>
      <c r="Y219" s="397" t="s">
        <v>1948</v>
      </c>
      <c r="Z219" s="390"/>
      <c r="AA219" s="387"/>
      <c r="AB219" s="341" t="s">
        <v>316</v>
      </c>
      <c r="AC219" s="387"/>
      <c r="AD219" s="387"/>
      <c r="AE219" s="387"/>
      <c r="AF219" s="387"/>
      <c r="AG219" s="387"/>
      <c r="AH219" s="387"/>
      <c r="AI219" s="387"/>
      <c r="AJ219" s="387"/>
      <c r="AK219" s="387"/>
      <c r="AL219" s="387"/>
      <c r="AM219" s="387"/>
      <c r="AN219" s="387"/>
      <c r="AO219" s="387"/>
      <c r="AP219" s="387"/>
      <c r="AQ219" s="387"/>
      <c r="AR219" s="387"/>
      <c r="AS219" s="387"/>
      <c r="AT219" s="387"/>
    </row>
    <row r="220">
      <c r="A220" s="385">
        <v>2018.0</v>
      </c>
      <c r="B220" s="395">
        <v>44959.76663075232</v>
      </c>
      <c r="C220" s="387" t="s">
        <v>988</v>
      </c>
      <c r="D220" s="385">
        <v>1.800016073E9</v>
      </c>
      <c r="E220" s="387" t="s">
        <v>989</v>
      </c>
      <c r="F220" s="388" t="s">
        <v>990</v>
      </c>
      <c r="G220" s="387" t="s">
        <v>3555</v>
      </c>
      <c r="H220" s="389">
        <v>44629.0</v>
      </c>
      <c r="I220" s="389">
        <v>44743.0</v>
      </c>
      <c r="J220" s="387" t="s">
        <v>399</v>
      </c>
      <c r="K220" s="387" t="s">
        <v>117</v>
      </c>
      <c r="L220" s="387" t="s">
        <v>703</v>
      </c>
      <c r="M220" s="390"/>
      <c r="N220" s="390"/>
      <c r="O220" s="390"/>
      <c r="P220" s="390"/>
      <c r="Q220" s="390"/>
      <c r="R220" s="390"/>
      <c r="S220" s="387" t="s">
        <v>3556</v>
      </c>
      <c r="T220" s="387" t="s">
        <v>117</v>
      </c>
      <c r="U220" s="387" t="s">
        <v>703</v>
      </c>
      <c r="V220" s="387" t="s">
        <v>2951</v>
      </c>
      <c r="W220" s="387" t="s">
        <v>3557</v>
      </c>
      <c r="X220" s="387" t="s">
        <v>3345</v>
      </c>
      <c r="Y220" s="397" t="s">
        <v>1948</v>
      </c>
      <c r="Z220" s="390"/>
      <c r="AA220" s="387"/>
      <c r="AB220" s="341" t="s">
        <v>316</v>
      </c>
      <c r="AC220" s="387"/>
      <c r="AD220" s="387"/>
      <c r="AE220" s="387"/>
      <c r="AF220" s="387"/>
      <c r="AG220" s="387"/>
      <c r="AH220" s="387"/>
      <c r="AI220" s="387"/>
      <c r="AJ220" s="387"/>
      <c r="AK220" s="387"/>
      <c r="AL220" s="387"/>
      <c r="AM220" s="387"/>
      <c r="AN220" s="387"/>
      <c r="AO220" s="387"/>
      <c r="AP220" s="387"/>
      <c r="AQ220" s="387"/>
      <c r="AR220" s="387"/>
      <c r="AS220" s="387"/>
      <c r="AT220" s="387"/>
    </row>
    <row r="221">
      <c r="A221" s="385">
        <v>2018.0</v>
      </c>
      <c r="B221" s="395">
        <v>44964.56909302084</v>
      </c>
      <c r="C221" s="387" t="s">
        <v>1062</v>
      </c>
      <c r="D221" s="385">
        <v>1.80001611E9</v>
      </c>
      <c r="E221" s="387" t="s">
        <v>1063</v>
      </c>
      <c r="F221" s="388" t="s">
        <v>1064</v>
      </c>
      <c r="G221" s="387" t="s">
        <v>1065</v>
      </c>
      <c r="H221" s="389">
        <v>44809.0</v>
      </c>
      <c r="I221" s="389">
        <v>44781.0</v>
      </c>
      <c r="J221" s="387" t="s">
        <v>399</v>
      </c>
      <c r="K221" s="387" t="s">
        <v>183</v>
      </c>
      <c r="L221" s="387" t="s">
        <v>2379</v>
      </c>
      <c r="M221" s="390"/>
      <c r="N221" s="390"/>
      <c r="O221" s="390"/>
      <c r="P221" s="390"/>
      <c r="Q221" s="390"/>
      <c r="R221" s="390"/>
      <c r="S221" s="387" t="s">
        <v>3558</v>
      </c>
      <c r="T221" s="387" t="s">
        <v>183</v>
      </c>
      <c r="U221" s="387" t="s">
        <v>2379</v>
      </c>
      <c r="V221" s="387" t="s">
        <v>241</v>
      </c>
      <c r="W221" s="387" t="s">
        <v>3559</v>
      </c>
      <c r="X221" s="387" t="s">
        <v>3331</v>
      </c>
      <c r="Y221" s="397" t="s">
        <v>1948</v>
      </c>
      <c r="Z221" s="390"/>
      <c r="AA221" s="387"/>
      <c r="AB221" s="341" t="s">
        <v>316</v>
      </c>
      <c r="AC221" s="387"/>
      <c r="AD221" s="387"/>
      <c r="AE221" s="387"/>
      <c r="AF221" s="387"/>
      <c r="AG221" s="387"/>
      <c r="AH221" s="387"/>
      <c r="AI221" s="387"/>
      <c r="AJ221" s="387"/>
      <c r="AK221" s="387"/>
      <c r="AL221" s="387"/>
      <c r="AM221" s="387"/>
      <c r="AN221" s="387"/>
      <c r="AO221" s="387"/>
      <c r="AP221" s="387"/>
      <c r="AQ221" s="387"/>
      <c r="AR221" s="387"/>
      <c r="AS221" s="387"/>
      <c r="AT221" s="387"/>
    </row>
    <row r="222">
      <c r="A222" s="385">
        <v>2018.0</v>
      </c>
      <c r="B222" s="395">
        <v>44964.625446238424</v>
      </c>
      <c r="C222" s="387" t="s">
        <v>1029</v>
      </c>
      <c r="D222" s="385">
        <v>1.800016106E9</v>
      </c>
      <c r="E222" s="387" t="s">
        <v>1030</v>
      </c>
      <c r="F222" s="388" t="s">
        <v>1031</v>
      </c>
      <c r="G222" s="387" t="s">
        <v>3560</v>
      </c>
      <c r="H222" s="389">
        <v>44774.0</v>
      </c>
      <c r="I222" s="389">
        <v>44750.0</v>
      </c>
      <c r="J222" s="387" t="s">
        <v>399</v>
      </c>
      <c r="K222" s="387" t="s">
        <v>183</v>
      </c>
      <c r="L222" s="387" t="s">
        <v>1900</v>
      </c>
      <c r="M222" s="390"/>
      <c r="N222" s="390"/>
      <c r="O222" s="390"/>
      <c r="P222" s="390"/>
      <c r="Q222" s="390"/>
      <c r="R222" s="390"/>
      <c r="S222" s="387" t="s">
        <v>3561</v>
      </c>
      <c r="T222" s="387" t="s">
        <v>183</v>
      </c>
      <c r="U222" s="387" t="s">
        <v>1900</v>
      </c>
      <c r="V222" s="387" t="s">
        <v>241</v>
      </c>
      <c r="W222" s="387" t="s">
        <v>3562</v>
      </c>
      <c r="X222" s="387" t="s">
        <v>3334</v>
      </c>
      <c r="Y222" s="397" t="s">
        <v>1948</v>
      </c>
      <c r="Z222" s="390"/>
      <c r="AA222" s="387"/>
      <c r="AB222" s="341" t="s">
        <v>316</v>
      </c>
      <c r="AC222" s="387"/>
      <c r="AD222" s="387"/>
      <c r="AE222" s="387"/>
      <c r="AF222" s="387"/>
      <c r="AG222" s="387"/>
      <c r="AH222" s="387"/>
      <c r="AI222" s="387"/>
      <c r="AJ222" s="387"/>
      <c r="AK222" s="387"/>
      <c r="AL222" s="387"/>
      <c r="AM222" s="387"/>
      <c r="AN222" s="387"/>
      <c r="AO222" s="387"/>
      <c r="AP222" s="387"/>
      <c r="AQ222" s="387"/>
      <c r="AR222" s="387"/>
      <c r="AS222" s="387"/>
      <c r="AT222" s="387"/>
    </row>
    <row r="223">
      <c r="A223" s="385">
        <v>2018.0</v>
      </c>
      <c r="B223" s="395">
        <v>44967.70076017361</v>
      </c>
      <c r="C223" s="387" t="s">
        <v>1057</v>
      </c>
      <c r="D223" s="385">
        <v>1.800016099E9</v>
      </c>
      <c r="E223" s="387" t="s">
        <v>1058</v>
      </c>
      <c r="F223" s="388" t="s">
        <v>1059</v>
      </c>
      <c r="G223" s="387" t="s">
        <v>3563</v>
      </c>
      <c r="H223" s="389">
        <v>44530.0</v>
      </c>
      <c r="I223" s="389">
        <v>44771.0</v>
      </c>
      <c r="J223" s="387" t="s">
        <v>399</v>
      </c>
      <c r="K223" s="387" t="s">
        <v>117</v>
      </c>
      <c r="L223" s="387" t="s">
        <v>703</v>
      </c>
      <c r="M223" s="390"/>
      <c r="N223" s="390"/>
      <c r="O223" s="390"/>
      <c r="P223" s="390"/>
      <c r="Q223" s="390"/>
      <c r="R223" s="390"/>
      <c r="S223" s="387" t="s">
        <v>3564</v>
      </c>
      <c r="T223" s="387" t="s">
        <v>117</v>
      </c>
      <c r="U223" s="387" t="s">
        <v>703</v>
      </c>
      <c r="V223" s="387" t="s">
        <v>183</v>
      </c>
      <c r="W223" s="387" t="s">
        <v>3565</v>
      </c>
      <c r="X223" s="387" t="s">
        <v>3345</v>
      </c>
      <c r="Y223" s="397" t="s">
        <v>1948</v>
      </c>
      <c r="Z223" s="390"/>
      <c r="AA223" s="387"/>
      <c r="AB223" s="341" t="s">
        <v>316</v>
      </c>
      <c r="AC223" s="387"/>
      <c r="AD223" s="387"/>
      <c r="AE223" s="387"/>
      <c r="AF223" s="387"/>
      <c r="AG223" s="387"/>
      <c r="AH223" s="387"/>
      <c r="AI223" s="387"/>
      <c r="AJ223" s="387"/>
      <c r="AK223" s="387"/>
      <c r="AL223" s="387"/>
      <c r="AM223" s="387"/>
      <c r="AN223" s="387"/>
      <c r="AO223" s="387"/>
      <c r="AP223" s="387"/>
      <c r="AQ223" s="387"/>
      <c r="AR223" s="387"/>
      <c r="AS223" s="387"/>
      <c r="AT223" s="387"/>
    </row>
    <row r="224">
      <c r="A224" s="385">
        <v>2018.0</v>
      </c>
      <c r="B224" s="395">
        <v>44975.48488542824</v>
      </c>
      <c r="C224" s="387" t="s">
        <v>930</v>
      </c>
      <c r="D224" s="385">
        <v>1.800016023E9</v>
      </c>
      <c r="E224" s="387" t="s">
        <v>3566</v>
      </c>
      <c r="F224" s="388" t="s">
        <v>932</v>
      </c>
      <c r="G224" s="387" t="s">
        <v>3567</v>
      </c>
      <c r="H224" s="389">
        <v>44487.0</v>
      </c>
      <c r="I224" s="389">
        <v>44711.0</v>
      </c>
      <c r="J224" s="387" t="s">
        <v>399</v>
      </c>
      <c r="K224" s="387" t="s">
        <v>1900</v>
      </c>
      <c r="L224" s="387" t="s">
        <v>703</v>
      </c>
      <c r="M224" s="390"/>
      <c r="N224" s="390"/>
      <c r="O224" s="390"/>
      <c r="P224" s="390"/>
      <c r="Q224" s="390"/>
      <c r="R224" s="390"/>
      <c r="S224" s="387" t="s">
        <v>3568</v>
      </c>
      <c r="T224" s="387" t="s">
        <v>1900</v>
      </c>
      <c r="U224" s="387" t="s">
        <v>703</v>
      </c>
      <c r="V224" s="387" t="s">
        <v>241</v>
      </c>
      <c r="W224" s="411">
        <v>44987.0</v>
      </c>
      <c r="X224" s="387" t="s">
        <v>3334</v>
      </c>
      <c r="Y224" s="397" t="s">
        <v>1948</v>
      </c>
      <c r="Z224" s="390"/>
      <c r="AA224" s="387"/>
      <c r="AB224" s="341" t="s">
        <v>316</v>
      </c>
      <c r="AC224" s="387"/>
      <c r="AD224" s="387"/>
      <c r="AE224" s="387"/>
      <c r="AF224" s="387"/>
      <c r="AG224" s="387"/>
      <c r="AH224" s="387"/>
      <c r="AI224" s="387"/>
      <c r="AJ224" s="387"/>
      <c r="AK224" s="387"/>
      <c r="AL224" s="387"/>
      <c r="AM224" s="387"/>
      <c r="AN224" s="387"/>
      <c r="AO224" s="387"/>
      <c r="AP224" s="387"/>
      <c r="AQ224" s="387"/>
      <c r="AR224" s="387"/>
      <c r="AS224" s="387"/>
      <c r="AT224" s="387"/>
    </row>
    <row r="225">
      <c r="A225" s="385">
        <v>2018.0</v>
      </c>
      <c r="B225" s="395">
        <v>44980.59724740741</v>
      </c>
      <c r="C225" s="387" t="s">
        <v>951</v>
      </c>
      <c r="D225" s="385">
        <v>1.800016134E9</v>
      </c>
      <c r="E225" s="387" t="s">
        <v>3569</v>
      </c>
      <c r="F225" s="388" t="s">
        <v>953</v>
      </c>
      <c r="G225" s="387" t="s">
        <v>3570</v>
      </c>
      <c r="H225" s="389">
        <v>44746.0</v>
      </c>
      <c r="I225" s="389">
        <v>44732.0</v>
      </c>
      <c r="J225" s="387" t="s">
        <v>399</v>
      </c>
      <c r="K225" s="387" t="s">
        <v>241</v>
      </c>
      <c r="L225" s="387" t="s">
        <v>230</v>
      </c>
      <c r="M225" s="390"/>
      <c r="N225" s="390"/>
      <c r="O225" s="390"/>
      <c r="P225" s="390"/>
      <c r="Q225" s="390"/>
      <c r="R225" s="390"/>
      <c r="S225" s="387" t="s">
        <v>3571</v>
      </c>
      <c r="T225" s="387" t="s">
        <v>241</v>
      </c>
      <c r="U225" s="387" t="s">
        <v>230</v>
      </c>
      <c r="V225" s="387" t="s">
        <v>2951</v>
      </c>
      <c r="W225" s="387" t="s">
        <v>3572</v>
      </c>
      <c r="X225" s="387" t="s">
        <v>3331</v>
      </c>
      <c r="Y225" s="397" t="s">
        <v>1948</v>
      </c>
      <c r="Z225" s="390"/>
      <c r="AA225" s="387"/>
      <c r="AB225" s="341" t="s">
        <v>316</v>
      </c>
      <c r="AC225" s="387"/>
      <c r="AD225" s="387"/>
      <c r="AE225" s="387"/>
      <c r="AF225" s="387"/>
      <c r="AG225" s="387"/>
      <c r="AH225" s="387"/>
      <c r="AI225" s="387"/>
      <c r="AJ225" s="387"/>
      <c r="AK225" s="387"/>
      <c r="AL225" s="387"/>
      <c r="AM225" s="387"/>
      <c r="AN225" s="387"/>
      <c r="AO225" s="387"/>
      <c r="AP225" s="387"/>
      <c r="AQ225" s="387"/>
      <c r="AR225" s="387"/>
      <c r="AS225" s="387"/>
      <c r="AT225" s="387"/>
    </row>
    <row r="226">
      <c r="A226" s="385">
        <v>2018.0</v>
      </c>
      <c r="B226" s="395">
        <v>44987.573146469906</v>
      </c>
      <c r="C226" s="387" t="s">
        <v>1075</v>
      </c>
      <c r="D226" s="385">
        <v>1.800016119E9</v>
      </c>
      <c r="E226" s="387" t="s">
        <v>1076</v>
      </c>
      <c r="F226" s="388" t="s">
        <v>1077</v>
      </c>
      <c r="G226" s="387" t="s">
        <v>3573</v>
      </c>
      <c r="H226" s="389">
        <v>44808.0</v>
      </c>
      <c r="I226" s="389">
        <v>44799.0</v>
      </c>
      <c r="J226" s="387" t="s">
        <v>399</v>
      </c>
      <c r="K226" s="387" t="s">
        <v>3013</v>
      </c>
      <c r="L226" s="387" t="s">
        <v>3062</v>
      </c>
      <c r="M226" s="390"/>
      <c r="N226" s="390"/>
      <c r="O226" s="390"/>
      <c r="P226" s="390"/>
      <c r="Q226" s="390"/>
      <c r="R226" s="390"/>
      <c r="S226" s="387" t="s">
        <v>3574</v>
      </c>
      <c r="T226" s="387" t="s">
        <v>3013</v>
      </c>
      <c r="U226" s="387" t="s">
        <v>3062</v>
      </c>
      <c r="V226" s="387" t="s">
        <v>183</v>
      </c>
      <c r="W226" s="394">
        <v>45000.0</v>
      </c>
      <c r="X226" s="387" t="s">
        <v>3524</v>
      </c>
      <c r="Y226" s="397" t="s">
        <v>1948</v>
      </c>
      <c r="Z226" s="390"/>
      <c r="AA226" s="387"/>
      <c r="AB226" s="341" t="s">
        <v>316</v>
      </c>
      <c r="AC226" s="387"/>
      <c r="AD226" s="387"/>
      <c r="AE226" s="387"/>
      <c r="AF226" s="387"/>
      <c r="AG226" s="387"/>
      <c r="AH226" s="387"/>
      <c r="AI226" s="387"/>
      <c r="AJ226" s="387"/>
      <c r="AK226" s="387"/>
      <c r="AL226" s="387"/>
      <c r="AM226" s="387"/>
      <c r="AN226" s="387"/>
      <c r="AO226" s="387"/>
      <c r="AP226" s="387"/>
      <c r="AQ226" s="387"/>
      <c r="AR226" s="387"/>
      <c r="AS226" s="387"/>
      <c r="AT226" s="387"/>
    </row>
    <row r="227">
      <c r="A227" s="385">
        <v>2016.0</v>
      </c>
      <c r="B227" s="395">
        <v>44998.68984409722</v>
      </c>
      <c r="C227" s="387" t="s">
        <v>301</v>
      </c>
      <c r="D227" s="385">
        <v>1.600016108E9</v>
      </c>
      <c r="E227" s="387" t="s">
        <v>302</v>
      </c>
      <c r="F227" s="388" t="s">
        <v>303</v>
      </c>
      <c r="G227" s="387" t="s">
        <v>304</v>
      </c>
      <c r="H227" s="389">
        <v>44256.0</v>
      </c>
      <c r="I227" s="389">
        <v>44243.0</v>
      </c>
      <c r="J227" s="387" t="s">
        <v>399</v>
      </c>
      <c r="K227" s="387" t="s">
        <v>2379</v>
      </c>
      <c r="L227" s="387" t="s">
        <v>183</v>
      </c>
      <c r="M227" s="390"/>
      <c r="N227" s="390"/>
      <c r="O227" s="390"/>
      <c r="P227" s="390"/>
      <c r="Q227" s="390"/>
      <c r="R227" s="390"/>
      <c r="S227" s="387" t="s">
        <v>3575</v>
      </c>
      <c r="T227" s="387" t="s">
        <v>2379</v>
      </c>
      <c r="U227" s="387" t="s">
        <v>183</v>
      </c>
      <c r="V227" s="387" t="s">
        <v>3145</v>
      </c>
      <c r="W227" s="394">
        <v>45014.0</v>
      </c>
      <c r="X227" s="387" t="s">
        <v>3331</v>
      </c>
      <c r="Y227" s="397" t="s">
        <v>1948</v>
      </c>
      <c r="Z227" s="390"/>
      <c r="AA227" s="387"/>
      <c r="AB227" s="341" t="s">
        <v>316</v>
      </c>
      <c r="AC227" s="387"/>
      <c r="AD227" s="387"/>
      <c r="AE227" s="387"/>
      <c r="AF227" s="387"/>
      <c r="AG227" s="387"/>
      <c r="AH227" s="387"/>
      <c r="AI227" s="387"/>
      <c r="AJ227" s="387"/>
      <c r="AK227" s="387"/>
      <c r="AL227" s="387"/>
      <c r="AM227" s="387"/>
      <c r="AN227" s="387"/>
      <c r="AO227" s="387"/>
      <c r="AP227" s="387"/>
      <c r="AQ227" s="387"/>
      <c r="AR227" s="387"/>
      <c r="AS227" s="387"/>
      <c r="AT227" s="387"/>
    </row>
    <row r="228">
      <c r="A228" s="385">
        <v>2018.0</v>
      </c>
      <c r="B228" s="395">
        <v>45000.71772381944</v>
      </c>
      <c r="C228" s="387" t="s">
        <v>955</v>
      </c>
      <c r="D228" s="385">
        <v>1.800016139E9</v>
      </c>
      <c r="E228" s="387" t="s">
        <v>956</v>
      </c>
      <c r="F228" s="388" t="s">
        <v>957</v>
      </c>
      <c r="G228" s="387" t="s">
        <v>3576</v>
      </c>
      <c r="H228" s="389">
        <v>44749.0</v>
      </c>
      <c r="I228" s="389">
        <v>44732.0</v>
      </c>
      <c r="J228" s="387" t="s">
        <v>399</v>
      </c>
      <c r="K228" s="387" t="s">
        <v>3013</v>
      </c>
      <c r="L228" s="387" t="s">
        <v>703</v>
      </c>
      <c r="M228" s="390"/>
      <c r="N228" s="390"/>
      <c r="O228" s="390"/>
      <c r="P228" s="390"/>
      <c r="Q228" s="390"/>
      <c r="R228" s="390"/>
      <c r="S228" s="387" t="s">
        <v>3577</v>
      </c>
      <c r="T228" s="387" t="s">
        <v>3013</v>
      </c>
      <c r="U228" s="387" t="s">
        <v>703</v>
      </c>
      <c r="V228" s="387" t="s">
        <v>2951</v>
      </c>
      <c r="W228" s="394">
        <v>45014.0</v>
      </c>
      <c r="X228" s="387" t="s">
        <v>3345</v>
      </c>
      <c r="Y228" s="397" t="s">
        <v>1948</v>
      </c>
      <c r="Z228" s="390"/>
      <c r="AA228" s="387"/>
      <c r="AB228" s="341" t="s">
        <v>316</v>
      </c>
      <c r="AC228" s="387"/>
      <c r="AD228" s="387"/>
      <c r="AE228" s="387"/>
      <c r="AF228" s="387"/>
      <c r="AG228" s="387"/>
      <c r="AH228" s="387"/>
      <c r="AI228" s="387"/>
      <c r="AJ228" s="387"/>
      <c r="AK228" s="387"/>
      <c r="AL228" s="387"/>
      <c r="AM228" s="387"/>
      <c r="AN228" s="387"/>
      <c r="AO228" s="387"/>
      <c r="AP228" s="387"/>
      <c r="AQ228" s="387"/>
      <c r="AR228" s="387"/>
      <c r="AS228" s="387"/>
      <c r="AT228" s="387"/>
    </row>
    <row r="229">
      <c r="A229" s="385">
        <v>2018.0</v>
      </c>
      <c r="B229" s="395">
        <v>45013.53891766204</v>
      </c>
      <c r="C229" s="387" t="s">
        <v>1170</v>
      </c>
      <c r="D229" s="385">
        <v>1.800016052E9</v>
      </c>
      <c r="E229" s="387" t="s">
        <v>3578</v>
      </c>
      <c r="F229" s="388" t="s">
        <v>1172</v>
      </c>
      <c r="G229" s="387" t="s">
        <v>3579</v>
      </c>
      <c r="H229" s="389">
        <v>44795.0</v>
      </c>
      <c r="I229" s="389">
        <v>44915.0</v>
      </c>
      <c r="J229" s="387" t="s">
        <v>399</v>
      </c>
      <c r="K229" s="387" t="s">
        <v>241</v>
      </c>
      <c r="L229" s="387" t="s">
        <v>183</v>
      </c>
      <c r="M229" s="390"/>
      <c r="N229" s="390"/>
      <c r="O229" s="390"/>
      <c r="P229" s="390"/>
      <c r="Q229" s="390"/>
      <c r="R229" s="390"/>
      <c r="S229" s="387" t="s">
        <v>3580</v>
      </c>
      <c r="T229" s="387" t="s">
        <v>241</v>
      </c>
      <c r="U229" s="387" t="s">
        <v>183</v>
      </c>
      <c r="V229" s="387" t="s">
        <v>2951</v>
      </c>
      <c r="W229" s="394">
        <v>45021.0</v>
      </c>
      <c r="X229" s="387" t="s">
        <v>3334</v>
      </c>
      <c r="Y229" s="397" t="s">
        <v>1948</v>
      </c>
      <c r="Z229" s="390"/>
      <c r="AA229" s="387"/>
      <c r="AB229" s="341" t="s">
        <v>316</v>
      </c>
      <c r="AC229" s="387"/>
      <c r="AD229" s="387"/>
      <c r="AE229" s="387"/>
      <c r="AF229" s="387"/>
      <c r="AG229" s="387"/>
      <c r="AH229" s="387"/>
      <c r="AI229" s="387"/>
      <c r="AJ229" s="387"/>
      <c r="AK229" s="387"/>
      <c r="AL229" s="387"/>
      <c r="AM229" s="387"/>
      <c r="AN229" s="387"/>
      <c r="AO229" s="387"/>
      <c r="AP229" s="387"/>
      <c r="AQ229" s="387"/>
      <c r="AR229" s="387"/>
      <c r="AS229" s="387"/>
      <c r="AT229" s="387"/>
    </row>
    <row r="230">
      <c r="A230" s="385">
        <v>2016.0</v>
      </c>
      <c r="B230" s="395">
        <v>45061.25110784722</v>
      </c>
      <c r="C230" s="387" t="s">
        <v>685</v>
      </c>
      <c r="D230" s="385">
        <v>1.600016114E9</v>
      </c>
      <c r="E230" s="387" t="s">
        <v>686</v>
      </c>
      <c r="F230" s="388" t="s">
        <v>687</v>
      </c>
      <c r="G230" s="387" t="s">
        <v>688</v>
      </c>
      <c r="H230" s="389">
        <v>44302.0</v>
      </c>
      <c r="I230" s="389">
        <v>44506.0</v>
      </c>
      <c r="J230" s="387" t="s">
        <v>399</v>
      </c>
      <c r="K230" s="387" t="s">
        <v>241</v>
      </c>
      <c r="L230" s="387" t="s">
        <v>3062</v>
      </c>
      <c r="M230" s="390"/>
      <c r="N230" s="390"/>
      <c r="O230" s="390"/>
      <c r="P230" s="390"/>
      <c r="Q230" s="390"/>
      <c r="R230" s="390"/>
      <c r="S230" s="387" t="s">
        <v>3581</v>
      </c>
      <c r="T230" s="387" t="s">
        <v>241</v>
      </c>
      <c r="U230" s="387" t="s">
        <v>3062</v>
      </c>
      <c r="V230" s="387" t="s">
        <v>2951</v>
      </c>
      <c r="W230" s="394">
        <v>45073.0</v>
      </c>
      <c r="X230" s="387" t="s">
        <v>3373</v>
      </c>
      <c r="Y230" s="397" t="s">
        <v>1948</v>
      </c>
      <c r="Z230" s="390"/>
      <c r="AA230" s="387"/>
      <c r="AB230" s="341" t="s">
        <v>316</v>
      </c>
      <c r="AC230" s="387"/>
      <c r="AD230" s="387"/>
      <c r="AE230" s="387"/>
      <c r="AF230" s="387"/>
      <c r="AG230" s="387"/>
      <c r="AH230" s="387"/>
      <c r="AI230" s="387"/>
      <c r="AJ230" s="387"/>
      <c r="AK230" s="387"/>
      <c r="AL230" s="387"/>
      <c r="AM230" s="387"/>
      <c r="AN230" s="387"/>
      <c r="AO230" s="387"/>
      <c r="AP230" s="387"/>
      <c r="AQ230" s="387"/>
      <c r="AR230" s="387"/>
      <c r="AS230" s="387"/>
      <c r="AT230" s="387"/>
    </row>
    <row r="231">
      <c r="A231" s="385">
        <v>2017.0</v>
      </c>
      <c r="B231" s="395">
        <v>45062.98888547454</v>
      </c>
      <c r="C231" s="387" t="s">
        <v>389</v>
      </c>
      <c r="D231" s="385">
        <v>1.700016082E9</v>
      </c>
      <c r="E231" s="387" t="s">
        <v>390</v>
      </c>
      <c r="F231" s="387" t="s">
        <v>3582</v>
      </c>
      <c r="G231" s="387" t="s">
        <v>392</v>
      </c>
      <c r="H231" s="389">
        <v>44270.0</v>
      </c>
      <c r="I231" s="389">
        <v>44308.0</v>
      </c>
      <c r="J231" s="387" t="s">
        <v>399</v>
      </c>
      <c r="K231" s="387" t="s">
        <v>2379</v>
      </c>
      <c r="L231" s="387" t="s">
        <v>183</v>
      </c>
      <c r="M231" s="390"/>
      <c r="N231" s="390"/>
      <c r="O231" s="390"/>
      <c r="P231" s="390"/>
      <c r="Q231" s="390"/>
      <c r="R231" s="390"/>
      <c r="S231" s="387" t="s">
        <v>3583</v>
      </c>
      <c r="T231" s="387" t="s">
        <v>2379</v>
      </c>
      <c r="U231" s="387" t="s">
        <v>183</v>
      </c>
      <c r="V231" s="387" t="s">
        <v>3136</v>
      </c>
      <c r="W231" s="394">
        <v>45075.0</v>
      </c>
      <c r="X231" s="387" t="s">
        <v>3331</v>
      </c>
      <c r="Y231" s="397" t="s">
        <v>1948</v>
      </c>
      <c r="Z231" s="390"/>
      <c r="AA231" s="387"/>
      <c r="AB231" s="341" t="s">
        <v>316</v>
      </c>
      <c r="AC231" s="387"/>
      <c r="AD231" s="387"/>
      <c r="AE231" s="387"/>
      <c r="AF231" s="387"/>
      <c r="AG231" s="387"/>
      <c r="AH231" s="387"/>
      <c r="AI231" s="387"/>
      <c r="AJ231" s="387"/>
      <c r="AK231" s="387"/>
      <c r="AL231" s="387"/>
      <c r="AM231" s="387"/>
      <c r="AN231" s="387"/>
      <c r="AO231" s="387"/>
      <c r="AP231" s="387"/>
      <c r="AQ231" s="387"/>
      <c r="AR231" s="387"/>
      <c r="AS231" s="387"/>
      <c r="AT231" s="387"/>
    </row>
    <row r="232">
      <c r="A232" s="385">
        <v>2018.0</v>
      </c>
      <c r="B232" s="395">
        <v>45089.486813275464</v>
      </c>
      <c r="C232" s="387" t="s">
        <v>992</v>
      </c>
      <c r="D232" s="385">
        <v>1.800016126E9</v>
      </c>
      <c r="E232" s="387" t="s">
        <v>993</v>
      </c>
      <c r="F232" s="388" t="s">
        <v>994</v>
      </c>
      <c r="G232" s="387" t="s">
        <v>3584</v>
      </c>
      <c r="H232" s="389">
        <v>44816.0</v>
      </c>
      <c r="I232" s="389">
        <v>44743.0</v>
      </c>
      <c r="J232" s="387" t="s">
        <v>399</v>
      </c>
      <c r="K232" s="387" t="s">
        <v>117</v>
      </c>
      <c r="L232" s="387" t="s">
        <v>703</v>
      </c>
      <c r="M232" s="390"/>
      <c r="N232" s="390"/>
      <c r="O232" s="390"/>
      <c r="P232" s="390"/>
      <c r="Q232" s="390"/>
      <c r="R232" s="390"/>
      <c r="S232" s="387" t="s">
        <v>3585</v>
      </c>
      <c r="T232" s="387" t="s">
        <v>117</v>
      </c>
      <c r="U232" s="387" t="s">
        <v>703</v>
      </c>
      <c r="V232" s="387" t="s">
        <v>183</v>
      </c>
      <c r="W232" s="394">
        <v>45097.0</v>
      </c>
      <c r="X232" s="387" t="s">
        <v>3586</v>
      </c>
      <c r="Y232" s="397" t="s">
        <v>1948</v>
      </c>
      <c r="Z232" s="390"/>
      <c r="AA232" s="387"/>
      <c r="AB232" s="341" t="s">
        <v>316</v>
      </c>
      <c r="AC232" s="387"/>
      <c r="AD232" s="387"/>
      <c r="AE232" s="387"/>
      <c r="AF232" s="387"/>
      <c r="AG232" s="387"/>
      <c r="AH232" s="387"/>
      <c r="AI232" s="387"/>
      <c r="AJ232" s="387"/>
      <c r="AK232" s="387"/>
      <c r="AL232" s="387"/>
      <c r="AM232" s="387"/>
      <c r="AN232" s="387"/>
      <c r="AO232" s="387"/>
      <c r="AP232" s="387"/>
      <c r="AQ232" s="387"/>
      <c r="AR232" s="387"/>
      <c r="AS232" s="387"/>
      <c r="AT232" s="387"/>
    </row>
    <row r="233">
      <c r="A233" s="385">
        <v>2019.0</v>
      </c>
      <c r="B233" s="395">
        <v>45090.58137233796</v>
      </c>
      <c r="C233" s="387" t="s">
        <v>1235</v>
      </c>
      <c r="D233" s="385">
        <v>1.900016049E9</v>
      </c>
      <c r="E233" s="387" t="s">
        <v>1236</v>
      </c>
      <c r="F233" s="388" t="s">
        <v>1237</v>
      </c>
      <c r="G233" s="387" t="s">
        <v>3587</v>
      </c>
      <c r="H233" s="389">
        <v>44956.0</v>
      </c>
      <c r="I233" s="389">
        <v>45013.0</v>
      </c>
      <c r="J233" s="387" t="s">
        <v>399</v>
      </c>
      <c r="K233" s="387" t="s">
        <v>1900</v>
      </c>
      <c r="L233" s="387" t="s">
        <v>703</v>
      </c>
      <c r="M233" s="390"/>
      <c r="N233" s="390"/>
      <c r="O233" s="390"/>
      <c r="P233" s="390"/>
      <c r="Q233" s="390"/>
      <c r="R233" s="390"/>
      <c r="S233" s="387" t="s">
        <v>3588</v>
      </c>
      <c r="T233" s="387" t="s">
        <v>1900</v>
      </c>
      <c r="U233" s="387" t="s">
        <v>703</v>
      </c>
      <c r="V233" s="387" t="s">
        <v>241</v>
      </c>
      <c r="W233" s="394">
        <v>45100.0</v>
      </c>
      <c r="X233" s="387" t="s">
        <v>3589</v>
      </c>
      <c r="Y233" s="397" t="s">
        <v>1621</v>
      </c>
      <c r="Z233" s="390"/>
      <c r="AA233" s="387"/>
      <c r="AB233" s="341" t="s">
        <v>316</v>
      </c>
      <c r="AC233" s="387"/>
      <c r="AD233" s="387"/>
      <c r="AE233" s="387"/>
      <c r="AF233" s="387"/>
      <c r="AG233" s="387"/>
      <c r="AH233" s="387"/>
      <c r="AI233" s="387"/>
      <c r="AJ233" s="387"/>
      <c r="AK233" s="387"/>
      <c r="AL233" s="387"/>
      <c r="AM233" s="387"/>
      <c r="AN233" s="387"/>
      <c r="AO233" s="387"/>
      <c r="AP233" s="387"/>
      <c r="AQ233" s="387"/>
      <c r="AR233" s="387"/>
      <c r="AS233" s="387"/>
      <c r="AT233" s="387"/>
    </row>
    <row r="234">
      <c r="A234" s="412">
        <v>2018.0</v>
      </c>
      <c r="B234" s="413">
        <v>45091.70071878472</v>
      </c>
      <c r="C234" s="414" t="s">
        <v>1145</v>
      </c>
      <c r="D234" s="412">
        <v>1.800016116E9</v>
      </c>
      <c r="E234" s="414" t="s">
        <v>1146</v>
      </c>
      <c r="F234" s="415" t="s">
        <v>1147</v>
      </c>
      <c r="G234" s="414" t="s">
        <v>3590</v>
      </c>
      <c r="H234" s="416">
        <v>44817.0</v>
      </c>
      <c r="I234" s="416">
        <v>44901.0</v>
      </c>
      <c r="J234" s="414" t="s">
        <v>399</v>
      </c>
      <c r="K234" s="414" t="s">
        <v>2379</v>
      </c>
      <c r="L234" s="414" t="s">
        <v>3062</v>
      </c>
      <c r="M234" s="417"/>
      <c r="N234" s="417"/>
      <c r="O234" s="417"/>
      <c r="P234" s="417"/>
      <c r="Q234" s="417"/>
      <c r="R234" s="417"/>
      <c r="S234" s="414" t="s">
        <v>3591</v>
      </c>
      <c r="T234" s="414" t="s">
        <v>2379</v>
      </c>
      <c r="U234" s="414" t="s">
        <v>3062</v>
      </c>
      <c r="V234" s="387" t="s">
        <v>3145</v>
      </c>
      <c r="W234" s="418">
        <v>45100.0</v>
      </c>
      <c r="X234" s="414" t="s">
        <v>3592</v>
      </c>
      <c r="Y234" s="397" t="s">
        <v>3593</v>
      </c>
      <c r="Z234" s="417"/>
      <c r="AA234" s="414"/>
      <c r="AB234" s="341" t="s">
        <v>316</v>
      </c>
      <c r="AC234" s="414"/>
      <c r="AD234" s="414"/>
      <c r="AE234" s="414"/>
      <c r="AF234" s="414"/>
      <c r="AG234" s="414"/>
      <c r="AH234" s="414"/>
      <c r="AI234" s="414"/>
      <c r="AJ234" s="414"/>
      <c r="AK234" s="414"/>
      <c r="AL234" s="414"/>
      <c r="AM234" s="414"/>
      <c r="AN234" s="414"/>
      <c r="AO234" s="414"/>
      <c r="AP234" s="414"/>
      <c r="AQ234" s="414"/>
      <c r="AR234" s="414"/>
      <c r="AS234" s="414"/>
      <c r="AT234" s="414"/>
    </row>
    <row r="235">
      <c r="A235" s="385">
        <v>2017.0</v>
      </c>
      <c r="B235" s="395">
        <v>45096.48641324074</v>
      </c>
      <c r="C235" s="387" t="s">
        <v>735</v>
      </c>
      <c r="D235" s="385">
        <v>1.700016027E9</v>
      </c>
      <c r="E235" s="387" t="s">
        <v>3594</v>
      </c>
      <c r="F235" s="387" t="s">
        <v>3595</v>
      </c>
      <c r="G235" s="387" t="s">
        <v>3596</v>
      </c>
      <c r="H235" s="389">
        <v>44774.0</v>
      </c>
      <c r="I235" s="389">
        <v>44621.0</v>
      </c>
      <c r="J235" s="387" t="s">
        <v>399</v>
      </c>
      <c r="K235" s="387" t="s">
        <v>1900</v>
      </c>
      <c r="L235" s="387" t="s">
        <v>183</v>
      </c>
      <c r="M235" s="390"/>
      <c r="N235" s="390"/>
      <c r="O235" s="390"/>
      <c r="P235" s="390"/>
      <c r="Q235" s="390"/>
      <c r="R235" s="390"/>
      <c r="S235" s="387" t="s">
        <v>3597</v>
      </c>
      <c r="T235" s="387" t="s">
        <v>1900</v>
      </c>
      <c r="U235" s="387" t="s">
        <v>183</v>
      </c>
      <c r="V235" s="387" t="s">
        <v>3136</v>
      </c>
      <c r="W235" s="418">
        <v>45103.0</v>
      </c>
      <c r="X235" s="387" t="s">
        <v>3345</v>
      </c>
      <c r="Y235" s="397" t="s">
        <v>3593</v>
      </c>
      <c r="Z235" s="390"/>
      <c r="AA235" s="387"/>
      <c r="AB235" s="341" t="s">
        <v>316</v>
      </c>
      <c r="AC235" s="387"/>
      <c r="AD235" s="387"/>
      <c r="AE235" s="387"/>
      <c r="AF235" s="387"/>
      <c r="AG235" s="387"/>
      <c r="AH235" s="387"/>
      <c r="AI235" s="387"/>
      <c r="AJ235" s="387"/>
      <c r="AK235" s="387"/>
      <c r="AL235" s="387"/>
      <c r="AM235" s="387"/>
      <c r="AN235" s="387"/>
      <c r="AO235" s="387"/>
      <c r="AP235" s="387"/>
      <c r="AQ235" s="387"/>
      <c r="AR235" s="387"/>
      <c r="AS235" s="387"/>
      <c r="AT235" s="387"/>
    </row>
    <row r="236">
      <c r="A236" s="419">
        <v>2019.0</v>
      </c>
      <c r="B236" s="420">
        <v>45100.57461805556</v>
      </c>
      <c r="C236" s="408" t="s">
        <v>3598</v>
      </c>
      <c r="D236" s="419">
        <v>1.900016188E9</v>
      </c>
      <c r="E236" s="408" t="s">
        <v>1277</v>
      </c>
      <c r="F236" s="408" t="s">
        <v>1278</v>
      </c>
      <c r="G236" s="408" t="s">
        <v>3599</v>
      </c>
      <c r="H236" s="421">
        <v>44896.0</v>
      </c>
      <c r="I236" s="421">
        <v>45028.0</v>
      </c>
      <c r="J236" s="408" t="s">
        <v>399</v>
      </c>
      <c r="K236" s="408" t="s">
        <v>183</v>
      </c>
      <c r="L236" s="408" t="s">
        <v>117</v>
      </c>
      <c r="M236" s="422"/>
      <c r="N236" s="422"/>
      <c r="O236" s="422"/>
      <c r="P236" s="422"/>
      <c r="Q236" s="422"/>
      <c r="R236" s="422"/>
      <c r="S236" s="408" t="s">
        <v>3600</v>
      </c>
      <c r="T236" s="408" t="s">
        <v>183</v>
      </c>
      <c r="U236" s="408" t="s">
        <v>117</v>
      </c>
      <c r="V236" s="387" t="s">
        <v>703</v>
      </c>
      <c r="W236" s="423">
        <v>45114.0</v>
      </c>
      <c r="X236" s="408" t="s">
        <v>689</v>
      </c>
      <c r="Y236" s="397" t="s">
        <v>3601</v>
      </c>
      <c r="Z236" s="422"/>
      <c r="AA236" s="408"/>
      <c r="AB236" s="341" t="s">
        <v>316</v>
      </c>
      <c r="AC236" s="408"/>
      <c r="AD236" s="408"/>
      <c r="AE236" s="408"/>
      <c r="AF236" s="408"/>
      <c r="AG236" s="408"/>
      <c r="AH236" s="408"/>
      <c r="AI236" s="408"/>
      <c r="AJ236" s="408"/>
      <c r="AK236" s="408"/>
      <c r="AL236" s="408"/>
      <c r="AM236" s="408"/>
      <c r="AN236" s="408"/>
      <c r="AO236" s="408"/>
      <c r="AP236" s="408"/>
      <c r="AQ236" s="408"/>
      <c r="AR236" s="408"/>
      <c r="AS236" s="408"/>
      <c r="AT236" s="408"/>
    </row>
    <row r="237">
      <c r="A237" s="385">
        <v>2019.0</v>
      </c>
      <c r="B237" s="424">
        <v>45106.6503125</v>
      </c>
      <c r="C237" s="387" t="s">
        <v>1327</v>
      </c>
      <c r="D237" s="385">
        <v>1.900016072E9</v>
      </c>
      <c r="E237" s="387" t="s">
        <v>1328</v>
      </c>
      <c r="F237" s="387" t="s">
        <v>3602</v>
      </c>
      <c r="G237" s="387" t="s">
        <v>3603</v>
      </c>
      <c r="H237" s="389">
        <v>44958.0</v>
      </c>
      <c r="I237" s="389">
        <v>45061.0</v>
      </c>
      <c r="J237" s="387" t="s">
        <v>399</v>
      </c>
      <c r="K237" s="387" t="s">
        <v>703</v>
      </c>
      <c r="L237" s="387" t="s">
        <v>1900</v>
      </c>
      <c r="M237" s="390"/>
      <c r="N237" s="390"/>
      <c r="O237" s="390"/>
      <c r="P237" s="390"/>
      <c r="Q237" s="390"/>
      <c r="R237" s="390"/>
      <c r="S237" s="387" t="s">
        <v>3604</v>
      </c>
      <c r="T237" s="387" t="s">
        <v>703</v>
      </c>
      <c r="U237" s="387" t="s">
        <v>1900</v>
      </c>
      <c r="V237" s="387" t="s">
        <v>3136</v>
      </c>
      <c r="W237" s="423">
        <v>45124.0</v>
      </c>
      <c r="X237" s="387" t="s">
        <v>3345</v>
      </c>
      <c r="Y237" s="397" t="s">
        <v>3601</v>
      </c>
      <c r="Z237" s="390"/>
      <c r="AA237" s="387"/>
      <c r="AB237" s="341" t="s">
        <v>316</v>
      </c>
      <c r="AC237" s="387"/>
      <c r="AD237" s="387"/>
      <c r="AE237" s="387"/>
      <c r="AF237" s="387"/>
      <c r="AG237" s="387"/>
      <c r="AH237" s="387"/>
      <c r="AI237" s="387"/>
      <c r="AJ237" s="387"/>
      <c r="AK237" s="387"/>
      <c r="AL237" s="387"/>
      <c r="AM237" s="387"/>
      <c r="AN237" s="387"/>
      <c r="AO237" s="387"/>
      <c r="AP237" s="387"/>
      <c r="AQ237" s="387"/>
      <c r="AR237" s="387"/>
      <c r="AS237" s="387"/>
      <c r="AT237" s="387"/>
    </row>
    <row r="238">
      <c r="A238" s="385">
        <v>2018.0</v>
      </c>
      <c r="B238" s="424">
        <v>45111.49134259259</v>
      </c>
      <c r="C238" s="408" t="s">
        <v>1122</v>
      </c>
      <c r="D238" s="419">
        <v>1.800016004E9</v>
      </c>
      <c r="E238" s="408" t="s">
        <v>1123</v>
      </c>
      <c r="F238" s="408" t="s">
        <v>1124</v>
      </c>
      <c r="G238" s="408" t="s">
        <v>3605</v>
      </c>
      <c r="H238" s="421">
        <v>44866.0</v>
      </c>
      <c r="I238" s="421">
        <v>44866.0</v>
      </c>
      <c r="J238" s="408" t="s">
        <v>399</v>
      </c>
      <c r="K238" s="408" t="s">
        <v>1900</v>
      </c>
      <c r="L238" s="408" t="s">
        <v>703</v>
      </c>
      <c r="M238" s="422"/>
      <c r="N238" s="422"/>
      <c r="O238" s="422"/>
      <c r="P238" s="422"/>
      <c r="Q238" s="422"/>
      <c r="R238" s="422"/>
      <c r="S238" s="425" t="s">
        <v>3606</v>
      </c>
      <c r="T238" s="408" t="s">
        <v>1900</v>
      </c>
      <c r="U238" s="408" t="s">
        <v>703</v>
      </c>
      <c r="V238" s="387" t="s">
        <v>3170</v>
      </c>
      <c r="W238" s="394">
        <v>45124.0</v>
      </c>
      <c r="X238" s="387" t="s">
        <v>1121</v>
      </c>
      <c r="Y238" s="397" t="s">
        <v>3601</v>
      </c>
      <c r="Z238" s="390"/>
      <c r="AA238" s="387"/>
      <c r="AB238" s="341" t="s">
        <v>316</v>
      </c>
      <c r="AC238" s="387"/>
      <c r="AD238" s="387"/>
      <c r="AE238" s="387"/>
      <c r="AF238" s="387"/>
      <c r="AG238" s="387"/>
      <c r="AH238" s="387"/>
      <c r="AI238" s="387"/>
      <c r="AJ238" s="387"/>
      <c r="AK238" s="387"/>
      <c r="AL238" s="387"/>
      <c r="AM238" s="387"/>
      <c r="AN238" s="387"/>
      <c r="AO238" s="387"/>
      <c r="AP238" s="387"/>
      <c r="AQ238" s="387"/>
      <c r="AR238" s="387"/>
      <c r="AS238" s="387"/>
      <c r="AT238" s="387"/>
    </row>
    <row r="239">
      <c r="A239" s="385">
        <v>2018.0</v>
      </c>
      <c r="B239" s="395">
        <v>45113.69026434028</v>
      </c>
      <c r="C239" s="387" t="s">
        <v>1071</v>
      </c>
      <c r="D239" s="385">
        <v>1.800016091E9</v>
      </c>
      <c r="E239" s="387" t="s">
        <v>3607</v>
      </c>
      <c r="F239" s="387" t="s">
        <v>1073</v>
      </c>
      <c r="G239" s="387" t="s">
        <v>3608</v>
      </c>
      <c r="H239" s="389">
        <v>44629.0</v>
      </c>
      <c r="I239" s="389">
        <v>44802.0</v>
      </c>
      <c r="J239" s="387" t="s">
        <v>399</v>
      </c>
      <c r="K239" s="387" t="s">
        <v>3013</v>
      </c>
      <c r="L239" s="387" t="s">
        <v>230</v>
      </c>
      <c r="M239" s="390"/>
      <c r="N239" s="390"/>
      <c r="O239" s="390"/>
      <c r="P239" s="390"/>
      <c r="Q239" s="390"/>
      <c r="R239" s="390"/>
      <c r="S239" s="387" t="s">
        <v>3609</v>
      </c>
      <c r="T239" s="387" t="s">
        <v>3013</v>
      </c>
      <c r="U239" s="387" t="s">
        <v>230</v>
      </c>
      <c r="V239" s="387" t="s">
        <v>117</v>
      </c>
      <c r="W239" s="423">
        <v>45120.0</v>
      </c>
      <c r="X239" s="408" t="s">
        <v>3334</v>
      </c>
      <c r="Y239" s="397" t="s">
        <v>3601</v>
      </c>
      <c r="Z239" s="390"/>
      <c r="AA239" s="387"/>
      <c r="AB239" s="341" t="s">
        <v>316</v>
      </c>
      <c r="AC239" s="387"/>
      <c r="AD239" s="387"/>
      <c r="AE239" s="387"/>
      <c r="AF239" s="387"/>
      <c r="AG239" s="387"/>
      <c r="AH239" s="387"/>
      <c r="AI239" s="387"/>
      <c r="AJ239" s="387"/>
      <c r="AK239" s="387"/>
      <c r="AL239" s="387"/>
      <c r="AM239" s="387"/>
      <c r="AN239" s="387"/>
      <c r="AO239" s="387"/>
      <c r="AP239" s="387"/>
      <c r="AQ239" s="387"/>
      <c r="AR239" s="387"/>
      <c r="AS239" s="387"/>
      <c r="AT239" s="387"/>
    </row>
    <row r="240">
      <c r="A240" s="385">
        <v>2019.0</v>
      </c>
      <c r="B240" s="395">
        <v>45119.852942280086</v>
      </c>
      <c r="C240" s="387" t="s">
        <v>1250</v>
      </c>
      <c r="D240" s="385">
        <v>1.900016041E9</v>
      </c>
      <c r="E240" s="387" t="s">
        <v>3610</v>
      </c>
      <c r="F240" s="387" t="s">
        <v>1252</v>
      </c>
      <c r="G240" s="387" t="s">
        <v>3611</v>
      </c>
      <c r="H240" s="389">
        <v>44866.0</v>
      </c>
      <c r="I240" s="389">
        <v>45022.0</v>
      </c>
      <c r="J240" s="387" t="s">
        <v>399</v>
      </c>
      <c r="K240" s="387" t="s">
        <v>1900</v>
      </c>
      <c r="L240" s="387" t="s">
        <v>3013</v>
      </c>
      <c r="M240" s="390"/>
      <c r="N240" s="390"/>
      <c r="O240" s="390"/>
      <c r="P240" s="390"/>
      <c r="Q240" s="390"/>
      <c r="R240" s="390"/>
      <c r="S240" s="387" t="s">
        <v>3612</v>
      </c>
      <c r="T240" s="387" t="s">
        <v>1900</v>
      </c>
      <c r="U240" s="387" t="s">
        <v>3013</v>
      </c>
      <c r="V240" s="387" t="s">
        <v>3159</v>
      </c>
      <c r="W240" s="423">
        <v>45127.0</v>
      </c>
      <c r="X240" s="408" t="s">
        <v>3334</v>
      </c>
      <c r="Y240" s="397" t="s">
        <v>3601</v>
      </c>
      <c r="Z240" s="390"/>
      <c r="AA240" s="387"/>
      <c r="AB240" s="341" t="s">
        <v>316</v>
      </c>
      <c r="AC240" s="387"/>
      <c r="AD240" s="387"/>
      <c r="AE240" s="387"/>
      <c r="AF240" s="387"/>
      <c r="AG240" s="387"/>
      <c r="AH240" s="387"/>
      <c r="AI240" s="387"/>
      <c r="AJ240" s="387"/>
      <c r="AK240" s="387"/>
      <c r="AL240" s="387"/>
      <c r="AM240" s="387"/>
      <c r="AN240" s="387"/>
      <c r="AO240" s="387"/>
      <c r="AP240" s="387"/>
      <c r="AQ240" s="387"/>
      <c r="AR240" s="387"/>
      <c r="AS240" s="387"/>
      <c r="AT240" s="387"/>
    </row>
    <row r="241">
      <c r="A241" s="426">
        <v>2017.0</v>
      </c>
      <c r="B241" s="427">
        <v>45122.275971724535</v>
      </c>
      <c r="C241" s="428" t="s">
        <v>3613</v>
      </c>
      <c r="D241" s="426">
        <v>1.70001604E9</v>
      </c>
      <c r="E241" s="428" t="s">
        <v>1150</v>
      </c>
      <c r="F241" s="428" t="s">
        <v>1151</v>
      </c>
      <c r="G241" s="428" t="s">
        <v>3614</v>
      </c>
      <c r="H241" s="429">
        <v>44647.0</v>
      </c>
      <c r="I241" s="429">
        <v>44907.0</v>
      </c>
      <c r="J241" s="428" t="s">
        <v>399</v>
      </c>
      <c r="K241" s="428" t="s">
        <v>117</v>
      </c>
      <c r="L241" s="428" t="s">
        <v>1900</v>
      </c>
      <c r="M241" s="430"/>
      <c r="N241" s="430"/>
      <c r="O241" s="430"/>
      <c r="P241" s="430"/>
      <c r="Q241" s="430"/>
      <c r="R241" s="430"/>
      <c r="S241" s="428" t="s">
        <v>3615</v>
      </c>
      <c r="T241" s="428" t="s">
        <v>117</v>
      </c>
      <c r="U241" s="428" t="s">
        <v>1900</v>
      </c>
      <c r="V241" s="387" t="s">
        <v>3170</v>
      </c>
      <c r="W241" s="431">
        <v>45131.0</v>
      </c>
      <c r="X241" s="408" t="s">
        <v>3334</v>
      </c>
      <c r="Y241" s="397" t="s">
        <v>3601</v>
      </c>
      <c r="Z241" s="422"/>
      <c r="AA241" s="408"/>
      <c r="AB241" s="341" t="s">
        <v>316</v>
      </c>
      <c r="AC241" s="408"/>
      <c r="AD241" s="408"/>
      <c r="AE241" s="408"/>
      <c r="AF241" s="408"/>
      <c r="AG241" s="408"/>
      <c r="AH241" s="408"/>
      <c r="AI241" s="408"/>
      <c r="AJ241" s="408"/>
      <c r="AK241" s="408"/>
      <c r="AL241" s="408"/>
      <c r="AM241" s="408"/>
      <c r="AN241" s="408"/>
      <c r="AO241" s="408"/>
      <c r="AP241" s="408"/>
      <c r="AQ241" s="408"/>
      <c r="AR241" s="408"/>
      <c r="AS241" s="408"/>
      <c r="AT241" s="408"/>
    </row>
    <row r="242">
      <c r="A242" s="385">
        <v>2017.0</v>
      </c>
      <c r="B242" s="395">
        <v>45125.60797096065</v>
      </c>
      <c r="C242" s="387" t="s">
        <v>819</v>
      </c>
      <c r="D242" s="385">
        <v>1.700016074E9</v>
      </c>
      <c r="E242" s="387" t="s">
        <v>3616</v>
      </c>
      <c r="F242" s="387" t="s">
        <v>821</v>
      </c>
      <c r="G242" s="387" t="s">
        <v>3617</v>
      </c>
      <c r="H242" s="389">
        <v>44546.0</v>
      </c>
      <c r="I242" s="389">
        <v>44650.0</v>
      </c>
      <c r="J242" s="387" t="s">
        <v>399</v>
      </c>
      <c r="K242" s="387" t="s">
        <v>117</v>
      </c>
      <c r="L242" s="387" t="s">
        <v>241</v>
      </c>
      <c r="M242" s="390"/>
      <c r="N242" s="390"/>
      <c r="O242" s="390"/>
      <c r="P242" s="390"/>
      <c r="Q242" s="390"/>
      <c r="R242" s="390"/>
      <c r="S242" s="387" t="s">
        <v>3618</v>
      </c>
      <c r="T242" s="387" t="s">
        <v>117</v>
      </c>
      <c r="U242" s="387" t="s">
        <v>241</v>
      </c>
      <c r="V242" s="387" t="s">
        <v>703</v>
      </c>
      <c r="W242" s="394">
        <v>45135.0</v>
      </c>
      <c r="X242" s="387" t="s">
        <v>3331</v>
      </c>
      <c r="Y242" s="397" t="s">
        <v>3601</v>
      </c>
      <c r="Z242" s="387"/>
      <c r="AA242" s="387"/>
      <c r="AB242" s="341" t="s">
        <v>316</v>
      </c>
      <c r="AC242" s="387"/>
      <c r="AD242" s="387"/>
      <c r="AE242" s="387"/>
      <c r="AF242" s="387"/>
      <c r="AG242" s="387"/>
      <c r="AH242" s="387"/>
      <c r="AI242" s="387"/>
      <c r="AJ242" s="387"/>
      <c r="AK242" s="387"/>
      <c r="AL242" s="387"/>
      <c r="AM242" s="387"/>
      <c r="AN242" s="387"/>
      <c r="AO242" s="387"/>
      <c r="AP242" s="387"/>
      <c r="AQ242" s="387"/>
      <c r="AR242" s="387"/>
      <c r="AS242" s="387"/>
      <c r="AT242" s="387"/>
    </row>
    <row r="243">
      <c r="A243" s="385">
        <v>2017.0</v>
      </c>
      <c r="B243" s="395">
        <v>45125.885850810184</v>
      </c>
      <c r="C243" s="387" t="s">
        <v>1183</v>
      </c>
      <c r="D243" s="385">
        <v>1.70001613E9</v>
      </c>
      <c r="E243" s="387" t="s">
        <v>1184</v>
      </c>
      <c r="F243" s="387" t="s">
        <v>1185</v>
      </c>
      <c r="G243" s="387" t="s">
        <v>1186</v>
      </c>
      <c r="H243" s="389">
        <v>44962.0</v>
      </c>
      <c r="I243" s="389">
        <v>44930.0</v>
      </c>
      <c r="J243" s="387" t="s">
        <v>399</v>
      </c>
      <c r="K243" s="387" t="s">
        <v>241</v>
      </c>
      <c r="L243" s="387" t="s">
        <v>703</v>
      </c>
      <c r="M243" s="390"/>
      <c r="N243" s="390"/>
      <c r="O243" s="390"/>
      <c r="P243" s="390"/>
      <c r="Q243" s="390"/>
      <c r="R243" s="390"/>
      <c r="S243" s="387" t="s">
        <v>3619</v>
      </c>
      <c r="T243" s="387" t="s">
        <v>241</v>
      </c>
      <c r="U243" s="387" t="s">
        <v>703</v>
      </c>
      <c r="V243" s="387" t="s">
        <v>117</v>
      </c>
      <c r="W243" s="394">
        <v>45134.0</v>
      </c>
      <c r="X243" s="387" t="s">
        <v>3345</v>
      </c>
      <c r="Y243" s="397" t="s">
        <v>3601</v>
      </c>
      <c r="Z243" s="387"/>
      <c r="AA243" s="387"/>
      <c r="AB243" s="341" t="s">
        <v>316</v>
      </c>
      <c r="AC243" s="387"/>
      <c r="AD243" s="387"/>
      <c r="AE243" s="387"/>
      <c r="AF243" s="387"/>
      <c r="AG243" s="387"/>
      <c r="AH243" s="387"/>
      <c r="AI243" s="387"/>
      <c r="AJ243" s="387"/>
      <c r="AK243" s="387"/>
      <c r="AL243" s="387"/>
      <c r="AM243" s="387"/>
      <c r="AN243" s="387"/>
      <c r="AO243" s="387"/>
      <c r="AP243" s="387"/>
      <c r="AQ243" s="387"/>
      <c r="AR243" s="387"/>
      <c r="AS243" s="387"/>
      <c r="AT243" s="387"/>
    </row>
    <row r="244">
      <c r="A244" s="426">
        <v>2016.0</v>
      </c>
      <c r="B244" s="427">
        <v>45126.561025347226</v>
      </c>
      <c r="C244" s="428" t="s">
        <v>1372</v>
      </c>
      <c r="D244" s="426">
        <v>1.600016061E9</v>
      </c>
      <c r="E244" s="428" t="s">
        <v>1373</v>
      </c>
      <c r="F244" s="428" t="s">
        <v>1374</v>
      </c>
      <c r="G244" s="428" t="s">
        <v>3620</v>
      </c>
      <c r="H244" s="429">
        <v>45047.0</v>
      </c>
      <c r="I244" s="429">
        <v>45079.0</v>
      </c>
      <c r="J244" s="428" t="s">
        <v>399</v>
      </c>
      <c r="K244" s="428" t="s">
        <v>117</v>
      </c>
      <c r="L244" s="428" t="s">
        <v>1900</v>
      </c>
      <c r="M244" s="430"/>
      <c r="N244" s="430"/>
      <c r="O244" s="430"/>
      <c r="P244" s="430"/>
      <c r="Q244" s="430"/>
      <c r="R244" s="430"/>
      <c r="S244" s="428" t="s">
        <v>3621</v>
      </c>
      <c r="T244" s="428" t="s">
        <v>117</v>
      </c>
      <c r="U244" s="428" t="s">
        <v>1900</v>
      </c>
      <c r="V244" s="387" t="s">
        <v>3136</v>
      </c>
      <c r="W244" s="431">
        <v>45131.0</v>
      </c>
      <c r="X244" s="428" t="s">
        <v>3524</v>
      </c>
      <c r="Y244" s="397" t="s">
        <v>3601</v>
      </c>
      <c r="Z244" s="408"/>
      <c r="AA244" s="408"/>
      <c r="AB244" s="341" t="s">
        <v>316</v>
      </c>
      <c r="AC244" s="408"/>
      <c r="AD244" s="408"/>
      <c r="AE244" s="408"/>
      <c r="AF244" s="408"/>
      <c r="AG244" s="408"/>
      <c r="AH244" s="408"/>
      <c r="AI244" s="408"/>
      <c r="AJ244" s="408"/>
      <c r="AK244" s="408"/>
      <c r="AL244" s="408"/>
      <c r="AM244" s="408"/>
      <c r="AN244" s="408"/>
      <c r="AO244" s="408"/>
      <c r="AP244" s="408"/>
      <c r="AQ244" s="408"/>
      <c r="AR244" s="408"/>
      <c r="AS244" s="408"/>
      <c r="AT244" s="408"/>
    </row>
    <row r="245">
      <c r="A245" s="385">
        <v>2017.0</v>
      </c>
      <c r="B245" s="395">
        <v>45126.62013289352</v>
      </c>
      <c r="C245" s="387" t="s">
        <v>1188</v>
      </c>
      <c r="D245" s="385">
        <v>1.700016042E9</v>
      </c>
      <c r="E245" s="387" t="s">
        <v>1189</v>
      </c>
      <c r="F245" s="387" t="s">
        <v>1190</v>
      </c>
      <c r="G245" s="387" t="s">
        <v>3622</v>
      </c>
      <c r="H245" s="389">
        <v>44927.0</v>
      </c>
      <c r="I245" s="389">
        <v>44959.0</v>
      </c>
      <c r="J245" s="387" t="s">
        <v>399</v>
      </c>
      <c r="K245" s="387" t="s">
        <v>3013</v>
      </c>
      <c r="L245" s="387" t="s">
        <v>1900</v>
      </c>
      <c r="M245" s="390"/>
      <c r="N245" s="390"/>
      <c r="O245" s="390"/>
      <c r="P245" s="390"/>
      <c r="Q245" s="390"/>
      <c r="R245" s="390"/>
      <c r="S245" s="387" t="s">
        <v>3623</v>
      </c>
      <c r="T245" s="387" t="s">
        <v>3013</v>
      </c>
      <c r="U245" s="387" t="s">
        <v>1900</v>
      </c>
      <c r="V245" s="387" t="s">
        <v>183</v>
      </c>
      <c r="W245" s="394">
        <v>45134.0</v>
      </c>
      <c r="X245" s="387" t="s">
        <v>3373</v>
      </c>
      <c r="Y245" s="397" t="s">
        <v>1621</v>
      </c>
      <c r="Z245" s="390"/>
      <c r="AA245" s="387"/>
      <c r="AB245" s="341" t="s">
        <v>316</v>
      </c>
      <c r="AC245" s="387"/>
      <c r="AD245" s="387"/>
      <c r="AE245" s="387"/>
      <c r="AF245" s="387"/>
      <c r="AG245" s="387"/>
      <c r="AH245" s="387"/>
      <c r="AI245" s="387"/>
      <c r="AJ245" s="387"/>
      <c r="AK245" s="387"/>
      <c r="AL245" s="387"/>
      <c r="AM245" s="387"/>
      <c r="AN245" s="387"/>
      <c r="AO245" s="387"/>
      <c r="AP245" s="387"/>
      <c r="AQ245" s="387"/>
      <c r="AR245" s="387"/>
      <c r="AS245" s="387"/>
      <c r="AT245" s="387"/>
    </row>
    <row r="246">
      <c r="A246" s="385">
        <v>2016.0</v>
      </c>
      <c r="B246" s="427">
        <v>45127.457767604166</v>
      </c>
      <c r="C246" s="428" t="s">
        <v>1214</v>
      </c>
      <c r="D246" s="426">
        <v>1.600016121E9</v>
      </c>
      <c r="E246" s="428" t="s">
        <v>3624</v>
      </c>
      <c r="F246" s="428" t="s">
        <v>1216</v>
      </c>
      <c r="G246" s="428" t="s">
        <v>3625</v>
      </c>
      <c r="H246" s="429">
        <v>44917.0</v>
      </c>
      <c r="I246" s="429">
        <v>44977.0</v>
      </c>
      <c r="J246" s="428" t="s">
        <v>399</v>
      </c>
      <c r="K246" s="428" t="s">
        <v>117</v>
      </c>
      <c r="L246" s="428" t="s">
        <v>703</v>
      </c>
      <c r="M246" s="430"/>
      <c r="N246" s="430"/>
      <c r="O246" s="430"/>
      <c r="P246" s="430"/>
      <c r="Q246" s="430"/>
      <c r="R246" s="430"/>
      <c r="S246" s="428" t="s">
        <v>3626</v>
      </c>
      <c r="T246" s="428" t="s">
        <v>117</v>
      </c>
      <c r="U246" s="428" t="s">
        <v>703</v>
      </c>
      <c r="V246" s="387" t="s">
        <v>2951</v>
      </c>
      <c r="W246" s="431">
        <v>45132.0</v>
      </c>
      <c r="X246" s="387" t="s">
        <v>3373</v>
      </c>
      <c r="Y246" s="397" t="s">
        <v>3601</v>
      </c>
      <c r="Z246" s="422"/>
      <c r="AA246" s="432"/>
      <c r="AB246" s="341" t="s">
        <v>316</v>
      </c>
      <c r="AC246" s="408"/>
      <c r="AD246" s="408"/>
      <c r="AE246" s="408"/>
      <c r="AF246" s="408"/>
      <c r="AG246" s="408"/>
      <c r="AH246" s="408"/>
      <c r="AI246" s="408"/>
      <c r="AJ246" s="408"/>
      <c r="AK246" s="408"/>
      <c r="AL246" s="408"/>
      <c r="AM246" s="408"/>
      <c r="AN246" s="387"/>
      <c r="AO246" s="387"/>
      <c r="AP246" s="387"/>
      <c r="AQ246" s="387"/>
      <c r="AR246" s="387"/>
      <c r="AS246" s="387"/>
      <c r="AT246" s="387"/>
    </row>
    <row r="247">
      <c r="A247" s="385">
        <v>2019.0</v>
      </c>
      <c r="B247" s="427">
        <v>45128.71277005787</v>
      </c>
      <c r="C247" s="428" t="s">
        <v>3627</v>
      </c>
      <c r="D247" s="426">
        <v>1.900016158E9</v>
      </c>
      <c r="E247" s="428" t="s">
        <v>1398</v>
      </c>
      <c r="F247" s="428" t="s">
        <v>1399</v>
      </c>
      <c r="G247" s="428" t="s">
        <v>3628</v>
      </c>
      <c r="H247" s="429">
        <v>44998.0</v>
      </c>
      <c r="I247" s="429">
        <v>45082.0</v>
      </c>
      <c r="J247" s="428" t="s">
        <v>399</v>
      </c>
      <c r="K247" s="428" t="s">
        <v>3013</v>
      </c>
      <c r="L247" s="428" t="s">
        <v>1900</v>
      </c>
      <c r="M247" s="430"/>
      <c r="N247" s="430"/>
      <c r="O247" s="430"/>
      <c r="P247" s="430"/>
      <c r="Q247" s="430"/>
      <c r="R247" s="430"/>
      <c r="S247" s="428" t="s">
        <v>3629</v>
      </c>
      <c r="T247" s="428" t="s">
        <v>3013</v>
      </c>
      <c r="U247" s="428" t="s">
        <v>1900</v>
      </c>
      <c r="V247" s="387" t="s">
        <v>703</v>
      </c>
      <c r="W247" s="431">
        <v>45136.0</v>
      </c>
      <c r="X247" s="428" t="s">
        <v>3331</v>
      </c>
      <c r="Y247" s="433" t="s">
        <v>3601</v>
      </c>
      <c r="Z247" s="422"/>
      <c r="AA247" s="432"/>
      <c r="AB247" s="341" t="s">
        <v>316</v>
      </c>
      <c r="AC247" s="408"/>
      <c r="AD247" s="408"/>
      <c r="AE247" s="408"/>
      <c r="AF247" s="408"/>
      <c r="AG247" s="408"/>
      <c r="AH247" s="408"/>
      <c r="AI247" s="408"/>
      <c r="AJ247" s="408"/>
      <c r="AK247" s="408"/>
      <c r="AL247" s="408"/>
      <c r="AM247" s="408"/>
      <c r="AN247" s="387"/>
      <c r="AO247" s="387"/>
      <c r="AP247" s="387"/>
      <c r="AQ247" s="387"/>
      <c r="AR247" s="387"/>
      <c r="AS247" s="387"/>
      <c r="AT247" s="387"/>
    </row>
    <row r="248">
      <c r="A248" s="385">
        <v>2016.0</v>
      </c>
      <c r="B248" s="395">
        <v>45129.96208824074</v>
      </c>
      <c r="C248" s="387" t="s">
        <v>3630</v>
      </c>
      <c r="D248" s="385">
        <v>1.600016033E9</v>
      </c>
      <c r="E248" s="387" t="s">
        <v>3631</v>
      </c>
      <c r="F248" s="387" t="s">
        <v>3632</v>
      </c>
      <c r="G248" s="387" t="s">
        <v>3633</v>
      </c>
      <c r="H248" s="389">
        <v>44032.0</v>
      </c>
      <c r="I248" s="389">
        <v>43992.0</v>
      </c>
      <c r="J248" s="387" t="s">
        <v>399</v>
      </c>
      <c r="K248" s="387" t="s">
        <v>2379</v>
      </c>
      <c r="L248" s="387" t="s">
        <v>3062</v>
      </c>
      <c r="M248" s="390"/>
      <c r="N248" s="390"/>
      <c r="O248" s="390"/>
      <c r="P248" s="390"/>
      <c r="Q248" s="390"/>
      <c r="R248" s="390"/>
      <c r="S248" s="387" t="s">
        <v>3634</v>
      </c>
      <c r="T248" s="387" t="s">
        <v>2379</v>
      </c>
      <c r="U248" s="387" t="s">
        <v>3062</v>
      </c>
      <c r="V248" s="387" t="s">
        <v>117</v>
      </c>
      <c r="W248" s="431">
        <v>45132.0</v>
      </c>
      <c r="X248" s="428" t="s">
        <v>3524</v>
      </c>
      <c r="Y248" s="397" t="s">
        <v>3593</v>
      </c>
      <c r="Z248" s="390"/>
      <c r="AA248" s="434"/>
      <c r="AB248" s="341" t="s">
        <v>316</v>
      </c>
      <c r="AC248" s="387"/>
      <c r="AD248" s="387"/>
      <c r="AE248" s="387"/>
      <c r="AF248" s="387"/>
      <c r="AG248" s="387"/>
      <c r="AH248" s="387"/>
      <c r="AI248" s="387"/>
      <c r="AJ248" s="387"/>
      <c r="AK248" s="387"/>
      <c r="AL248" s="387"/>
      <c r="AM248" s="387"/>
      <c r="AN248" s="387"/>
      <c r="AO248" s="387"/>
      <c r="AP248" s="387"/>
      <c r="AQ248" s="387"/>
      <c r="AR248" s="387"/>
      <c r="AS248" s="387"/>
      <c r="AT248" s="387"/>
    </row>
    <row r="249">
      <c r="A249" s="385">
        <v>2018.0</v>
      </c>
      <c r="B249" s="395">
        <v>45131.553615717596</v>
      </c>
      <c r="C249" s="387" t="s">
        <v>870</v>
      </c>
      <c r="D249" s="385">
        <v>1.800016029E9</v>
      </c>
      <c r="E249" s="387" t="s">
        <v>871</v>
      </c>
      <c r="F249" s="387" t="s">
        <v>872</v>
      </c>
      <c r="G249" s="387" t="s">
        <v>873</v>
      </c>
      <c r="H249" s="389">
        <v>44482.0</v>
      </c>
      <c r="I249" s="389">
        <v>44665.0</v>
      </c>
      <c r="J249" s="387" t="s">
        <v>399</v>
      </c>
      <c r="K249" s="387" t="s">
        <v>3013</v>
      </c>
      <c r="L249" s="387" t="s">
        <v>3062</v>
      </c>
      <c r="M249" s="390"/>
      <c r="N249" s="390"/>
      <c r="O249" s="390"/>
      <c r="P249" s="390"/>
      <c r="Q249" s="390"/>
      <c r="R249" s="390"/>
      <c r="S249" s="387" t="s">
        <v>3635</v>
      </c>
      <c r="T249" s="387" t="s">
        <v>3013</v>
      </c>
      <c r="U249" s="387" t="s">
        <v>3062</v>
      </c>
      <c r="V249" s="387" t="s">
        <v>703</v>
      </c>
      <c r="W249" s="394">
        <v>45139.0</v>
      </c>
      <c r="X249" s="387" t="s">
        <v>3373</v>
      </c>
      <c r="Y249" s="397" t="s">
        <v>3593</v>
      </c>
      <c r="Z249" s="390"/>
      <c r="AA249" s="434"/>
      <c r="AB249" s="341" t="s">
        <v>316</v>
      </c>
      <c r="AC249" s="387"/>
      <c r="AD249" s="387"/>
      <c r="AE249" s="387"/>
      <c r="AF249" s="387"/>
      <c r="AG249" s="387"/>
      <c r="AH249" s="387"/>
      <c r="AI249" s="387"/>
      <c r="AJ249" s="387"/>
      <c r="AK249" s="387"/>
      <c r="AL249" s="387"/>
      <c r="AM249" s="387"/>
      <c r="AN249" s="387"/>
      <c r="AO249" s="387"/>
      <c r="AP249" s="387"/>
      <c r="AQ249" s="387"/>
      <c r="AR249" s="387"/>
      <c r="AS249" s="387"/>
      <c r="AT249" s="387"/>
    </row>
    <row r="250">
      <c r="A250" s="385">
        <v>2018.0</v>
      </c>
      <c r="B250" s="395">
        <v>45132.61842052083</v>
      </c>
      <c r="C250" s="387" t="s">
        <v>1038</v>
      </c>
      <c r="D250" s="385">
        <v>1.800016016E9</v>
      </c>
      <c r="E250" s="387" t="s">
        <v>1039</v>
      </c>
      <c r="F250" s="387" t="s">
        <v>1040</v>
      </c>
      <c r="G250" s="387" t="s">
        <v>3636</v>
      </c>
      <c r="H250" s="389">
        <v>44756.0</v>
      </c>
      <c r="I250" s="389">
        <v>44756.0</v>
      </c>
      <c r="J250" s="387" t="s">
        <v>399</v>
      </c>
      <c r="K250" s="387" t="s">
        <v>183</v>
      </c>
      <c r="L250" s="387" t="s">
        <v>1900</v>
      </c>
      <c r="M250" s="390"/>
      <c r="N250" s="390"/>
      <c r="O250" s="390"/>
      <c r="P250" s="390"/>
      <c r="Q250" s="390"/>
      <c r="R250" s="390"/>
      <c r="S250" s="387" t="s">
        <v>3637</v>
      </c>
      <c r="T250" s="387" t="s">
        <v>183</v>
      </c>
      <c r="U250" s="387" t="s">
        <v>1900</v>
      </c>
      <c r="V250" s="387" t="s">
        <v>117</v>
      </c>
      <c r="W250" s="394">
        <v>45139.0</v>
      </c>
      <c r="X250" s="387" t="s">
        <v>3586</v>
      </c>
      <c r="Y250" s="397" t="s">
        <v>3593</v>
      </c>
      <c r="Z250" s="390"/>
      <c r="AA250" s="434"/>
      <c r="AB250" s="341" t="s">
        <v>316</v>
      </c>
      <c r="AC250" s="387"/>
      <c r="AD250" s="387"/>
      <c r="AE250" s="387"/>
      <c r="AF250" s="387"/>
      <c r="AG250" s="387"/>
      <c r="AH250" s="387"/>
      <c r="AI250" s="387"/>
      <c r="AJ250" s="387"/>
      <c r="AK250" s="387"/>
      <c r="AL250" s="387"/>
      <c r="AM250" s="387"/>
      <c r="AN250" s="387"/>
      <c r="AO250" s="387"/>
      <c r="AP250" s="387"/>
      <c r="AQ250" s="387"/>
      <c r="AR250" s="387"/>
      <c r="AS250" s="387"/>
      <c r="AT250" s="387"/>
    </row>
    <row r="251">
      <c r="A251" s="385">
        <v>2016.0</v>
      </c>
      <c r="B251" s="395">
        <v>45132.63187175926</v>
      </c>
      <c r="C251" s="387" t="s">
        <v>1337</v>
      </c>
      <c r="D251" s="385">
        <v>1.600016066E9</v>
      </c>
      <c r="E251" s="387" t="s">
        <v>1338</v>
      </c>
      <c r="F251" s="387" t="s">
        <v>1339</v>
      </c>
      <c r="G251" s="387" t="s">
        <v>1340</v>
      </c>
      <c r="H251" s="389">
        <v>45004.0</v>
      </c>
      <c r="I251" s="389">
        <v>45061.0</v>
      </c>
      <c r="J251" s="387" t="s">
        <v>399</v>
      </c>
      <c r="K251" s="387" t="s">
        <v>117</v>
      </c>
      <c r="L251" s="387" t="s">
        <v>3638</v>
      </c>
      <c r="M251" s="390"/>
      <c r="N251" s="390"/>
      <c r="O251" s="390"/>
      <c r="P251" s="390"/>
      <c r="Q251" s="390"/>
      <c r="R251" s="390"/>
      <c r="S251" s="387" t="s">
        <v>3639</v>
      </c>
      <c r="T251" s="387" t="s">
        <v>117</v>
      </c>
      <c r="U251" s="387" t="s">
        <v>703</v>
      </c>
      <c r="V251" s="387" t="s">
        <v>2951</v>
      </c>
      <c r="W251" s="394">
        <v>45134.0</v>
      </c>
      <c r="X251" s="387" t="s">
        <v>3640</v>
      </c>
      <c r="Y251" s="397" t="s">
        <v>3593</v>
      </c>
      <c r="Z251" s="390"/>
      <c r="AA251" s="434"/>
      <c r="AB251" s="341" t="s">
        <v>316</v>
      </c>
      <c r="AC251" s="387"/>
      <c r="AD251" s="387"/>
      <c r="AE251" s="387"/>
      <c r="AF251" s="387"/>
      <c r="AG251" s="387"/>
      <c r="AH251" s="387"/>
      <c r="AI251" s="387"/>
      <c r="AJ251" s="387"/>
      <c r="AK251" s="387"/>
      <c r="AL251" s="387"/>
      <c r="AM251" s="387"/>
      <c r="AN251" s="387"/>
      <c r="AO251" s="387"/>
      <c r="AP251" s="387"/>
      <c r="AQ251" s="387"/>
      <c r="AR251" s="387"/>
      <c r="AS251" s="387"/>
      <c r="AT251" s="387"/>
    </row>
    <row r="252">
      <c r="A252" s="385">
        <v>2017.0</v>
      </c>
      <c r="B252" s="395">
        <v>45134.58029694445</v>
      </c>
      <c r="C252" s="387" t="s">
        <v>1161</v>
      </c>
      <c r="D252" s="385">
        <v>1.700016126E9</v>
      </c>
      <c r="E252" s="387" t="s">
        <v>1162</v>
      </c>
      <c r="F252" s="387" t="s">
        <v>1163</v>
      </c>
      <c r="G252" s="387" t="s">
        <v>3641</v>
      </c>
      <c r="H252" s="389">
        <v>44594.0</v>
      </c>
      <c r="I252" s="389">
        <v>44917.0</v>
      </c>
      <c r="J252" s="387" t="s">
        <v>399</v>
      </c>
      <c r="K252" s="387" t="s">
        <v>117</v>
      </c>
      <c r="L252" s="387" t="s">
        <v>1900</v>
      </c>
      <c r="M252" s="390"/>
      <c r="N252" s="390"/>
      <c r="O252" s="390"/>
      <c r="P252" s="390"/>
      <c r="Q252" s="390"/>
      <c r="R252" s="390"/>
      <c r="S252" s="387" t="s">
        <v>3642</v>
      </c>
      <c r="T252" s="387" t="s">
        <v>117</v>
      </c>
      <c r="U252" s="387" t="s">
        <v>1900</v>
      </c>
      <c r="V252" s="387" t="s">
        <v>183</v>
      </c>
      <c r="W252" s="394">
        <v>45140.0</v>
      </c>
      <c r="X252" s="428" t="s">
        <v>3524</v>
      </c>
      <c r="Y252" s="397" t="s">
        <v>3593</v>
      </c>
      <c r="Z252" s="390"/>
      <c r="AA252" s="434"/>
      <c r="AB252" s="341" t="s">
        <v>316</v>
      </c>
      <c r="AC252" s="387"/>
      <c r="AD252" s="387"/>
      <c r="AE252" s="387"/>
      <c r="AF252" s="387"/>
      <c r="AG252" s="387"/>
      <c r="AH252" s="387"/>
      <c r="AI252" s="387"/>
      <c r="AJ252" s="387"/>
      <c r="AK252" s="387"/>
      <c r="AL252" s="387"/>
      <c r="AM252" s="387"/>
      <c r="AN252" s="387"/>
      <c r="AO252" s="387"/>
      <c r="AP252" s="387"/>
      <c r="AQ252" s="387"/>
      <c r="AR252" s="387"/>
      <c r="AS252" s="387"/>
      <c r="AT252" s="387"/>
    </row>
    <row r="253">
      <c r="A253" s="385">
        <v>2016.0</v>
      </c>
      <c r="B253" s="395">
        <v>45135.47870523148</v>
      </c>
      <c r="C253" s="387" t="s">
        <v>768</v>
      </c>
      <c r="D253" s="385">
        <v>1.600016032E9</v>
      </c>
      <c r="E253" s="387" t="s">
        <v>769</v>
      </c>
      <c r="F253" s="387" t="s">
        <v>770</v>
      </c>
      <c r="G253" s="387" t="s">
        <v>771</v>
      </c>
      <c r="H253" s="389">
        <v>44896.0</v>
      </c>
      <c r="I253" s="389">
        <v>44898.0</v>
      </c>
      <c r="J253" s="387" t="s">
        <v>399</v>
      </c>
      <c r="K253" s="387" t="s">
        <v>117</v>
      </c>
      <c r="L253" s="387" t="s">
        <v>1900</v>
      </c>
      <c r="M253" s="390"/>
      <c r="N253" s="390"/>
      <c r="O253" s="390"/>
      <c r="P253" s="390"/>
      <c r="Q253" s="390"/>
      <c r="R253" s="390"/>
      <c r="S253" s="387" t="s">
        <v>3643</v>
      </c>
      <c r="T253" s="387" t="s">
        <v>117</v>
      </c>
      <c r="U253" s="387" t="s">
        <v>1900</v>
      </c>
      <c r="V253" s="387" t="s">
        <v>183</v>
      </c>
      <c r="W253" s="394">
        <v>45138.0</v>
      </c>
      <c r="X253" s="387" t="s">
        <v>3640</v>
      </c>
      <c r="Y253" s="397" t="s">
        <v>3644</v>
      </c>
      <c r="Z253" s="390"/>
      <c r="AA253" s="434"/>
      <c r="AB253" s="341" t="s">
        <v>316</v>
      </c>
      <c r="AC253" s="387"/>
      <c r="AD253" s="387"/>
      <c r="AE253" s="387"/>
      <c r="AF253" s="387"/>
      <c r="AG253" s="387"/>
      <c r="AH253" s="387"/>
      <c r="AI253" s="387"/>
      <c r="AJ253" s="387"/>
      <c r="AK253" s="387"/>
      <c r="AL253" s="387"/>
      <c r="AM253" s="387"/>
      <c r="AN253" s="387"/>
      <c r="AO253" s="387"/>
      <c r="AP253" s="387"/>
      <c r="AQ253" s="387"/>
      <c r="AR253" s="387"/>
      <c r="AS253" s="387"/>
      <c r="AT253" s="387"/>
    </row>
    <row r="254">
      <c r="A254" s="385">
        <v>2016.0</v>
      </c>
      <c r="B254" s="395">
        <v>45136.472493900466</v>
      </c>
      <c r="C254" s="387" t="s">
        <v>3645</v>
      </c>
      <c r="D254" s="385">
        <v>1.60001604E9</v>
      </c>
      <c r="E254" s="387" t="s">
        <v>3646</v>
      </c>
      <c r="F254" s="387" t="s">
        <v>3647</v>
      </c>
      <c r="G254" s="387" t="s">
        <v>3648</v>
      </c>
      <c r="H254" s="389">
        <v>45110.0</v>
      </c>
      <c r="I254" s="389">
        <v>45124.0</v>
      </c>
      <c r="J254" s="387" t="s">
        <v>399</v>
      </c>
      <c r="K254" s="387" t="s">
        <v>230</v>
      </c>
      <c r="L254" s="387" t="s">
        <v>1900</v>
      </c>
      <c r="M254" s="390"/>
      <c r="N254" s="390"/>
      <c r="O254" s="390"/>
      <c r="P254" s="390"/>
      <c r="Q254" s="390"/>
      <c r="R254" s="390"/>
      <c r="S254" s="387" t="s">
        <v>3649</v>
      </c>
      <c r="T254" s="387" t="s">
        <v>230</v>
      </c>
      <c r="U254" s="387" t="s">
        <v>1900</v>
      </c>
      <c r="V254" s="387" t="s">
        <v>703</v>
      </c>
      <c r="W254" s="394">
        <v>45138.0</v>
      </c>
      <c r="X254" s="428" t="s">
        <v>3524</v>
      </c>
      <c r="Y254" s="408"/>
      <c r="Z254" s="390"/>
      <c r="AA254" s="387"/>
      <c r="AB254" s="341" t="s">
        <v>316</v>
      </c>
      <c r="AC254" s="387"/>
      <c r="AD254" s="387"/>
      <c r="AE254" s="387"/>
      <c r="AF254" s="387"/>
      <c r="AG254" s="387"/>
      <c r="AH254" s="387"/>
      <c r="AI254" s="387"/>
      <c r="AJ254" s="387"/>
      <c r="AK254" s="387"/>
      <c r="AL254" s="387"/>
      <c r="AM254" s="387"/>
      <c r="AN254" s="387"/>
      <c r="AO254" s="387"/>
      <c r="AP254" s="387"/>
      <c r="AQ254" s="387"/>
      <c r="AR254" s="387"/>
      <c r="AS254" s="387"/>
      <c r="AT254" s="387"/>
    </row>
    <row r="255">
      <c r="A255" s="385">
        <v>2018.0</v>
      </c>
      <c r="B255" s="395">
        <v>45136.731101377314</v>
      </c>
      <c r="C255" s="387" t="s">
        <v>1206</v>
      </c>
      <c r="D255" s="385">
        <v>1.800016145E9</v>
      </c>
      <c r="E255" s="387" t="s">
        <v>1158</v>
      </c>
      <c r="F255" s="387" t="s">
        <v>1159</v>
      </c>
      <c r="G255" s="387" t="s">
        <v>3650</v>
      </c>
      <c r="H255" s="389">
        <v>44935.0</v>
      </c>
      <c r="I255" s="389">
        <v>44964.0</v>
      </c>
      <c r="J255" s="387" t="s">
        <v>399</v>
      </c>
      <c r="K255" s="387" t="s">
        <v>241</v>
      </c>
      <c r="L255" s="387" t="s">
        <v>183</v>
      </c>
      <c r="M255" s="390"/>
      <c r="N255" s="390"/>
      <c r="O255" s="390"/>
      <c r="P255" s="390"/>
      <c r="Q255" s="390"/>
      <c r="R255" s="390"/>
      <c r="S255" s="387" t="s">
        <v>3651</v>
      </c>
      <c r="T255" s="387" t="s">
        <v>241</v>
      </c>
      <c r="U255" s="387" t="s">
        <v>183</v>
      </c>
      <c r="V255" s="428" t="s">
        <v>117</v>
      </c>
      <c r="W255" s="394">
        <v>45142.0</v>
      </c>
      <c r="X255" s="387" t="s">
        <v>3345</v>
      </c>
      <c r="Y255" s="397" t="s">
        <v>3593</v>
      </c>
      <c r="Z255" s="390"/>
      <c r="AA255" s="434"/>
      <c r="AB255" s="341" t="s">
        <v>316</v>
      </c>
      <c r="AC255" s="387"/>
      <c r="AD255" s="387"/>
      <c r="AE255" s="387"/>
      <c r="AF255" s="387"/>
      <c r="AG255" s="387"/>
      <c r="AH255" s="387"/>
      <c r="AI255" s="387"/>
      <c r="AJ255" s="387"/>
      <c r="AK255" s="387"/>
      <c r="AL255" s="387"/>
      <c r="AM255" s="387"/>
      <c r="AN255" s="387"/>
      <c r="AO255" s="387"/>
      <c r="AP255" s="387"/>
      <c r="AQ255" s="387"/>
      <c r="AR255" s="387"/>
      <c r="AS255" s="387"/>
      <c r="AT255" s="387"/>
    </row>
    <row r="256">
      <c r="A256" s="419">
        <v>2016.0</v>
      </c>
      <c r="B256" s="435">
        <v>45139.69039487268</v>
      </c>
      <c r="C256" s="408" t="s">
        <v>271</v>
      </c>
      <c r="D256" s="419">
        <v>1.600016053E9</v>
      </c>
      <c r="E256" s="408" t="s">
        <v>272</v>
      </c>
      <c r="F256" s="408" t="s">
        <v>273</v>
      </c>
      <c r="G256" s="408" t="s">
        <v>3652</v>
      </c>
      <c r="H256" s="421">
        <v>44109.0</v>
      </c>
      <c r="I256" s="421">
        <v>44139.0</v>
      </c>
      <c r="J256" s="408" t="s">
        <v>399</v>
      </c>
      <c r="K256" s="408" t="s">
        <v>2379</v>
      </c>
      <c r="L256" s="408" t="s">
        <v>3062</v>
      </c>
      <c r="M256" s="422"/>
      <c r="N256" s="422"/>
      <c r="O256" s="422"/>
      <c r="P256" s="422"/>
      <c r="Q256" s="422"/>
      <c r="R256" s="422"/>
      <c r="S256" s="408" t="s">
        <v>3653</v>
      </c>
      <c r="T256" s="408" t="s">
        <v>2379</v>
      </c>
      <c r="U256" s="408" t="s">
        <v>3062</v>
      </c>
      <c r="V256" s="387" t="s">
        <v>117</v>
      </c>
      <c r="W256" s="394">
        <v>45141.0</v>
      </c>
      <c r="X256" s="408" t="s">
        <v>3640</v>
      </c>
      <c r="Y256" s="397" t="s">
        <v>3593</v>
      </c>
      <c r="Z256" s="422"/>
      <c r="AA256" s="432"/>
      <c r="AB256" s="341" t="s">
        <v>316</v>
      </c>
      <c r="AC256" s="408"/>
      <c r="AD256" s="408"/>
      <c r="AE256" s="408"/>
      <c r="AF256" s="408"/>
      <c r="AG256" s="408"/>
      <c r="AH256" s="408"/>
      <c r="AI256" s="408"/>
      <c r="AJ256" s="408"/>
      <c r="AK256" s="408"/>
      <c r="AL256" s="408"/>
      <c r="AM256" s="408"/>
      <c r="AN256" s="408"/>
      <c r="AO256" s="408"/>
      <c r="AP256" s="408"/>
      <c r="AQ256" s="408"/>
      <c r="AR256" s="408"/>
      <c r="AS256" s="408"/>
      <c r="AT256" s="408"/>
    </row>
    <row r="257">
      <c r="A257" s="385">
        <v>2016.0</v>
      </c>
      <c r="B257" s="395">
        <v>45141.54220708333</v>
      </c>
      <c r="C257" s="387" t="s">
        <v>1042</v>
      </c>
      <c r="D257" s="385">
        <v>1.600016019E9</v>
      </c>
      <c r="E257" s="387" t="s">
        <v>1043</v>
      </c>
      <c r="F257" s="387" t="s">
        <v>1044</v>
      </c>
      <c r="G257" s="387" t="s">
        <v>3654</v>
      </c>
      <c r="H257" s="389">
        <v>44701.0</v>
      </c>
      <c r="I257" s="389">
        <v>44762.0</v>
      </c>
      <c r="J257" s="387" t="s">
        <v>399</v>
      </c>
      <c r="K257" s="387" t="s">
        <v>2379</v>
      </c>
      <c r="L257" s="387" t="s">
        <v>3013</v>
      </c>
      <c r="M257" s="390"/>
      <c r="N257" s="390"/>
      <c r="O257" s="390"/>
      <c r="P257" s="390"/>
      <c r="Q257" s="390"/>
      <c r="R257" s="390"/>
      <c r="S257" s="387" t="s">
        <v>3655</v>
      </c>
      <c r="T257" s="387" t="s">
        <v>2379</v>
      </c>
      <c r="U257" s="387" t="s">
        <v>3013</v>
      </c>
      <c r="V257" s="387" t="s">
        <v>2951</v>
      </c>
      <c r="W257" s="394">
        <v>45143.0</v>
      </c>
      <c r="X257" s="387" t="s">
        <v>908</v>
      </c>
      <c r="Y257" s="432"/>
      <c r="Z257" s="390"/>
      <c r="AA257" s="434"/>
      <c r="AB257" s="341" t="s">
        <v>316</v>
      </c>
      <c r="AC257" s="387"/>
      <c r="AD257" s="387"/>
      <c r="AE257" s="387"/>
      <c r="AF257" s="387"/>
      <c r="AG257" s="387"/>
      <c r="AH257" s="387"/>
      <c r="AI257" s="387"/>
      <c r="AJ257" s="387"/>
      <c r="AK257" s="387"/>
      <c r="AL257" s="387"/>
      <c r="AM257" s="387"/>
      <c r="AN257" s="387"/>
      <c r="AO257" s="387"/>
      <c r="AP257" s="387"/>
      <c r="AQ257" s="387"/>
      <c r="AR257" s="387"/>
      <c r="AS257" s="387"/>
      <c r="AT257" s="387"/>
    </row>
    <row r="258">
      <c r="A258" s="385">
        <v>2016.0</v>
      </c>
      <c r="B258" s="395">
        <v>45141.51708791667</v>
      </c>
      <c r="C258" s="387" t="s">
        <v>709</v>
      </c>
      <c r="D258" s="385">
        <v>1.600016113E9</v>
      </c>
      <c r="E258" s="387" t="s">
        <v>3656</v>
      </c>
      <c r="F258" s="387" t="s">
        <v>711</v>
      </c>
      <c r="G258" s="387" t="s">
        <v>3657</v>
      </c>
      <c r="H258" s="389">
        <v>44593.0</v>
      </c>
      <c r="I258" s="389">
        <v>44582.0</v>
      </c>
      <c r="J258" s="387" t="s">
        <v>399</v>
      </c>
      <c r="K258" s="387" t="s">
        <v>2379</v>
      </c>
      <c r="L258" s="387" t="s">
        <v>117</v>
      </c>
      <c r="M258" s="390"/>
      <c r="N258" s="390"/>
      <c r="O258" s="390"/>
      <c r="P258" s="390"/>
      <c r="Q258" s="390"/>
      <c r="R258" s="390"/>
      <c r="S258" s="387" t="s">
        <v>3658</v>
      </c>
      <c r="T258" s="387" t="s">
        <v>2379</v>
      </c>
      <c r="U258" s="387" t="s">
        <v>117</v>
      </c>
      <c r="V258" s="387" t="s">
        <v>241</v>
      </c>
      <c r="W258" s="394">
        <v>45143.0</v>
      </c>
      <c r="X258" s="387" t="s">
        <v>917</v>
      </c>
      <c r="Y258" s="432"/>
      <c r="Z258" s="390"/>
      <c r="AA258" s="434"/>
      <c r="AB258" s="341" t="s">
        <v>316</v>
      </c>
      <c r="AC258" s="387"/>
      <c r="AD258" s="387"/>
      <c r="AE258" s="387"/>
      <c r="AF258" s="387"/>
      <c r="AG258" s="387"/>
      <c r="AH258" s="387"/>
      <c r="AI258" s="387"/>
      <c r="AJ258" s="387"/>
      <c r="AK258" s="387"/>
      <c r="AL258" s="387"/>
      <c r="AM258" s="387"/>
      <c r="AN258" s="387"/>
      <c r="AO258" s="387"/>
      <c r="AP258" s="387"/>
      <c r="AQ258" s="387"/>
      <c r="AR258" s="387"/>
      <c r="AS258" s="387"/>
      <c r="AT258" s="387"/>
    </row>
    <row r="259">
      <c r="A259" s="385">
        <v>2018.0</v>
      </c>
      <c r="B259" s="395">
        <v>45142.6611333912</v>
      </c>
      <c r="C259" s="387" t="s">
        <v>1196</v>
      </c>
      <c r="D259" s="385">
        <v>1.800016157E9</v>
      </c>
      <c r="E259" s="387" t="s">
        <v>1197</v>
      </c>
      <c r="F259" s="387" t="s">
        <v>1198</v>
      </c>
      <c r="G259" s="387" t="s">
        <v>3659</v>
      </c>
      <c r="H259" s="389">
        <v>45030.0</v>
      </c>
      <c r="I259" s="389">
        <v>44959.0</v>
      </c>
      <c r="J259" s="387" t="s">
        <v>399</v>
      </c>
      <c r="K259" s="387" t="s">
        <v>241</v>
      </c>
      <c r="L259" s="387" t="s">
        <v>117</v>
      </c>
      <c r="M259" s="390"/>
      <c r="N259" s="390"/>
      <c r="O259" s="390"/>
      <c r="P259" s="390"/>
      <c r="Q259" s="390"/>
      <c r="R259" s="390"/>
      <c r="S259" s="387" t="s">
        <v>3660</v>
      </c>
      <c r="T259" s="387" t="s">
        <v>241</v>
      </c>
      <c r="U259" s="387" t="s">
        <v>117</v>
      </c>
      <c r="V259" s="387" t="s">
        <v>183</v>
      </c>
      <c r="W259" s="394">
        <v>45156.0</v>
      </c>
      <c r="X259" s="428" t="s">
        <v>3524</v>
      </c>
      <c r="Y259" s="397" t="s">
        <v>3593</v>
      </c>
      <c r="Z259" s="390"/>
      <c r="AA259" s="434"/>
      <c r="AB259" s="341" t="s">
        <v>316</v>
      </c>
      <c r="AC259" s="387"/>
      <c r="AD259" s="387"/>
      <c r="AE259" s="387"/>
      <c r="AF259" s="387"/>
      <c r="AG259" s="387"/>
      <c r="AH259" s="387"/>
      <c r="AI259" s="387"/>
      <c r="AJ259" s="387"/>
      <c r="AK259" s="387"/>
      <c r="AL259" s="387"/>
      <c r="AM259" s="387"/>
      <c r="AN259" s="387"/>
      <c r="AO259" s="387"/>
      <c r="AP259" s="387"/>
      <c r="AQ259" s="387"/>
      <c r="AR259" s="387"/>
      <c r="AS259" s="387"/>
      <c r="AT259" s="387"/>
    </row>
    <row r="260">
      <c r="A260" s="385">
        <v>2017.0</v>
      </c>
      <c r="B260" s="395">
        <v>45147.17959212963</v>
      </c>
      <c r="C260" s="387" t="s">
        <v>675</v>
      </c>
      <c r="D260" s="385">
        <v>1.700016029E9</v>
      </c>
      <c r="E260" s="387" t="s">
        <v>676</v>
      </c>
      <c r="F260" s="387" t="s">
        <v>677</v>
      </c>
      <c r="G260" s="387" t="s">
        <v>3661</v>
      </c>
      <c r="H260" s="389">
        <v>44731.0</v>
      </c>
      <c r="I260" s="389">
        <v>44666.0</v>
      </c>
      <c r="J260" s="387" t="s">
        <v>399</v>
      </c>
      <c r="K260" s="387" t="s">
        <v>117</v>
      </c>
      <c r="L260" s="387" t="s">
        <v>1900</v>
      </c>
      <c r="M260" s="390"/>
      <c r="N260" s="390"/>
      <c r="O260" s="390"/>
      <c r="P260" s="390"/>
      <c r="Q260" s="390"/>
      <c r="R260" s="390"/>
      <c r="S260" s="387" t="s">
        <v>3662</v>
      </c>
      <c r="T260" s="387" t="s">
        <v>117</v>
      </c>
      <c r="U260" s="387" t="s">
        <v>1900</v>
      </c>
      <c r="V260" s="428" t="s">
        <v>703</v>
      </c>
      <c r="W260" s="394">
        <v>45159.0</v>
      </c>
      <c r="X260" s="428" t="s">
        <v>3373</v>
      </c>
      <c r="Y260" s="397" t="s">
        <v>3593</v>
      </c>
      <c r="Z260" s="390"/>
      <c r="AA260" s="434"/>
      <c r="AB260" s="341" t="s">
        <v>316</v>
      </c>
      <c r="AC260" s="387"/>
      <c r="AD260" s="387"/>
      <c r="AE260" s="387"/>
      <c r="AF260" s="387"/>
      <c r="AG260" s="387"/>
      <c r="AH260" s="387"/>
      <c r="AI260" s="387"/>
      <c r="AJ260" s="387"/>
      <c r="AK260" s="387"/>
      <c r="AL260" s="387"/>
      <c r="AM260" s="387"/>
      <c r="AN260" s="387"/>
      <c r="AO260" s="387"/>
      <c r="AP260" s="387"/>
      <c r="AQ260" s="387"/>
      <c r="AR260" s="387"/>
      <c r="AS260" s="387"/>
      <c r="AT260" s="387"/>
    </row>
    <row r="261">
      <c r="A261" s="385">
        <v>2017.0</v>
      </c>
      <c r="B261" s="395">
        <v>45147.557740625</v>
      </c>
      <c r="C261" s="387" t="s">
        <v>1230</v>
      </c>
      <c r="D261" s="385">
        <v>1.700016057E9</v>
      </c>
      <c r="E261" s="387" t="s">
        <v>1231</v>
      </c>
      <c r="F261" s="387" t="s">
        <v>1232</v>
      </c>
      <c r="G261" s="387" t="s">
        <v>3663</v>
      </c>
      <c r="H261" s="389">
        <v>44928.0</v>
      </c>
      <c r="I261" s="389">
        <v>44987.0</v>
      </c>
      <c r="J261" s="387" t="s">
        <v>399</v>
      </c>
      <c r="K261" s="387" t="s">
        <v>183</v>
      </c>
      <c r="L261" s="387" t="s">
        <v>241</v>
      </c>
      <c r="M261" s="390"/>
      <c r="N261" s="390"/>
      <c r="O261" s="390"/>
      <c r="P261" s="390"/>
      <c r="Q261" s="390"/>
      <c r="R261" s="390"/>
      <c r="S261" s="387" t="s">
        <v>3664</v>
      </c>
      <c r="T261" s="387" t="s">
        <v>183</v>
      </c>
      <c r="U261" s="387" t="s">
        <v>241</v>
      </c>
      <c r="V261" s="428" t="s">
        <v>117</v>
      </c>
      <c r="W261" s="394">
        <v>45159.0</v>
      </c>
      <c r="X261" s="387" t="s">
        <v>689</v>
      </c>
      <c r="Y261" s="397" t="s">
        <v>3593</v>
      </c>
      <c r="Z261" s="390"/>
      <c r="AA261" s="434"/>
      <c r="AB261" s="341" t="s">
        <v>316</v>
      </c>
      <c r="AC261" s="387"/>
      <c r="AD261" s="387"/>
      <c r="AE261" s="387"/>
      <c r="AF261" s="387"/>
      <c r="AG261" s="387"/>
      <c r="AH261" s="387"/>
      <c r="AI261" s="387"/>
      <c r="AJ261" s="387"/>
      <c r="AK261" s="387"/>
      <c r="AL261" s="387"/>
      <c r="AM261" s="387"/>
      <c r="AN261" s="387"/>
      <c r="AO261" s="387"/>
      <c r="AP261" s="387"/>
      <c r="AQ261" s="387"/>
      <c r="AR261" s="387"/>
      <c r="AS261" s="387"/>
      <c r="AT261" s="387"/>
    </row>
    <row r="262">
      <c r="A262" s="385">
        <v>2017.0</v>
      </c>
      <c r="B262" s="395">
        <v>45147.95575737268</v>
      </c>
      <c r="C262" s="387" t="s">
        <v>3665</v>
      </c>
      <c r="D262" s="385">
        <v>1.700016018E9</v>
      </c>
      <c r="E262" s="387" t="s">
        <v>919</v>
      </c>
      <c r="F262" s="387" t="s">
        <v>920</v>
      </c>
      <c r="G262" s="387" t="s">
        <v>3666</v>
      </c>
      <c r="H262" s="389">
        <v>44561.0</v>
      </c>
      <c r="I262" s="389">
        <v>44700.0</v>
      </c>
      <c r="J262" s="387" t="s">
        <v>399</v>
      </c>
      <c r="K262" s="387" t="s">
        <v>117</v>
      </c>
      <c r="L262" s="387" t="s">
        <v>703</v>
      </c>
      <c r="M262" s="390"/>
      <c r="N262" s="390"/>
      <c r="O262" s="390"/>
      <c r="P262" s="390"/>
      <c r="Q262" s="390"/>
      <c r="R262" s="390"/>
      <c r="S262" s="387" t="s">
        <v>3667</v>
      </c>
      <c r="T262" s="387" t="s">
        <v>117</v>
      </c>
      <c r="U262" s="387" t="s">
        <v>703</v>
      </c>
      <c r="V262" s="436" t="s">
        <v>2951</v>
      </c>
      <c r="W262" s="394">
        <v>45160.0</v>
      </c>
      <c r="X262" s="428" t="s">
        <v>3373</v>
      </c>
      <c r="Y262" s="397" t="s">
        <v>3593</v>
      </c>
      <c r="Z262" s="390"/>
      <c r="AA262" s="434"/>
      <c r="AB262" s="341" t="s">
        <v>316</v>
      </c>
      <c r="AC262" s="387"/>
      <c r="AD262" s="387"/>
      <c r="AE262" s="387"/>
      <c r="AF262" s="387"/>
      <c r="AG262" s="387"/>
      <c r="AH262" s="387"/>
      <c r="AI262" s="387"/>
      <c r="AJ262" s="387"/>
      <c r="AK262" s="387"/>
      <c r="AL262" s="387"/>
      <c r="AM262" s="387"/>
      <c r="AN262" s="387"/>
      <c r="AO262" s="387"/>
      <c r="AP262" s="387"/>
      <c r="AQ262" s="387"/>
      <c r="AR262" s="387"/>
      <c r="AS262" s="387"/>
      <c r="AT262" s="387"/>
    </row>
    <row r="263">
      <c r="A263" s="385">
        <v>2016.0</v>
      </c>
      <c r="B263" s="395">
        <v>45149.78720369213</v>
      </c>
      <c r="C263" s="387" t="s">
        <v>242</v>
      </c>
      <c r="D263" s="385">
        <v>1.60001602E9</v>
      </c>
      <c r="E263" s="387" t="s">
        <v>243</v>
      </c>
      <c r="F263" s="387" t="s">
        <v>244</v>
      </c>
      <c r="G263" s="387" t="s">
        <v>3668</v>
      </c>
      <c r="H263" s="389">
        <v>43760.0</v>
      </c>
      <c r="I263" s="389">
        <v>44158.0</v>
      </c>
      <c r="J263" s="387" t="s">
        <v>399</v>
      </c>
      <c r="K263" s="387" t="s">
        <v>2379</v>
      </c>
      <c r="L263" s="387" t="s">
        <v>241</v>
      </c>
      <c r="M263" s="390"/>
      <c r="N263" s="390"/>
      <c r="O263" s="390"/>
      <c r="P263" s="390"/>
      <c r="Q263" s="390"/>
      <c r="R263" s="390"/>
      <c r="S263" s="387" t="s">
        <v>3669</v>
      </c>
      <c r="T263" s="387" t="s">
        <v>2379</v>
      </c>
      <c r="U263" s="387" t="s">
        <v>241</v>
      </c>
      <c r="V263" s="387" t="s">
        <v>3136</v>
      </c>
      <c r="W263" s="387" t="s">
        <v>3670</v>
      </c>
      <c r="X263" s="387"/>
      <c r="Y263" s="432"/>
      <c r="Z263" s="390"/>
      <c r="AA263" s="434"/>
      <c r="AB263" s="341" t="s">
        <v>316</v>
      </c>
      <c r="AC263" s="387"/>
      <c r="AD263" s="387"/>
      <c r="AE263" s="387"/>
      <c r="AF263" s="387"/>
      <c r="AG263" s="387"/>
      <c r="AH263" s="387"/>
      <c r="AI263" s="387"/>
      <c r="AJ263" s="387"/>
      <c r="AK263" s="387"/>
      <c r="AL263" s="387"/>
      <c r="AM263" s="387"/>
      <c r="AN263" s="387"/>
      <c r="AO263" s="387"/>
      <c r="AP263" s="387"/>
      <c r="AQ263" s="387"/>
      <c r="AR263" s="387"/>
      <c r="AS263" s="387"/>
      <c r="AT263" s="387"/>
    </row>
    <row r="264">
      <c r="A264" s="385">
        <v>2019.0</v>
      </c>
      <c r="B264" s="395">
        <v>45156.62632653936</v>
      </c>
      <c r="C264" s="387" t="s">
        <v>1241</v>
      </c>
      <c r="D264" s="385">
        <v>1.900016073E9</v>
      </c>
      <c r="E264" s="387" t="s">
        <v>1242</v>
      </c>
      <c r="F264" s="387" t="s">
        <v>1243</v>
      </c>
      <c r="G264" s="387" t="s">
        <v>1244</v>
      </c>
      <c r="H264" s="389">
        <v>44989.0</v>
      </c>
      <c r="I264" s="389">
        <v>45020.0</v>
      </c>
      <c r="J264" s="387" t="s">
        <v>399</v>
      </c>
      <c r="K264" s="387" t="s">
        <v>3013</v>
      </c>
      <c r="L264" s="387" t="s">
        <v>703</v>
      </c>
      <c r="M264" s="390"/>
      <c r="N264" s="390"/>
      <c r="O264" s="390"/>
      <c r="P264" s="390"/>
      <c r="Q264" s="390"/>
      <c r="R264" s="390"/>
      <c r="S264" s="387" t="s">
        <v>3671</v>
      </c>
      <c r="T264" s="387" t="s">
        <v>3013</v>
      </c>
      <c r="U264" s="387" t="s">
        <v>703</v>
      </c>
      <c r="V264" s="387" t="s">
        <v>2951</v>
      </c>
      <c r="W264" s="394">
        <v>45163.0</v>
      </c>
      <c r="X264" s="437" t="s">
        <v>3279</v>
      </c>
      <c r="Y264" s="397" t="s">
        <v>3593</v>
      </c>
      <c r="Z264" s="390"/>
      <c r="AA264" s="438"/>
      <c r="AB264" s="341" t="s">
        <v>316</v>
      </c>
      <c r="AC264" s="387"/>
      <c r="AD264" s="387"/>
      <c r="AE264" s="387"/>
      <c r="AF264" s="387"/>
      <c r="AG264" s="387"/>
      <c r="AH264" s="387"/>
      <c r="AI264" s="387"/>
      <c r="AJ264" s="387"/>
      <c r="AK264" s="387"/>
      <c r="AL264" s="387"/>
      <c r="AM264" s="387"/>
      <c r="AN264" s="387"/>
      <c r="AO264" s="387"/>
      <c r="AP264" s="387"/>
      <c r="AQ264" s="387"/>
      <c r="AR264" s="387"/>
      <c r="AS264" s="387"/>
      <c r="AT264" s="387"/>
    </row>
    <row r="265">
      <c r="A265" s="385">
        <v>2017.0</v>
      </c>
      <c r="B265" s="395">
        <v>45154.51415674768</v>
      </c>
      <c r="C265" s="387" t="s">
        <v>922</v>
      </c>
      <c r="D265" s="385">
        <v>1.700016104E9</v>
      </c>
      <c r="E265" s="387" t="s">
        <v>923</v>
      </c>
      <c r="F265" s="387" t="s">
        <v>924</v>
      </c>
      <c r="G265" s="387" t="s">
        <v>3672</v>
      </c>
      <c r="H265" s="389">
        <v>44531.0</v>
      </c>
      <c r="I265" s="389">
        <v>44700.0</v>
      </c>
      <c r="J265" s="387" t="s">
        <v>399</v>
      </c>
      <c r="K265" s="387" t="s">
        <v>117</v>
      </c>
      <c r="L265" s="387" t="s">
        <v>703</v>
      </c>
      <c r="M265" s="390"/>
      <c r="N265" s="390"/>
      <c r="O265" s="390"/>
      <c r="P265" s="390"/>
      <c r="Q265" s="390"/>
      <c r="R265" s="390"/>
      <c r="S265" s="387" t="s">
        <v>3673</v>
      </c>
      <c r="T265" s="387" t="s">
        <v>117</v>
      </c>
      <c r="U265" s="387" t="s">
        <v>703</v>
      </c>
      <c r="V265" s="387" t="s">
        <v>2951</v>
      </c>
      <c r="W265" s="394">
        <v>45164.0</v>
      </c>
      <c r="X265" s="387" t="s">
        <v>3674</v>
      </c>
      <c r="Y265" s="397" t="s">
        <v>3593</v>
      </c>
      <c r="Z265" s="390"/>
      <c r="AA265" s="438"/>
      <c r="AB265" s="341" t="s">
        <v>316</v>
      </c>
      <c r="AC265" s="387"/>
      <c r="AD265" s="387"/>
      <c r="AE265" s="387"/>
      <c r="AF265" s="387"/>
      <c r="AG265" s="387"/>
      <c r="AH265" s="387"/>
      <c r="AI265" s="387"/>
      <c r="AJ265" s="387"/>
      <c r="AK265" s="387"/>
      <c r="AL265" s="387"/>
      <c r="AM265" s="387"/>
      <c r="AN265" s="387"/>
      <c r="AO265" s="387"/>
      <c r="AP265" s="387"/>
      <c r="AQ265" s="387"/>
      <c r="AR265" s="387"/>
      <c r="AS265" s="387"/>
      <c r="AT265" s="387"/>
    </row>
    <row r="266">
      <c r="A266" s="385">
        <v>2019.0</v>
      </c>
      <c r="B266" s="395">
        <v>45159.876059675924</v>
      </c>
      <c r="C266" s="387" t="s">
        <v>1286</v>
      </c>
      <c r="D266" s="385">
        <v>1.900016024E9</v>
      </c>
      <c r="E266" s="387" t="s">
        <v>1287</v>
      </c>
      <c r="F266" s="387" t="s">
        <v>1288</v>
      </c>
      <c r="G266" s="387" t="s">
        <v>1289</v>
      </c>
      <c r="H266" s="389">
        <v>44989.0</v>
      </c>
      <c r="I266" s="389">
        <v>45030.0</v>
      </c>
      <c r="J266" s="387" t="s">
        <v>399</v>
      </c>
      <c r="K266" s="387" t="s">
        <v>183</v>
      </c>
      <c r="L266" s="387" t="s">
        <v>241</v>
      </c>
      <c r="M266" s="390"/>
      <c r="N266" s="390"/>
      <c r="O266" s="390"/>
      <c r="P266" s="390"/>
      <c r="Q266" s="390"/>
      <c r="R266" s="390"/>
      <c r="S266" s="387" t="s">
        <v>3675</v>
      </c>
      <c r="T266" s="387" t="s">
        <v>183</v>
      </c>
      <c r="U266" s="387" t="s">
        <v>241</v>
      </c>
      <c r="V266" s="387" t="s">
        <v>117</v>
      </c>
      <c r="W266" s="394">
        <v>45168.0</v>
      </c>
      <c r="X266" s="387" t="s">
        <v>3676</v>
      </c>
      <c r="Y266" s="397" t="s">
        <v>3593</v>
      </c>
      <c r="Z266" s="390"/>
      <c r="AA266" s="438"/>
      <c r="AB266" s="341" t="s">
        <v>316</v>
      </c>
      <c r="AC266" s="387"/>
      <c r="AD266" s="387"/>
      <c r="AE266" s="387"/>
      <c r="AF266" s="387"/>
      <c r="AG266" s="387"/>
      <c r="AH266" s="387"/>
      <c r="AI266" s="387"/>
      <c r="AJ266" s="387"/>
      <c r="AK266" s="387"/>
      <c r="AL266" s="387"/>
      <c r="AM266" s="387"/>
      <c r="AN266" s="387"/>
      <c r="AO266" s="387"/>
      <c r="AP266" s="387"/>
      <c r="AQ266" s="387"/>
      <c r="AR266" s="387"/>
      <c r="AS266" s="387"/>
      <c r="AT266" s="387"/>
    </row>
    <row r="267">
      <c r="A267" s="385">
        <v>2018.0</v>
      </c>
      <c r="B267" s="395">
        <v>45160.549591875</v>
      </c>
      <c r="C267" s="387" t="s">
        <v>3677</v>
      </c>
      <c r="D267" s="385">
        <v>1.800016026E9</v>
      </c>
      <c r="E267" s="387" t="s">
        <v>1016</v>
      </c>
      <c r="F267" s="387" t="s">
        <v>3678</v>
      </c>
      <c r="G267" s="387" t="s">
        <v>3679</v>
      </c>
      <c r="H267" s="389">
        <v>44502.0</v>
      </c>
      <c r="I267" s="389">
        <v>44743.0</v>
      </c>
      <c r="J267" s="387" t="s">
        <v>399</v>
      </c>
      <c r="K267" s="387" t="s">
        <v>183</v>
      </c>
      <c r="L267" s="387" t="s">
        <v>230</v>
      </c>
      <c r="M267" s="390"/>
      <c r="N267" s="390"/>
      <c r="O267" s="390"/>
      <c r="P267" s="390"/>
      <c r="Q267" s="390"/>
      <c r="R267" s="390"/>
      <c r="S267" s="387" t="s">
        <v>3680</v>
      </c>
      <c r="T267" s="387" t="s">
        <v>183</v>
      </c>
      <c r="U267" s="387" t="s">
        <v>230</v>
      </c>
      <c r="V267" s="387" t="s">
        <v>241</v>
      </c>
      <c r="W267" s="394">
        <v>45169.0</v>
      </c>
      <c r="X267" s="387" t="s">
        <v>3279</v>
      </c>
      <c r="Y267" s="397" t="s">
        <v>3593</v>
      </c>
      <c r="Z267" s="390"/>
      <c r="AA267" s="438"/>
      <c r="AB267" s="341" t="s">
        <v>316</v>
      </c>
      <c r="AC267" s="387"/>
      <c r="AD267" s="387"/>
      <c r="AE267" s="387"/>
      <c r="AF267" s="387"/>
      <c r="AG267" s="387"/>
      <c r="AH267" s="387"/>
      <c r="AI267" s="387"/>
      <c r="AJ267" s="387"/>
      <c r="AK267" s="387"/>
      <c r="AL267" s="387"/>
      <c r="AM267" s="387"/>
      <c r="AN267" s="387"/>
      <c r="AO267" s="387"/>
      <c r="AP267" s="387"/>
      <c r="AQ267" s="387"/>
      <c r="AR267" s="387"/>
      <c r="AS267" s="387"/>
      <c r="AT267" s="387"/>
    </row>
    <row r="268">
      <c r="A268" s="385">
        <v>2017.0</v>
      </c>
      <c r="B268" s="395">
        <v>45166.518049143524</v>
      </c>
      <c r="C268" s="387" t="s">
        <v>1166</v>
      </c>
      <c r="D268" s="385">
        <v>1.700016076E9</v>
      </c>
      <c r="E268" s="387" t="s">
        <v>1167</v>
      </c>
      <c r="F268" s="387" t="s">
        <v>1168</v>
      </c>
      <c r="G268" s="387" t="s">
        <v>3681</v>
      </c>
      <c r="H268" s="389">
        <v>45044.0</v>
      </c>
      <c r="I268" s="389">
        <v>44917.0</v>
      </c>
      <c r="J268" s="387" t="s">
        <v>399</v>
      </c>
      <c r="K268" s="387" t="s">
        <v>117</v>
      </c>
      <c r="L268" s="387" t="s">
        <v>703</v>
      </c>
      <c r="M268" s="390"/>
      <c r="N268" s="390"/>
      <c r="O268" s="390"/>
      <c r="P268" s="390"/>
      <c r="Q268" s="390"/>
      <c r="R268" s="390"/>
      <c r="S268" s="387" t="s">
        <v>3682</v>
      </c>
      <c r="T268" s="387" t="s">
        <v>117</v>
      </c>
      <c r="U268" s="387" t="s">
        <v>703</v>
      </c>
      <c r="V268" s="387" t="s">
        <v>3683</v>
      </c>
      <c r="W268" s="394">
        <v>45173.0</v>
      </c>
      <c r="X268" s="387" t="s">
        <v>3345</v>
      </c>
      <c r="Y268" s="397" t="s">
        <v>3593</v>
      </c>
      <c r="Z268" s="390"/>
      <c r="AA268" s="434"/>
      <c r="AB268" s="341" t="s">
        <v>316</v>
      </c>
      <c r="AC268" s="387"/>
      <c r="AD268" s="387"/>
      <c r="AE268" s="387"/>
      <c r="AF268" s="387"/>
      <c r="AG268" s="387"/>
      <c r="AH268" s="387"/>
      <c r="AI268" s="387"/>
      <c r="AJ268" s="387"/>
      <c r="AK268" s="387"/>
      <c r="AL268" s="387"/>
      <c r="AM268" s="387"/>
      <c r="AN268" s="387"/>
      <c r="AO268" s="387"/>
      <c r="AP268" s="387"/>
      <c r="AQ268" s="387"/>
      <c r="AR268" s="387"/>
      <c r="AS268" s="387"/>
      <c r="AT268" s="387"/>
    </row>
    <row r="269">
      <c r="A269" s="385">
        <v>2017.0</v>
      </c>
      <c r="B269" s="395">
        <v>45166.54726723379</v>
      </c>
      <c r="C269" s="387" t="s">
        <v>1095</v>
      </c>
      <c r="D269" s="385">
        <v>1.7000161E9</v>
      </c>
      <c r="E269" s="387" t="s">
        <v>1096</v>
      </c>
      <c r="F269" s="387" t="s">
        <v>3684</v>
      </c>
      <c r="G269" s="387" t="s">
        <v>3685</v>
      </c>
      <c r="H269" s="389">
        <v>44927.0</v>
      </c>
      <c r="I269" s="389">
        <v>44852.0</v>
      </c>
      <c r="J269" s="387" t="s">
        <v>399</v>
      </c>
      <c r="K269" s="387" t="s">
        <v>230</v>
      </c>
      <c r="L269" s="387" t="s">
        <v>1900</v>
      </c>
      <c r="M269" s="390"/>
      <c r="N269" s="390"/>
      <c r="O269" s="390"/>
      <c r="P269" s="390"/>
      <c r="Q269" s="390"/>
      <c r="R269" s="390"/>
      <c r="S269" s="387" t="s">
        <v>3686</v>
      </c>
      <c r="T269" s="387" t="s">
        <v>230</v>
      </c>
      <c r="U269" s="387" t="s">
        <v>1900</v>
      </c>
      <c r="V269" s="387" t="s">
        <v>241</v>
      </c>
      <c r="W269" s="394">
        <v>45174.0</v>
      </c>
      <c r="X269" s="387" t="s">
        <v>3345</v>
      </c>
      <c r="Y269" s="397" t="s">
        <v>3593</v>
      </c>
      <c r="Z269" s="390"/>
      <c r="AA269" s="434"/>
      <c r="AB269" s="341" t="s">
        <v>316</v>
      </c>
      <c r="AC269" s="387"/>
      <c r="AD269" s="387"/>
      <c r="AE269" s="387"/>
      <c r="AF269" s="387"/>
      <c r="AG269" s="387"/>
      <c r="AH269" s="387"/>
      <c r="AI269" s="387"/>
      <c r="AJ269" s="387"/>
      <c r="AK269" s="387"/>
      <c r="AL269" s="387"/>
      <c r="AM269" s="387"/>
      <c r="AN269" s="387"/>
      <c r="AO269" s="387"/>
      <c r="AP269" s="387"/>
      <c r="AQ269" s="387"/>
      <c r="AR269" s="387"/>
      <c r="AS269" s="387"/>
      <c r="AT269" s="387"/>
    </row>
    <row r="270">
      <c r="A270" s="426">
        <v>2018.0</v>
      </c>
      <c r="B270" s="427">
        <v>45166.924188993056</v>
      </c>
      <c r="C270" s="428" t="s">
        <v>1140</v>
      </c>
      <c r="D270" s="426">
        <v>1.800016001E9</v>
      </c>
      <c r="E270" s="428" t="s">
        <v>1141</v>
      </c>
      <c r="F270" s="428" t="s">
        <v>1142</v>
      </c>
      <c r="G270" s="428" t="s">
        <v>3687</v>
      </c>
      <c r="H270" s="429">
        <v>44848.0</v>
      </c>
      <c r="I270" s="429">
        <v>44876.0</v>
      </c>
      <c r="J270" s="428" t="s">
        <v>399</v>
      </c>
      <c r="K270" s="428" t="s">
        <v>117</v>
      </c>
      <c r="L270" s="428" t="s">
        <v>1900</v>
      </c>
      <c r="M270" s="430"/>
      <c r="N270" s="430"/>
      <c r="O270" s="430"/>
      <c r="P270" s="430"/>
      <c r="Q270" s="430"/>
      <c r="R270" s="430"/>
      <c r="S270" s="428" t="s">
        <v>3688</v>
      </c>
      <c r="T270" s="428" t="s">
        <v>117</v>
      </c>
      <c r="U270" s="428" t="s">
        <v>1900</v>
      </c>
      <c r="V270" s="428" t="s">
        <v>3683</v>
      </c>
      <c r="W270" s="394">
        <v>45175.0</v>
      </c>
      <c r="X270" s="387" t="s">
        <v>3345</v>
      </c>
      <c r="Y270" s="397" t="s">
        <v>3593</v>
      </c>
      <c r="Z270" s="422"/>
      <c r="AA270" s="408"/>
      <c r="AB270" s="341" t="s">
        <v>316</v>
      </c>
      <c r="AC270" s="408"/>
      <c r="AD270" s="408"/>
      <c r="AE270" s="408"/>
      <c r="AF270" s="408"/>
      <c r="AG270" s="408"/>
      <c r="AH270" s="408"/>
      <c r="AI270" s="408"/>
      <c r="AJ270" s="408"/>
      <c r="AK270" s="408"/>
      <c r="AL270" s="408"/>
      <c r="AM270" s="408"/>
      <c r="AN270" s="408"/>
      <c r="AO270" s="408"/>
      <c r="AP270" s="408"/>
      <c r="AQ270" s="408"/>
      <c r="AR270" s="408"/>
      <c r="AS270" s="408"/>
      <c r="AT270" s="408"/>
    </row>
    <row r="271">
      <c r="A271" s="385">
        <v>2019.0</v>
      </c>
      <c r="B271" s="395">
        <v>45169.45751730324</v>
      </c>
      <c r="C271" s="387" t="s">
        <v>3689</v>
      </c>
      <c r="D271" s="385">
        <v>1.900016097E9</v>
      </c>
      <c r="E271" s="387" t="s">
        <v>1317</v>
      </c>
      <c r="F271" s="387" t="s">
        <v>1318</v>
      </c>
      <c r="G271" s="387" t="s">
        <v>3690</v>
      </c>
      <c r="H271" s="389">
        <v>44935.0</v>
      </c>
      <c r="I271" s="389">
        <v>45054.0</v>
      </c>
      <c r="J271" s="387" t="s">
        <v>399</v>
      </c>
      <c r="K271" s="387" t="s">
        <v>2379</v>
      </c>
      <c r="L271" s="387" t="s">
        <v>241</v>
      </c>
      <c r="M271" s="390"/>
      <c r="N271" s="390"/>
      <c r="O271" s="390"/>
      <c r="P271" s="390"/>
      <c r="Q271" s="390"/>
      <c r="R271" s="390"/>
      <c r="S271" s="387" t="s">
        <v>3691</v>
      </c>
      <c r="T271" s="387" t="s">
        <v>2379</v>
      </c>
      <c r="U271" s="387" t="s">
        <v>241</v>
      </c>
      <c r="V271" s="387" t="s">
        <v>183</v>
      </c>
      <c r="W271" s="394">
        <v>45176.0</v>
      </c>
      <c r="X271" s="387" t="s">
        <v>3674</v>
      </c>
      <c r="Y271" s="397" t="s">
        <v>3593</v>
      </c>
      <c r="Z271" s="390"/>
      <c r="AA271" s="387"/>
      <c r="AB271" s="341" t="s">
        <v>316</v>
      </c>
      <c r="AC271" s="387"/>
      <c r="AD271" s="387"/>
      <c r="AE271" s="387"/>
      <c r="AF271" s="387"/>
      <c r="AG271" s="387"/>
      <c r="AH271" s="387"/>
      <c r="AI271" s="387"/>
      <c r="AJ271" s="387"/>
      <c r="AK271" s="387"/>
      <c r="AL271" s="387"/>
      <c r="AM271" s="387"/>
      <c r="AN271" s="387"/>
      <c r="AO271" s="387"/>
      <c r="AP271" s="387"/>
      <c r="AQ271" s="387"/>
      <c r="AR271" s="387"/>
      <c r="AS271" s="387"/>
      <c r="AT271" s="387"/>
    </row>
    <row r="272">
      <c r="A272" s="385">
        <v>2018.0</v>
      </c>
      <c r="B272" s="395">
        <v>45172.9262431713</v>
      </c>
      <c r="C272" s="387" t="s">
        <v>1046</v>
      </c>
      <c r="D272" s="385">
        <v>1.800016135E9</v>
      </c>
      <c r="E272" s="387" t="s">
        <v>1047</v>
      </c>
      <c r="F272" s="387" t="s">
        <v>3692</v>
      </c>
      <c r="G272" s="387" t="s">
        <v>3693</v>
      </c>
      <c r="H272" s="389">
        <v>44932.0</v>
      </c>
      <c r="I272" s="389">
        <v>44771.0</v>
      </c>
      <c r="J272" s="387" t="s">
        <v>399</v>
      </c>
      <c r="K272" s="387" t="s">
        <v>117</v>
      </c>
      <c r="L272" s="387" t="s">
        <v>3062</v>
      </c>
      <c r="M272" s="390"/>
      <c r="N272" s="390"/>
      <c r="O272" s="390"/>
      <c r="P272" s="390"/>
      <c r="Q272" s="390"/>
      <c r="R272" s="390"/>
      <c r="S272" s="387" t="s">
        <v>3694</v>
      </c>
      <c r="T272" s="387" t="s">
        <v>117</v>
      </c>
      <c r="U272" s="387" t="s">
        <v>3062</v>
      </c>
      <c r="V272" s="387" t="s">
        <v>703</v>
      </c>
      <c r="W272" s="394">
        <v>45183.0</v>
      </c>
      <c r="X272" s="387" t="s">
        <v>3334</v>
      </c>
      <c r="Y272" s="397" t="s">
        <v>3593</v>
      </c>
      <c r="Z272" s="390"/>
      <c r="AA272" s="387"/>
      <c r="AB272" s="341" t="s">
        <v>316</v>
      </c>
      <c r="AC272" s="387"/>
      <c r="AD272" s="387"/>
      <c r="AE272" s="387"/>
      <c r="AF272" s="387"/>
      <c r="AG272" s="387"/>
      <c r="AH272" s="387"/>
      <c r="AI272" s="387"/>
      <c r="AJ272" s="387"/>
      <c r="AK272" s="387"/>
      <c r="AL272" s="387"/>
      <c r="AM272" s="387"/>
      <c r="AN272" s="387"/>
      <c r="AO272" s="387"/>
      <c r="AP272" s="387"/>
      <c r="AQ272" s="387"/>
      <c r="AR272" s="387"/>
      <c r="AS272" s="387"/>
      <c r="AT272" s="387"/>
    </row>
    <row r="273">
      <c r="A273" s="385">
        <v>2017.0</v>
      </c>
      <c r="B273" s="395">
        <v>45174.49955811343</v>
      </c>
      <c r="C273" s="387" t="s">
        <v>1010</v>
      </c>
      <c r="D273" s="385">
        <v>1.700016026E9</v>
      </c>
      <c r="E273" s="387" t="s">
        <v>1011</v>
      </c>
      <c r="F273" s="387" t="s">
        <v>1012</v>
      </c>
      <c r="G273" s="387" t="s">
        <v>3695</v>
      </c>
      <c r="H273" s="389">
        <v>44562.0</v>
      </c>
      <c r="I273" s="389">
        <v>44743.0</v>
      </c>
      <c r="J273" s="387" t="s">
        <v>399</v>
      </c>
      <c r="K273" s="387" t="s">
        <v>230</v>
      </c>
      <c r="L273" s="387" t="s">
        <v>1900</v>
      </c>
      <c r="M273" s="390"/>
      <c r="N273" s="390"/>
      <c r="O273" s="390"/>
      <c r="P273" s="390"/>
      <c r="Q273" s="390"/>
      <c r="R273" s="390"/>
      <c r="S273" s="387" t="s">
        <v>3696</v>
      </c>
      <c r="T273" s="387" t="s">
        <v>230</v>
      </c>
      <c r="U273" s="387" t="s">
        <v>1900</v>
      </c>
      <c r="V273" s="387" t="s">
        <v>117</v>
      </c>
      <c r="W273" s="394">
        <v>45183.0</v>
      </c>
      <c r="X273" s="387" t="s">
        <v>3331</v>
      </c>
      <c r="Y273" s="397" t="s">
        <v>3593</v>
      </c>
      <c r="Z273" s="390"/>
      <c r="AA273" s="387"/>
      <c r="AB273" s="341" t="s">
        <v>316</v>
      </c>
      <c r="AC273" s="387"/>
      <c r="AD273" s="387"/>
      <c r="AE273" s="387"/>
      <c r="AF273" s="387"/>
      <c r="AG273" s="387"/>
      <c r="AH273" s="387"/>
      <c r="AI273" s="387"/>
      <c r="AJ273" s="387"/>
      <c r="AK273" s="387"/>
      <c r="AL273" s="387"/>
      <c r="AM273" s="387"/>
      <c r="AN273" s="387"/>
      <c r="AO273" s="387"/>
      <c r="AP273" s="387"/>
      <c r="AQ273" s="387"/>
      <c r="AR273" s="387"/>
      <c r="AS273" s="387"/>
      <c r="AT273" s="387"/>
    </row>
    <row r="274">
      <c r="A274" s="385">
        <v>2019.0</v>
      </c>
      <c r="B274" s="395">
        <v>45176.744029594905</v>
      </c>
      <c r="C274" s="387" t="s">
        <v>1332</v>
      </c>
      <c r="D274" s="385">
        <v>1.900016155E9</v>
      </c>
      <c r="E274" s="387" t="s">
        <v>1333</v>
      </c>
      <c r="F274" s="387" t="s">
        <v>1334</v>
      </c>
      <c r="G274" s="387" t="s">
        <v>3697</v>
      </c>
      <c r="H274" s="389">
        <v>45005.0</v>
      </c>
      <c r="I274" s="389">
        <v>45061.0</v>
      </c>
      <c r="J274" s="387" t="s">
        <v>399</v>
      </c>
      <c r="K274" s="387" t="s">
        <v>2379</v>
      </c>
      <c r="L274" s="387" t="s">
        <v>1900</v>
      </c>
      <c r="M274" s="390"/>
      <c r="N274" s="390"/>
      <c r="O274" s="390"/>
      <c r="P274" s="390"/>
      <c r="Q274" s="390"/>
      <c r="R274" s="390"/>
      <c r="S274" s="387" t="s">
        <v>3698</v>
      </c>
      <c r="T274" s="387" t="s">
        <v>2379</v>
      </c>
      <c r="U274" s="387" t="s">
        <v>1900</v>
      </c>
      <c r="V274" s="387" t="s">
        <v>241</v>
      </c>
      <c r="W274" s="394">
        <v>45182.0</v>
      </c>
      <c r="X274" s="387" t="s">
        <v>3415</v>
      </c>
      <c r="Y274" s="397" t="s">
        <v>3593</v>
      </c>
      <c r="Z274" s="390"/>
      <c r="AA274" s="387"/>
      <c r="AB274" s="341" t="s">
        <v>316</v>
      </c>
      <c r="AC274" s="387"/>
      <c r="AD274" s="387"/>
      <c r="AE274" s="387"/>
      <c r="AF274" s="387"/>
      <c r="AG274" s="387"/>
      <c r="AH274" s="387"/>
      <c r="AI274" s="387"/>
      <c r="AJ274" s="387"/>
      <c r="AK274" s="387"/>
      <c r="AL274" s="387"/>
      <c r="AM274" s="387"/>
      <c r="AN274" s="387"/>
      <c r="AO274" s="387"/>
      <c r="AP274" s="387"/>
      <c r="AQ274" s="387"/>
      <c r="AR274" s="387"/>
      <c r="AS274" s="387"/>
      <c r="AT274" s="387"/>
    </row>
    <row r="275">
      <c r="A275" s="385">
        <v>2019.0</v>
      </c>
      <c r="B275" s="395">
        <v>45178.491254340275</v>
      </c>
      <c r="C275" s="387" t="s">
        <v>1281</v>
      </c>
      <c r="D275" s="385">
        <v>1.900016109E9</v>
      </c>
      <c r="E275" s="387" t="s">
        <v>1282</v>
      </c>
      <c r="F275" s="387" t="s">
        <v>1283</v>
      </c>
      <c r="G275" s="387" t="s">
        <v>3699</v>
      </c>
      <c r="H275" s="389">
        <v>44931.0</v>
      </c>
      <c r="I275" s="389">
        <v>45030.0</v>
      </c>
      <c r="J275" s="387" t="s">
        <v>399</v>
      </c>
      <c r="K275" s="387" t="s">
        <v>3013</v>
      </c>
      <c r="L275" s="387" t="s">
        <v>1900</v>
      </c>
      <c r="M275" s="390"/>
      <c r="N275" s="390"/>
      <c r="O275" s="390"/>
      <c r="P275" s="390"/>
      <c r="Q275" s="390"/>
      <c r="R275" s="390"/>
      <c r="S275" s="387" t="s">
        <v>3700</v>
      </c>
      <c r="T275" s="387" t="s">
        <v>3013</v>
      </c>
      <c r="U275" s="387" t="s">
        <v>1900</v>
      </c>
      <c r="V275" s="387" t="s">
        <v>3136</v>
      </c>
      <c r="W275" s="394">
        <v>45183.0</v>
      </c>
      <c r="X275" s="387" t="s">
        <v>3345</v>
      </c>
      <c r="Y275" s="397" t="s">
        <v>3593</v>
      </c>
      <c r="Z275" s="390"/>
      <c r="AA275" s="387"/>
      <c r="AB275" s="341" t="s">
        <v>316</v>
      </c>
      <c r="AC275" s="387"/>
      <c r="AD275" s="387"/>
      <c r="AE275" s="387"/>
      <c r="AF275" s="387"/>
      <c r="AG275" s="387"/>
      <c r="AH275" s="387"/>
      <c r="AI275" s="387"/>
      <c r="AJ275" s="387"/>
      <c r="AK275" s="387"/>
      <c r="AL275" s="387"/>
      <c r="AM275" s="387"/>
      <c r="AN275" s="387"/>
      <c r="AO275" s="387"/>
      <c r="AP275" s="387"/>
      <c r="AQ275" s="387"/>
      <c r="AR275" s="387"/>
      <c r="AS275" s="387"/>
      <c r="AT275" s="387"/>
    </row>
    <row r="276">
      <c r="A276" s="385">
        <v>2019.0</v>
      </c>
      <c r="B276" s="395">
        <v>45178.67366417823</v>
      </c>
      <c r="C276" s="387" t="s">
        <v>1391</v>
      </c>
      <c r="D276" s="385">
        <v>1.90001614E9</v>
      </c>
      <c r="E276" s="387" t="s">
        <v>1392</v>
      </c>
      <c r="F276" s="387" t="s">
        <v>1393</v>
      </c>
      <c r="G276" s="387" t="s">
        <v>1394</v>
      </c>
      <c r="H276" s="389">
        <v>45012.0</v>
      </c>
      <c r="I276" s="389">
        <v>45077.0</v>
      </c>
      <c r="J276" s="387" t="s">
        <v>399</v>
      </c>
      <c r="K276" s="387" t="s">
        <v>2379</v>
      </c>
      <c r="L276" s="387" t="s">
        <v>1900</v>
      </c>
      <c r="M276" s="390"/>
      <c r="N276" s="390"/>
      <c r="O276" s="390"/>
      <c r="P276" s="390"/>
      <c r="Q276" s="390"/>
      <c r="R276" s="390"/>
      <c r="S276" s="387" t="s">
        <v>3701</v>
      </c>
      <c r="T276" s="387" t="s">
        <v>2379</v>
      </c>
      <c r="U276" s="387" t="s">
        <v>1900</v>
      </c>
      <c r="V276" s="387" t="s">
        <v>241</v>
      </c>
      <c r="W276" s="394">
        <v>45183.0</v>
      </c>
      <c r="X276" s="387" t="s">
        <v>3640</v>
      </c>
      <c r="Y276" s="397" t="s">
        <v>3593</v>
      </c>
      <c r="Z276" s="390"/>
      <c r="AA276" s="387"/>
      <c r="AB276" s="341" t="s">
        <v>316</v>
      </c>
      <c r="AC276" s="387"/>
      <c r="AD276" s="387"/>
      <c r="AE276" s="387"/>
      <c r="AF276" s="387"/>
      <c r="AG276" s="387"/>
      <c r="AH276" s="387"/>
      <c r="AI276" s="387"/>
      <c r="AJ276" s="387"/>
      <c r="AK276" s="387"/>
      <c r="AL276" s="387"/>
      <c r="AM276" s="387"/>
      <c r="AN276" s="387"/>
      <c r="AO276" s="387"/>
      <c r="AP276" s="387"/>
      <c r="AQ276" s="387"/>
      <c r="AR276" s="387"/>
      <c r="AS276" s="387"/>
      <c r="AT276" s="387"/>
    </row>
    <row r="277">
      <c r="A277" s="385">
        <v>2019.0</v>
      </c>
      <c r="B277" s="395">
        <v>45180.51407201389</v>
      </c>
      <c r="C277" s="387" t="s">
        <v>1367</v>
      </c>
      <c r="D277" s="385">
        <v>1.911016121E9</v>
      </c>
      <c r="E277" s="387" t="s">
        <v>1368</v>
      </c>
      <c r="F277" s="387" t="s">
        <v>1369</v>
      </c>
      <c r="G277" s="387" t="s">
        <v>3702</v>
      </c>
      <c r="H277" s="389">
        <v>45089.0</v>
      </c>
      <c r="I277" s="389">
        <v>45079.0</v>
      </c>
      <c r="J277" s="387" t="s">
        <v>399</v>
      </c>
      <c r="K277" s="387" t="s">
        <v>2379</v>
      </c>
      <c r="L277" s="387" t="s">
        <v>117</v>
      </c>
      <c r="M277" s="390"/>
      <c r="N277" s="390"/>
      <c r="O277" s="390"/>
      <c r="P277" s="390"/>
      <c r="Q277" s="390"/>
      <c r="R277" s="390"/>
      <c r="S277" s="387" t="s">
        <v>3703</v>
      </c>
      <c r="T277" s="387" t="s">
        <v>2379</v>
      </c>
      <c r="U277" s="387" t="s">
        <v>117</v>
      </c>
      <c r="V277" s="387" t="s">
        <v>3159</v>
      </c>
      <c r="W277" s="394">
        <v>45188.0</v>
      </c>
      <c r="X277" s="387" t="s">
        <v>3406</v>
      </c>
      <c r="Y277" s="432"/>
      <c r="Z277" s="390"/>
      <c r="AA277" s="387"/>
      <c r="AB277" s="341" t="s">
        <v>316</v>
      </c>
      <c r="AC277" s="387"/>
      <c r="AD277" s="387"/>
      <c r="AE277" s="387"/>
      <c r="AF277" s="387"/>
      <c r="AG277" s="387"/>
      <c r="AH277" s="387"/>
      <c r="AI277" s="387"/>
      <c r="AJ277" s="387"/>
      <c r="AK277" s="387"/>
      <c r="AL277" s="387"/>
      <c r="AM277" s="387"/>
      <c r="AN277" s="387"/>
      <c r="AO277" s="387"/>
      <c r="AP277" s="387"/>
      <c r="AQ277" s="387"/>
      <c r="AR277" s="387"/>
      <c r="AS277" s="387"/>
      <c r="AT277" s="387"/>
    </row>
    <row r="278">
      <c r="A278" s="385">
        <v>2018.0</v>
      </c>
      <c r="B278" s="395">
        <v>45181.1577558912</v>
      </c>
      <c r="C278" s="387" t="s">
        <v>1174</v>
      </c>
      <c r="D278" s="385">
        <v>1.800016133E9</v>
      </c>
      <c r="E278" s="387" t="s">
        <v>3704</v>
      </c>
      <c r="F278" s="387" t="s">
        <v>1176</v>
      </c>
      <c r="G278" s="387" t="s">
        <v>3705</v>
      </c>
      <c r="H278" s="389">
        <v>44644.0</v>
      </c>
      <c r="I278" s="389">
        <v>44945.0</v>
      </c>
      <c r="J278" s="387" t="s">
        <v>399</v>
      </c>
      <c r="K278" s="387" t="s">
        <v>117</v>
      </c>
      <c r="L278" s="387" t="s">
        <v>703</v>
      </c>
      <c r="M278" s="390"/>
      <c r="N278" s="390"/>
      <c r="O278" s="390"/>
      <c r="P278" s="390"/>
      <c r="Q278" s="390"/>
      <c r="R278" s="390"/>
      <c r="S278" s="387" t="s">
        <v>3706</v>
      </c>
      <c r="T278" s="387" t="s">
        <v>117</v>
      </c>
      <c r="U278" s="387" t="s">
        <v>703</v>
      </c>
      <c r="V278" s="387" t="s">
        <v>241</v>
      </c>
      <c r="W278" s="394">
        <v>45187.0</v>
      </c>
      <c r="X278" s="387" t="s">
        <v>3592</v>
      </c>
      <c r="Y278" s="397" t="s">
        <v>3593</v>
      </c>
      <c r="Z278" s="390"/>
      <c r="AA278" s="387"/>
      <c r="AB278" s="341" t="s">
        <v>316</v>
      </c>
      <c r="AC278" s="387"/>
      <c r="AD278" s="387"/>
      <c r="AE278" s="387"/>
      <c r="AF278" s="387"/>
      <c r="AG278" s="387"/>
      <c r="AH278" s="387"/>
      <c r="AI278" s="387"/>
      <c r="AJ278" s="387"/>
      <c r="AK278" s="387"/>
      <c r="AL278" s="387"/>
      <c r="AM278" s="387"/>
      <c r="AN278" s="387"/>
      <c r="AO278" s="387"/>
      <c r="AP278" s="387"/>
      <c r="AQ278" s="387"/>
      <c r="AR278" s="387"/>
      <c r="AS278" s="387"/>
      <c r="AT278" s="387"/>
    </row>
    <row r="279">
      <c r="A279" s="385">
        <v>2018.0</v>
      </c>
      <c r="B279" s="395">
        <v>45181.543300405094</v>
      </c>
      <c r="C279" s="387" t="s">
        <v>424</v>
      </c>
      <c r="D279" s="385">
        <v>1.700016056E9</v>
      </c>
      <c r="E279" s="387" t="s">
        <v>425</v>
      </c>
      <c r="F279" s="387" t="s">
        <v>426</v>
      </c>
      <c r="G279" s="387" t="s">
        <v>3707</v>
      </c>
      <c r="H279" s="389">
        <v>44317.0</v>
      </c>
      <c r="I279" s="389">
        <v>44309.0</v>
      </c>
      <c r="J279" s="387" t="s">
        <v>399</v>
      </c>
      <c r="K279" s="387" t="s">
        <v>1900</v>
      </c>
      <c r="L279" s="387" t="s">
        <v>3013</v>
      </c>
      <c r="M279" s="390"/>
      <c r="N279" s="390"/>
      <c r="O279" s="390"/>
      <c r="P279" s="390"/>
      <c r="Q279" s="390"/>
      <c r="R279" s="390"/>
      <c r="S279" s="387" t="s">
        <v>3708</v>
      </c>
      <c r="T279" s="387" t="s">
        <v>1900</v>
      </c>
      <c r="U279" s="387" t="s">
        <v>3013</v>
      </c>
      <c r="V279" s="428" t="s">
        <v>703</v>
      </c>
      <c r="W279" s="394">
        <v>45189.0</v>
      </c>
      <c r="X279" s="387" t="s">
        <v>3524</v>
      </c>
      <c r="Y279" s="397" t="s">
        <v>3593</v>
      </c>
      <c r="Z279" s="390"/>
      <c r="AA279" s="387"/>
      <c r="AB279" s="341" t="s">
        <v>316</v>
      </c>
      <c r="AC279" s="387"/>
      <c r="AD279" s="387"/>
      <c r="AE279" s="387"/>
      <c r="AF279" s="387"/>
      <c r="AG279" s="387"/>
      <c r="AH279" s="387"/>
      <c r="AI279" s="387"/>
      <c r="AJ279" s="387"/>
      <c r="AK279" s="387"/>
      <c r="AL279" s="387"/>
      <c r="AM279" s="387"/>
      <c r="AN279" s="387"/>
      <c r="AO279" s="387"/>
      <c r="AP279" s="387"/>
      <c r="AQ279" s="387"/>
      <c r="AR279" s="387"/>
      <c r="AS279" s="387"/>
      <c r="AT279" s="387"/>
    </row>
    <row r="280">
      <c r="A280" s="385">
        <v>2019.0</v>
      </c>
      <c r="B280" s="395">
        <v>45181.510801805554</v>
      </c>
      <c r="C280" s="387" t="s">
        <v>1343</v>
      </c>
      <c r="D280" s="385">
        <v>1.90001609E9</v>
      </c>
      <c r="E280" s="387" t="s">
        <v>1344</v>
      </c>
      <c r="F280" s="387" t="s">
        <v>1345</v>
      </c>
      <c r="G280" s="387" t="s">
        <v>1346</v>
      </c>
      <c r="H280" s="389">
        <v>45072.0</v>
      </c>
      <c r="I280" s="389">
        <v>45061.0</v>
      </c>
      <c r="J280" s="387" t="s">
        <v>399</v>
      </c>
      <c r="K280" s="387" t="s">
        <v>2379</v>
      </c>
      <c r="L280" s="387" t="s">
        <v>241</v>
      </c>
      <c r="M280" s="390"/>
      <c r="N280" s="390"/>
      <c r="O280" s="390"/>
      <c r="P280" s="390"/>
      <c r="Q280" s="390"/>
      <c r="R280" s="390"/>
      <c r="S280" s="387" t="s">
        <v>3709</v>
      </c>
      <c r="T280" s="387" t="s">
        <v>2379</v>
      </c>
      <c r="U280" s="387" t="s">
        <v>241</v>
      </c>
      <c r="V280" s="387" t="s">
        <v>2951</v>
      </c>
      <c r="W280" s="394">
        <v>45189.0</v>
      </c>
      <c r="X280" s="387" t="s">
        <v>3406</v>
      </c>
      <c r="Y280" s="397" t="s">
        <v>3593</v>
      </c>
      <c r="Z280" s="390"/>
      <c r="AA280" s="387"/>
      <c r="AB280" s="341" t="s">
        <v>316</v>
      </c>
      <c r="AC280" s="387"/>
      <c r="AD280" s="387"/>
      <c r="AE280" s="387"/>
      <c r="AF280" s="387"/>
      <c r="AG280" s="387"/>
      <c r="AH280" s="387"/>
      <c r="AI280" s="387"/>
      <c r="AJ280" s="387"/>
      <c r="AK280" s="387"/>
      <c r="AL280" s="387"/>
      <c r="AM280" s="387"/>
      <c r="AN280" s="387"/>
      <c r="AO280" s="387"/>
      <c r="AP280" s="387"/>
      <c r="AQ280" s="387"/>
      <c r="AR280" s="387"/>
      <c r="AS280" s="387"/>
      <c r="AT280" s="387"/>
    </row>
    <row r="281">
      <c r="A281" s="385">
        <v>2019.0</v>
      </c>
      <c r="B281" s="395">
        <v>45181.57649579862</v>
      </c>
      <c r="C281" s="387" t="s">
        <v>1348</v>
      </c>
      <c r="D281" s="385">
        <v>1.900016086E9</v>
      </c>
      <c r="E281" s="387" t="s">
        <v>1349</v>
      </c>
      <c r="F281" s="387" t="s">
        <v>1350</v>
      </c>
      <c r="G281" s="387" t="s">
        <v>1351</v>
      </c>
      <c r="H281" s="389">
        <v>45117.0</v>
      </c>
      <c r="I281" s="389">
        <v>45061.0</v>
      </c>
      <c r="J281" s="387" t="s">
        <v>399</v>
      </c>
      <c r="K281" s="387" t="s">
        <v>2379</v>
      </c>
      <c r="L281" s="387" t="s">
        <v>241</v>
      </c>
      <c r="M281" s="390"/>
      <c r="N281" s="390"/>
      <c r="O281" s="390"/>
      <c r="P281" s="390"/>
      <c r="Q281" s="390"/>
      <c r="R281" s="390"/>
      <c r="S281" s="387" t="s">
        <v>3710</v>
      </c>
      <c r="T281" s="387" t="s">
        <v>2379</v>
      </c>
      <c r="U281" s="387" t="s">
        <v>241</v>
      </c>
      <c r="V281" s="436" t="s">
        <v>2951</v>
      </c>
      <c r="W281" s="394">
        <v>45189.0</v>
      </c>
      <c r="X281" s="387" t="s">
        <v>3711</v>
      </c>
      <c r="Y281" s="397" t="s">
        <v>3593</v>
      </c>
      <c r="Z281" s="390"/>
      <c r="AA281" s="387"/>
      <c r="AB281" s="341" t="s">
        <v>316</v>
      </c>
      <c r="AC281" s="387"/>
      <c r="AD281" s="387"/>
      <c r="AE281" s="387"/>
      <c r="AF281" s="387"/>
      <c r="AG281" s="387"/>
      <c r="AH281" s="387"/>
      <c r="AI281" s="387"/>
      <c r="AJ281" s="387"/>
      <c r="AK281" s="387"/>
      <c r="AL281" s="387"/>
      <c r="AM281" s="387"/>
      <c r="AN281" s="387"/>
      <c r="AO281" s="387"/>
      <c r="AP281" s="387"/>
      <c r="AQ281" s="387"/>
      <c r="AR281" s="387"/>
      <c r="AS281" s="387"/>
      <c r="AT281" s="387"/>
    </row>
    <row r="282">
      <c r="A282" s="385">
        <v>2019.0</v>
      </c>
      <c r="B282" s="395">
        <v>45185.11874398148</v>
      </c>
      <c r="C282" s="387" t="s">
        <v>3712</v>
      </c>
      <c r="D282" s="385">
        <v>1.900016045E9</v>
      </c>
      <c r="E282" s="387" t="s">
        <v>1267</v>
      </c>
      <c r="F282" s="387" t="s">
        <v>1268</v>
      </c>
      <c r="G282" s="387" t="s">
        <v>3713</v>
      </c>
      <c r="H282" s="389">
        <v>44927.0</v>
      </c>
      <c r="I282" s="389">
        <v>45024.0</v>
      </c>
      <c r="J282" s="387" t="s">
        <v>399</v>
      </c>
      <c r="K282" s="387" t="s">
        <v>3013</v>
      </c>
      <c r="L282" s="387" t="s">
        <v>703</v>
      </c>
      <c r="M282" s="390"/>
      <c r="N282" s="390"/>
      <c r="O282" s="390"/>
      <c r="P282" s="390"/>
      <c r="Q282" s="390"/>
      <c r="R282" s="390"/>
      <c r="S282" s="387" t="s">
        <v>3714</v>
      </c>
      <c r="T282" s="387" t="s">
        <v>3013</v>
      </c>
      <c r="U282" s="387" t="s">
        <v>703</v>
      </c>
      <c r="V282" s="436" t="s">
        <v>2951</v>
      </c>
      <c r="W282" s="394">
        <v>45189.0</v>
      </c>
      <c r="X282" s="387" t="s">
        <v>3715</v>
      </c>
      <c r="Y282" s="397" t="s">
        <v>3593</v>
      </c>
      <c r="Z282" s="390"/>
      <c r="AA282" s="387"/>
      <c r="AB282" s="341" t="s">
        <v>316</v>
      </c>
      <c r="AC282" s="387"/>
      <c r="AD282" s="387"/>
      <c r="AE282" s="387"/>
      <c r="AF282" s="387"/>
      <c r="AG282" s="387"/>
      <c r="AH282" s="387"/>
      <c r="AI282" s="387"/>
      <c r="AJ282" s="387"/>
      <c r="AK282" s="387"/>
      <c r="AL282" s="387"/>
      <c r="AM282" s="387"/>
      <c r="AN282" s="387"/>
      <c r="AO282" s="387"/>
      <c r="AP282" s="387"/>
      <c r="AQ282" s="387"/>
      <c r="AR282" s="387"/>
      <c r="AS282" s="387"/>
      <c r="AT282" s="387"/>
    </row>
    <row r="283">
      <c r="A283" s="385">
        <v>2019.0</v>
      </c>
      <c r="B283" s="395">
        <v>45185.585807662035</v>
      </c>
      <c r="C283" s="387" t="s">
        <v>1256</v>
      </c>
      <c r="D283" s="385">
        <v>1.900016107E9</v>
      </c>
      <c r="E283" s="387" t="s">
        <v>1257</v>
      </c>
      <c r="F283" s="387" t="s">
        <v>3716</v>
      </c>
      <c r="G283" s="387" t="s">
        <v>3717</v>
      </c>
      <c r="H283" s="389">
        <v>45000.0</v>
      </c>
      <c r="I283" s="389">
        <v>45020.0</v>
      </c>
      <c r="J283" s="387" t="s">
        <v>399</v>
      </c>
      <c r="K283" s="387" t="s">
        <v>183</v>
      </c>
      <c r="L283" s="387" t="s">
        <v>241</v>
      </c>
      <c r="M283" s="390"/>
      <c r="N283" s="390"/>
      <c r="O283" s="390"/>
      <c r="P283" s="390"/>
      <c r="Q283" s="390"/>
      <c r="R283" s="390"/>
      <c r="S283" s="387" t="s">
        <v>3718</v>
      </c>
      <c r="T283" s="387" t="s">
        <v>183</v>
      </c>
      <c r="U283" s="387" t="s">
        <v>241</v>
      </c>
      <c r="V283" s="387" t="s">
        <v>117</v>
      </c>
      <c r="W283" s="394">
        <v>45194.0</v>
      </c>
      <c r="X283" s="387" t="s">
        <v>3589</v>
      </c>
      <c r="Y283" s="397" t="s">
        <v>3593</v>
      </c>
      <c r="Z283" s="390"/>
      <c r="AA283" s="434"/>
      <c r="AB283" s="341" t="s">
        <v>316</v>
      </c>
      <c r="AC283" s="387"/>
      <c r="AD283" s="387"/>
      <c r="AE283" s="387"/>
      <c r="AF283" s="387"/>
      <c r="AG283" s="387"/>
      <c r="AH283" s="387"/>
      <c r="AI283" s="387"/>
      <c r="AJ283" s="387"/>
      <c r="AK283" s="387"/>
      <c r="AL283" s="387"/>
      <c r="AM283" s="387"/>
      <c r="AN283" s="387"/>
      <c r="AO283" s="387"/>
      <c r="AP283" s="387"/>
      <c r="AQ283" s="387"/>
      <c r="AR283" s="387"/>
      <c r="AS283" s="387"/>
      <c r="AT283" s="387"/>
    </row>
    <row r="284">
      <c r="A284" s="385">
        <v>2019.0</v>
      </c>
      <c r="B284" s="395">
        <v>45185.60436289352</v>
      </c>
      <c r="C284" s="387" t="s">
        <v>1311</v>
      </c>
      <c r="D284" s="385">
        <v>1.900016195E9</v>
      </c>
      <c r="E284" s="387" t="s">
        <v>3719</v>
      </c>
      <c r="F284" s="387" t="s">
        <v>3720</v>
      </c>
      <c r="G284" s="387" t="s">
        <v>3721</v>
      </c>
      <c r="H284" s="389">
        <v>45055.0</v>
      </c>
      <c r="I284" s="389">
        <v>45055.0</v>
      </c>
      <c r="J284" s="387" t="s">
        <v>399</v>
      </c>
      <c r="K284" s="387" t="s">
        <v>3013</v>
      </c>
      <c r="L284" s="387" t="s">
        <v>703</v>
      </c>
      <c r="M284" s="390"/>
      <c r="N284" s="390"/>
      <c r="O284" s="390"/>
      <c r="P284" s="390"/>
      <c r="Q284" s="390"/>
      <c r="R284" s="390"/>
      <c r="S284" s="387" t="s">
        <v>3722</v>
      </c>
      <c r="T284" s="387" t="s">
        <v>3013</v>
      </c>
      <c r="U284" s="387" t="s">
        <v>703</v>
      </c>
      <c r="V284" s="387" t="s">
        <v>2951</v>
      </c>
      <c r="W284" s="394">
        <v>45194.0</v>
      </c>
      <c r="X284" s="387" t="s">
        <v>3589</v>
      </c>
      <c r="Y284" s="397" t="s">
        <v>3593</v>
      </c>
      <c r="Z284" s="390"/>
      <c r="AA284" s="434"/>
      <c r="AB284" s="341" t="s">
        <v>316</v>
      </c>
      <c r="AC284" s="387"/>
      <c r="AD284" s="387"/>
      <c r="AE284" s="387"/>
      <c r="AF284" s="387"/>
      <c r="AG284" s="387"/>
      <c r="AH284" s="387"/>
      <c r="AI284" s="387"/>
      <c r="AJ284" s="387"/>
      <c r="AK284" s="387"/>
      <c r="AL284" s="387"/>
      <c r="AM284" s="387"/>
      <c r="AN284" s="387"/>
      <c r="AO284" s="387"/>
      <c r="AP284" s="387"/>
      <c r="AQ284" s="387"/>
      <c r="AR284" s="387"/>
      <c r="AS284" s="387"/>
      <c r="AT284" s="387"/>
    </row>
    <row r="285">
      <c r="A285" s="385">
        <v>2019.0</v>
      </c>
      <c r="B285" s="395">
        <v>45187.552313796295</v>
      </c>
      <c r="C285" s="387" t="s">
        <v>1321</v>
      </c>
      <c r="D285" s="385">
        <v>1.915016137E9</v>
      </c>
      <c r="E285" s="387" t="s">
        <v>1322</v>
      </c>
      <c r="F285" s="387" t="s">
        <v>1323</v>
      </c>
      <c r="G285" s="387" t="s">
        <v>3723</v>
      </c>
      <c r="H285" s="389">
        <v>44885.0</v>
      </c>
      <c r="I285" s="389">
        <v>45055.0</v>
      </c>
      <c r="J285" s="387" t="s">
        <v>399</v>
      </c>
      <c r="K285" s="387" t="s">
        <v>183</v>
      </c>
      <c r="L285" s="387" t="s">
        <v>241</v>
      </c>
      <c r="M285" s="390"/>
      <c r="N285" s="390"/>
      <c r="O285" s="390"/>
      <c r="P285" s="390"/>
      <c r="Q285" s="390"/>
      <c r="R285" s="390"/>
      <c r="S285" s="387" t="s">
        <v>3724</v>
      </c>
      <c r="T285" s="387" t="s">
        <v>183</v>
      </c>
      <c r="U285" s="387" t="s">
        <v>241</v>
      </c>
      <c r="V285" s="387" t="s">
        <v>117</v>
      </c>
      <c r="W285" s="394">
        <v>45196.0</v>
      </c>
      <c r="X285" s="387" t="s">
        <v>3524</v>
      </c>
      <c r="Y285" s="397" t="s">
        <v>3593</v>
      </c>
      <c r="Z285" s="390"/>
      <c r="AA285" s="434"/>
      <c r="AB285" s="341" t="s">
        <v>316</v>
      </c>
      <c r="AC285" s="387"/>
      <c r="AD285" s="387"/>
      <c r="AE285" s="387"/>
      <c r="AF285" s="387"/>
      <c r="AG285" s="387"/>
      <c r="AH285" s="387"/>
      <c r="AI285" s="387"/>
      <c r="AJ285" s="387"/>
      <c r="AK285" s="387"/>
      <c r="AL285" s="387"/>
      <c r="AM285" s="387"/>
      <c r="AN285" s="387"/>
      <c r="AO285" s="387"/>
      <c r="AP285" s="387"/>
      <c r="AQ285" s="387"/>
      <c r="AR285" s="387"/>
      <c r="AS285" s="387"/>
      <c r="AT285" s="387"/>
    </row>
    <row r="286">
      <c r="A286" s="385">
        <v>2019.0</v>
      </c>
      <c r="B286" s="395">
        <v>45188.40263184028</v>
      </c>
      <c r="C286" s="387" t="s">
        <v>1402</v>
      </c>
      <c r="D286" s="385">
        <v>1.900016113E9</v>
      </c>
      <c r="E286" s="387" t="s">
        <v>1403</v>
      </c>
      <c r="F286" s="387" t="s">
        <v>1404</v>
      </c>
      <c r="G286" s="387" t="s">
        <v>3725</v>
      </c>
      <c r="H286" s="389">
        <v>44986.0</v>
      </c>
      <c r="I286" s="389">
        <v>45082.0</v>
      </c>
      <c r="J286" s="387" t="s">
        <v>399</v>
      </c>
      <c r="K286" s="387" t="s">
        <v>241</v>
      </c>
      <c r="L286" s="387" t="s">
        <v>117</v>
      </c>
      <c r="M286" s="390"/>
      <c r="N286" s="390"/>
      <c r="O286" s="390"/>
      <c r="P286" s="390"/>
      <c r="Q286" s="390"/>
      <c r="R286" s="390"/>
      <c r="S286" s="387" t="s">
        <v>3726</v>
      </c>
      <c r="T286" s="387" t="s">
        <v>241</v>
      </c>
      <c r="U286" s="387" t="s">
        <v>117</v>
      </c>
      <c r="V286" s="428" t="s">
        <v>703</v>
      </c>
      <c r="W286" s="394">
        <v>45199.0</v>
      </c>
      <c r="X286" s="387" t="s">
        <v>3524</v>
      </c>
      <c r="Y286" s="397" t="s">
        <v>3593</v>
      </c>
      <c r="Z286" s="390"/>
      <c r="AA286" s="387"/>
      <c r="AB286" s="341" t="s">
        <v>316</v>
      </c>
      <c r="AC286" s="387"/>
      <c r="AD286" s="387"/>
      <c r="AE286" s="387"/>
      <c r="AF286" s="387"/>
      <c r="AG286" s="387"/>
      <c r="AH286" s="387"/>
      <c r="AI286" s="387"/>
      <c r="AJ286" s="387"/>
      <c r="AK286" s="387"/>
      <c r="AL286" s="387"/>
      <c r="AM286" s="387"/>
      <c r="AN286" s="387"/>
      <c r="AO286" s="387"/>
      <c r="AP286" s="387"/>
      <c r="AQ286" s="387"/>
      <c r="AR286" s="387"/>
      <c r="AS286" s="387"/>
      <c r="AT286" s="387"/>
    </row>
    <row r="287">
      <c r="A287" s="385">
        <v>2019.0</v>
      </c>
      <c r="B287" s="395">
        <v>45191.97086059028</v>
      </c>
      <c r="C287" s="387" t="s">
        <v>1433</v>
      </c>
      <c r="D287" s="385">
        <v>1.900016098E9</v>
      </c>
      <c r="E287" s="387" t="s">
        <v>1434</v>
      </c>
      <c r="F287" s="387" t="s">
        <v>1435</v>
      </c>
      <c r="G287" s="387" t="s">
        <v>1436</v>
      </c>
      <c r="H287" s="389">
        <v>44946.0</v>
      </c>
      <c r="I287" s="389">
        <v>45083.0</v>
      </c>
      <c r="J287" s="387" t="s">
        <v>399</v>
      </c>
      <c r="K287" s="387" t="s">
        <v>2379</v>
      </c>
      <c r="L287" s="387" t="s">
        <v>241</v>
      </c>
      <c r="M287" s="390"/>
      <c r="N287" s="390"/>
      <c r="O287" s="390"/>
      <c r="P287" s="390"/>
      <c r="Q287" s="390"/>
      <c r="R287" s="390"/>
      <c r="S287" s="387" t="s">
        <v>3727</v>
      </c>
      <c r="T287" s="387" t="s">
        <v>2379</v>
      </c>
      <c r="U287" s="387" t="s">
        <v>241</v>
      </c>
      <c r="V287" s="428" t="s">
        <v>703</v>
      </c>
      <c r="W287" s="394">
        <v>45195.0</v>
      </c>
      <c r="X287" s="387" t="s">
        <v>3728</v>
      </c>
      <c r="Y287" s="397" t="s">
        <v>3593</v>
      </c>
      <c r="Z287" s="390"/>
      <c r="AA287" s="387"/>
      <c r="AB287" s="341" t="s">
        <v>316</v>
      </c>
      <c r="AC287" s="387"/>
      <c r="AD287" s="387"/>
      <c r="AE287" s="387"/>
      <c r="AF287" s="387"/>
      <c r="AG287" s="387"/>
      <c r="AH287" s="387"/>
      <c r="AI287" s="387"/>
      <c r="AJ287" s="387"/>
      <c r="AK287" s="387"/>
      <c r="AL287" s="387"/>
      <c r="AM287" s="387"/>
      <c r="AN287" s="387"/>
      <c r="AO287" s="387"/>
      <c r="AP287" s="387"/>
      <c r="AQ287" s="387"/>
      <c r="AR287" s="387"/>
      <c r="AS287" s="387"/>
      <c r="AT287" s="387"/>
    </row>
    <row r="288">
      <c r="A288" s="385">
        <v>2019.0</v>
      </c>
      <c r="B288" s="395">
        <v>45192.489279085654</v>
      </c>
      <c r="C288" s="387" t="s">
        <v>3729</v>
      </c>
      <c r="D288" s="385">
        <v>1.900016095E9</v>
      </c>
      <c r="E288" s="387" t="s">
        <v>1377</v>
      </c>
      <c r="F288" s="387" t="s">
        <v>1378</v>
      </c>
      <c r="G288" s="387" t="s">
        <v>1379</v>
      </c>
      <c r="H288" s="389">
        <v>44986.0</v>
      </c>
      <c r="I288" s="389">
        <v>45079.0</v>
      </c>
      <c r="J288" s="387" t="s">
        <v>399</v>
      </c>
      <c r="K288" s="387" t="s">
        <v>703</v>
      </c>
      <c r="L288" s="387" t="s">
        <v>1900</v>
      </c>
      <c r="M288" s="390"/>
      <c r="N288" s="390"/>
      <c r="O288" s="390"/>
      <c r="P288" s="390"/>
      <c r="Q288" s="390"/>
      <c r="R288" s="390"/>
      <c r="S288" s="387" t="s">
        <v>3730</v>
      </c>
      <c r="T288" s="387" t="s">
        <v>703</v>
      </c>
      <c r="U288" s="387" t="s">
        <v>1900</v>
      </c>
      <c r="V288" s="387" t="s">
        <v>3145</v>
      </c>
      <c r="W288" s="394">
        <v>45199.0</v>
      </c>
      <c r="X288" s="387" t="s">
        <v>3586</v>
      </c>
      <c r="Y288" s="397" t="s">
        <v>1948</v>
      </c>
      <c r="Z288" s="390"/>
      <c r="AA288" s="387"/>
      <c r="AB288" s="341" t="s">
        <v>316</v>
      </c>
      <c r="AC288" s="387"/>
      <c r="AD288" s="387"/>
      <c r="AE288" s="387"/>
      <c r="AF288" s="387"/>
      <c r="AG288" s="387"/>
      <c r="AH288" s="387"/>
      <c r="AI288" s="387"/>
      <c r="AJ288" s="387"/>
      <c r="AK288" s="387"/>
      <c r="AL288" s="387"/>
      <c r="AM288" s="387"/>
      <c r="AN288" s="387"/>
      <c r="AO288" s="387"/>
      <c r="AP288" s="387"/>
      <c r="AQ288" s="387"/>
      <c r="AR288" s="387"/>
      <c r="AS288" s="387"/>
      <c r="AT288" s="387"/>
    </row>
    <row r="289">
      <c r="A289" s="385">
        <v>2018.0</v>
      </c>
      <c r="B289" s="395">
        <v>45192.74463708333</v>
      </c>
      <c r="C289" s="387" t="s">
        <v>3731</v>
      </c>
      <c r="D289" s="385">
        <v>1.800016107E9</v>
      </c>
      <c r="E289" s="387" t="s">
        <v>1084</v>
      </c>
      <c r="F289" s="387" t="s">
        <v>1085</v>
      </c>
      <c r="G289" s="387" t="s">
        <v>3732</v>
      </c>
      <c r="H289" s="389">
        <v>44777.0</v>
      </c>
      <c r="I289" s="389">
        <v>44823.0</v>
      </c>
      <c r="J289" s="387" t="s">
        <v>399</v>
      </c>
      <c r="K289" s="387" t="s">
        <v>230</v>
      </c>
      <c r="L289" s="387" t="s">
        <v>703</v>
      </c>
      <c r="M289" s="390"/>
      <c r="N289" s="390"/>
      <c r="O289" s="390"/>
      <c r="P289" s="390"/>
      <c r="Q289" s="390"/>
      <c r="R289" s="390"/>
      <c r="S289" s="387" t="s">
        <v>3733</v>
      </c>
      <c r="T289" s="387" t="s">
        <v>230</v>
      </c>
      <c r="U289" s="387" t="s">
        <v>703</v>
      </c>
      <c r="V289" s="387" t="s">
        <v>3145</v>
      </c>
      <c r="W289" s="394">
        <v>45198.0</v>
      </c>
      <c r="X289" s="387" t="s">
        <v>3734</v>
      </c>
      <c r="Y289" s="397" t="s">
        <v>1948</v>
      </c>
      <c r="Z289" s="390"/>
      <c r="AA289" s="387"/>
      <c r="AB289" s="341" t="s">
        <v>316</v>
      </c>
      <c r="AC289" s="387"/>
      <c r="AD289" s="387"/>
      <c r="AE289" s="387"/>
      <c r="AF289" s="387"/>
      <c r="AG289" s="387"/>
      <c r="AH289" s="387"/>
      <c r="AI289" s="387"/>
      <c r="AJ289" s="387"/>
      <c r="AK289" s="387"/>
      <c r="AL289" s="387"/>
      <c r="AM289" s="387"/>
      <c r="AN289" s="387"/>
      <c r="AO289" s="387"/>
      <c r="AP289" s="387"/>
      <c r="AQ289" s="387"/>
      <c r="AR289" s="387"/>
      <c r="AS289" s="387"/>
      <c r="AT289" s="387"/>
    </row>
    <row r="290">
      <c r="A290" s="385">
        <v>2018.0</v>
      </c>
      <c r="B290" s="395">
        <v>45192.887078252315</v>
      </c>
      <c r="C290" s="387" t="s">
        <v>1178</v>
      </c>
      <c r="D290" s="385">
        <v>1.800016141E9</v>
      </c>
      <c r="E290" s="387" t="s">
        <v>1179</v>
      </c>
      <c r="F290" s="387" t="s">
        <v>1180</v>
      </c>
      <c r="G290" s="387" t="s">
        <v>3735</v>
      </c>
      <c r="H290" s="389">
        <v>44807.0</v>
      </c>
      <c r="I290" s="389">
        <v>44942.0</v>
      </c>
      <c r="J290" s="387" t="s">
        <v>399</v>
      </c>
      <c r="K290" s="387" t="s">
        <v>230</v>
      </c>
      <c r="L290" s="387" t="s">
        <v>3013</v>
      </c>
      <c r="M290" s="390"/>
      <c r="N290" s="390"/>
      <c r="O290" s="390"/>
      <c r="P290" s="390"/>
      <c r="Q290" s="390"/>
      <c r="R290" s="390"/>
      <c r="S290" s="387" t="s">
        <v>3736</v>
      </c>
      <c r="T290" s="387" t="s">
        <v>230</v>
      </c>
      <c r="U290" s="387" t="s">
        <v>3013</v>
      </c>
      <c r="V290" s="428" t="s">
        <v>703</v>
      </c>
      <c r="W290" s="394">
        <v>45199.0</v>
      </c>
      <c r="X290" s="387" t="s">
        <v>3737</v>
      </c>
      <c r="Y290" s="397" t="s">
        <v>1948</v>
      </c>
      <c r="Z290" s="390"/>
      <c r="AA290" s="387"/>
      <c r="AB290" s="341" t="s">
        <v>316</v>
      </c>
      <c r="AC290" s="387"/>
      <c r="AD290" s="387"/>
      <c r="AE290" s="387"/>
      <c r="AF290" s="387"/>
      <c r="AG290" s="387"/>
      <c r="AH290" s="387"/>
      <c r="AI290" s="387"/>
      <c r="AJ290" s="387"/>
      <c r="AK290" s="387"/>
      <c r="AL290" s="387"/>
      <c r="AM290" s="387"/>
      <c r="AN290" s="387"/>
      <c r="AO290" s="387"/>
      <c r="AP290" s="387"/>
      <c r="AQ290" s="387"/>
      <c r="AR290" s="387"/>
      <c r="AS290" s="387"/>
      <c r="AT290" s="387"/>
    </row>
    <row r="291">
      <c r="A291" s="385">
        <v>2019.0</v>
      </c>
      <c r="B291" s="395">
        <v>45194.625123969905</v>
      </c>
      <c r="C291" s="387" t="s">
        <v>1296</v>
      </c>
      <c r="D291" s="385">
        <v>1.900016075E9</v>
      </c>
      <c r="E291" s="387" t="s">
        <v>1297</v>
      </c>
      <c r="F291" s="387" t="s">
        <v>1298</v>
      </c>
      <c r="G291" s="387" t="s">
        <v>3738</v>
      </c>
      <c r="H291" s="389">
        <v>45000.0</v>
      </c>
      <c r="I291" s="389">
        <v>45031.0</v>
      </c>
      <c r="J291" s="387" t="s">
        <v>399</v>
      </c>
      <c r="K291" s="387" t="s">
        <v>183</v>
      </c>
      <c r="L291" s="387" t="s">
        <v>2379</v>
      </c>
      <c r="M291" s="390"/>
      <c r="N291" s="390"/>
      <c r="O291" s="390"/>
      <c r="P291" s="390"/>
      <c r="Q291" s="390"/>
      <c r="R291" s="390"/>
      <c r="S291" s="387" t="s">
        <v>3739</v>
      </c>
      <c r="T291" s="387" t="s">
        <v>183</v>
      </c>
      <c r="U291" s="387" t="s">
        <v>2379</v>
      </c>
      <c r="V291" s="387" t="s">
        <v>117</v>
      </c>
      <c r="W291" s="394">
        <v>45195.0</v>
      </c>
      <c r="X291" s="387" t="s">
        <v>3740</v>
      </c>
      <c r="Y291" s="397" t="s">
        <v>1948</v>
      </c>
      <c r="Z291" s="390"/>
      <c r="AA291" s="434"/>
      <c r="AB291" s="341" t="s">
        <v>316</v>
      </c>
      <c r="AC291" s="387"/>
      <c r="AD291" s="387"/>
      <c r="AE291" s="387"/>
      <c r="AF291" s="387"/>
      <c r="AG291" s="387"/>
      <c r="AH291" s="387"/>
      <c r="AI291" s="387"/>
      <c r="AJ291" s="387"/>
      <c r="AK291" s="387"/>
      <c r="AL291" s="387"/>
      <c r="AM291" s="387"/>
      <c r="AN291" s="387"/>
      <c r="AO291" s="387"/>
      <c r="AP291" s="387"/>
      <c r="AQ291" s="387"/>
      <c r="AR291" s="387"/>
      <c r="AS291" s="387"/>
      <c r="AT291" s="387"/>
    </row>
    <row r="292">
      <c r="A292" s="385">
        <v>2018.0</v>
      </c>
      <c r="B292" s="395">
        <v>45195.61445581019</v>
      </c>
      <c r="C292" s="387" t="s">
        <v>1117</v>
      </c>
      <c r="D292" s="385">
        <v>1.800016103E9</v>
      </c>
      <c r="E292" s="387" t="s">
        <v>3741</v>
      </c>
      <c r="F292" s="387" t="s">
        <v>1119</v>
      </c>
      <c r="G292" s="387" t="s">
        <v>3742</v>
      </c>
      <c r="H292" s="389">
        <v>44726.0</v>
      </c>
      <c r="I292" s="389">
        <v>44865.0</v>
      </c>
      <c r="J292" s="387" t="s">
        <v>399</v>
      </c>
      <c r="K292" s="387" t="s">
        <v>3062</v>
      </c>
      <c r="L292" s="387" t="s">
        <v>1900</v>
      </c>
      <c r="M292" s="390"/>
      <c r="N292" s="390"/>
      <c r="O292" s="390"/>
      <c r="P292" s="390"/>
      <c r="Q292" s="390"/>
      <c r="R292" s="390"/>
      <c r="S292" s="387" t="s">
        <v>3743</v>
      </c>
      <c r="T292" s="387" t="s">
        <v>3062</v>
      </c>
      <c r="U292" s="387" t="s">
        <v>1900</v>
      </c>
      <c r="V292" s="428" t="s">
        <v>703</v>
      </c>
      <c r="W292" s="394">
        <v>45202.0</v>
      </c>
      <c r="X292" s="387" t="s">
        <v>3744</v>
      </c>
      <c r="Y292" s="397" t="s">
        <v>1948</v>
      </c>
      <c r="Z292" s="390"/>
      <c r="AA292" s="387"/>
      <c r="AB292" s="341" t="s">
        <v>316</v>
      </c>
      <c r="AC292" s="387"/>
      <c r="AD292" s="387"/>
      <c r="AE292" s="387"/>
      <c r="AF292" s="387"/>
      <c r="AG292" s="387"/>
      <c r="AH292" s="387"/>
      <c r="AI292" s="387"/>
      <c r="AJ292" s="387"/>
      <c r="AK292" s="387"/>
      <c r="AL292" s="387"/>
      <c r="AM292" s="387"/>
      <c r="AN292" s="387"/>
      <c r="AO292" s="387"/>
      <c r="AP292" s="387"/>
      <c r="AQ292" s="387"/>
      <c r="AR292" s="387"/>
      <c r="AS292" s="387"/>
      <c r="AT292" s="387"/>
    </row>
    <row r="293">
      <c r="A293" s="408">
        <v>2018.0</v>
      </c>
      <c r="B293" s="439">
        <v>45195.62023163194</v>
      </c>
      <c r="C293" s="408" t="s">
        <v>1136</v>
      </c>
      <c r="D293" s="419">
        <v>1.800016104E9</v>
      </c>
      <c r="E293" s="408" t="s">
        <v>1137</v>
      </c>
      <c r="F293" s="408" t="s">
        <v>3745</v>
      </c>
      <c r="G293" s="408" t="s">
        <v>3746</v>
      </c>
      <c r="H293" s="440">
        <v>44766.0</v>
      </c>
      <c r="I293" s="440">
        <v>44895.0</v>
      </c>
      <c r="J293" s="408" t="s">
        <v>399</v>
      </c>
      <c r="K293" s="408" t="s">
        <v>3062</v>
      </c>
      <c r="L293" s="408" t="s">
        <v>703</v>
      </c>
      <c r="M293" s="422"/>
      <c r="N293" s="422"/>
      <c r="O293" s="422"/>
      <c r="P293" s="422"/>
      <c r="Q293" s="422"/>
      <c r="R293" s="422"/>
      <c r="S293" s="408" t="s">
        <v>3747</v>
      </c>
      <c r="T293" s="408" t="s">
        <v>3062</v>
      </c>
      <c r="U293" s="408" t="s">
        <v>703</v>
      </c>
      <c r="V293" s="408" t="s">
        <v>117</v>
      </c>
      <c r="W293" s="441">
        <v>45201.0</v>
      </c>
      <c r="X293" s="408" t="s">
        <v>3744</v>
      </c>
      <c r="Y293" s="397" t="s">
        <v>1948</v>
      </c>
      <c r="Z293" s="422"/>
      <c r="AA293" s="408"/>
      <c r="AB293" s="341" t="s">
        <v>316</v>
      </c>
      <c r="AC293" s="408"/>
      <c r="AD293" s="408"/>
      <c r="AE293" s="408"/>
      <c r="AF293" s="408"/>
      <c r="AG293" s="408"/>
      <c r="AH293" s="408"/>
      <c r="AI293" s="408"/>
      <c r="AJ293" s="408"/>
      <c r="AK293" s="408"/>
      <c r="AL293" s="408"/>
      <c r="AM293" s="408"/>
      <c r="AN293" s="408"/>
      <c r="AO293" s="408"/>
      <c r="AP293" s="408"/>
      <c r="AQ293" s="408"/>
      <c r="AR293" s="408"/>
      <c r="AS293" s="408"/>
      <c r="AT293" s="408"/>
    </row>
    <row r="294">
      <c r="A294" s="385">
        <v>2019.0</v>
      </c>
      <c r="B294" s="395">
        <v>45196.59861605324</v>
      </c>
      <c r="C294" s="387" t="s">
        <v>1503</v>
      </c>
      <c r="D294" s="385">
        <v>1.900016151E9</v>
      </c>
      <c r="E294" s="387" t="s">
        <v>1504</v>
      </c>
      <c r="F294" s="387" t="s">
        <v>3748</v>
      </c>
      <c r="G294" s="387" t="s">
        <v>1506</v>
      </c>
      <c r="H294" s="389">
        <v>44928.0</v>
      </c>
      <c r="I294" s="389">
        <v>45110.0</v>
      </c>
      <c r="J294" s="387" t="s">
        <v>399</v>
      </c>
      <c r="K294" s="387" t="s">
        <v>183</v>
      </c>
      <c r="L294" s="387" t="s">
        <v>117</v>
      </c>
      <c r="M294" s="390"/>
      <c r="N294" s="390"/>
      <c r="O294" s="390"/>
      <c r="P294" s="390"/>
      <c r="Q294" s="390"/>
      <c r="R294" s="390"/>
      <c r="S294" s="387" t="s">
        <v>3749</v>
      </c>
      <c r="T294" s="387" t="s">
        <v>183</v>
      </c>
      <c r="U294" s="387" t="s">
        <v>117</v>
      </c>
      <c r="V294" s="436" t="s">
        <v>2951</v>
      </c>
      <c r="W294" s="441">
        <v>45201.0</v>
      </c>
      <c r="X294" s="387" t="s">
        <v>3750</v>
      </c>
      <c r="Y294" s="397" t="s">
        <v>1948</v>
      </c>
      <c r="Z294" s="390"/>
      <c r="AA294" s="438"/>
      <c r="AB294" s="341" t="s">
        <v>316</v>
      </c>
      <c r="AC294" s="387"/>
      <c r="AD294" s="387"/>
      <c r="AE294" s="387"/>
      <c r="AF294" s="387"/>
      <c r="AG294" s="387"/>
      <c r="AH294" s="387"/>
      <c r="AI294" s="387"/>
      <c r="AJ294" s="387"/>
      <c r="AK294" s="387"/>
      <c r="AL294" s="387"/>
      <c r="AM294" s="387"/>
      <c r="AN294" s="387"/>
      <c r="AO294" s="387"/>
      <c r="AP294" s="387"/>
      <c r="AQ294" s="387"/>
      <c r="AR294" s="387"/>
      <c r="AS294" s="387"/>
      <c r="AT294" s="387"/>
    </row>
    <row r="295">
      <c r="A295" s="385">
        <v>2019.0</v>
      </c>
      <c r="B295" s="395">
        <v>45197.6583800463</v>
      </c>
      <c r="C295" s="387" t="s">
        <v>1132</v>
      </c>
      <c r="D295" s="385">
        <v>1.800016124E9</v>
      </c>
      <c r="E295" s="387" t="s">
        <v>1133</v>
      </c>
      <c r="F295" s="387" t="s">
        <v>1134</v>
      </c>
      <c r="G295" s="387" t="s">
        <v>3751</v>
      </c>
      <c r="H295" s="389">
        <v>44756.0</v>
      </c>
      <c r="I295" s="389">
        <v>44891.0</v>
      </c>
      <c r="J295" s="387" t="s">
        <v>399</v>
      </c>
      <c r="K295" s="387" t="s">
        <v>3062</v>
      </c>
      <c r="L295" s="387" t="s">
        <v>703</v>
      </c>
      <c r="M295" s="390"/>
      <c r="N295" s="390"/>
      <c r="O295" s="390"/>
      <c r="P295" s="390"/>
      <c r="Q295" s="390"/>
      <c r="R295" s="390"/>
      <c r="S295" s="387" t="s">
        <v>3752</v>
      </c>
      <c r="T295" s="387" t="s">
        <v>3062</v>
      </c>
      <c r="U295" s="387" t="s">
        <v>703</v>
      </c>
      <c r="V295" s="436" t="s">
        <v>2951</v>
      </c>
      <c r="W295" s="441">
        <v>45205.0</v>
      </c>
      <c r="X295" s="387" t="s">
        <v>3586</v>
      </c>
      <c r="Y295" s="397" t="s">
        <v>1948</v>
      </c>
      <c r="Z295" s="390"/>
      <c r="AA295" s="442"/>
      <c r="AB295" s="341" t="s">
        <v>316</v>
      </c>
      <c r="AC295" s="387"/>
      <c r="AD295" s="387"/>
      <c r="AE295" s="387"/>
      <c r="AF295" s="387"/>
      <c r="AG295" s="387"/>
      <c r="AH295" s="387"/>
      <c r="AI295" s="387"/>
      <c r="AJ295" s="387"/>
      <c r="AK295" s="387"/>
      <c r="AL295" s="387"/>
      <c r="AM295" s="387"/>
      <c r="AN295" s="387"/>
      <c r="AO295" s="387"/>
      <c r="AP295" s="387"/>
      <c r="AQ295" s="387"/>
      <c r="AR295" s="387"/>
      <c r="AS295" s="387"/>
      <c r="AT295" s="387"/>
    </row>
    <row r="296">
      <c r="A296" s="385">
        <v>2019.0</v>
      </c>
      <c r="B296" s="395">
        <v>45199.6646907176</v>
      </c>
      <c r="C296" s="387" t="s">
        <v>1302</v>
      </c>
      <c r="D296" s="385">
        <v>1.800016149E9</v>
      </c>
      <c r="E296" s="387" t="s">
        <v>3753</v>
      </c>
      <c r="F296" s="387" t="s">
        <v>1304</v>
      </c>
      <c r="G296" s="387" t="s">
        <v>3754</v>
      </c>
      <c r="H296" s="389">
        <v>44746.0</v>
      </c>
      <c r="I296" s="389">
        <v>45031.0</v>
      </c>
      <c r="J296" s="387" t="s">
        <v>399</v>
      </c>
      <c r="K296" s="387" t="s">
        <v>3062</v>
      </c>
      <c r="L296" s="387" t="s">
        <v>1900</v>
      </c>
      <c r="M296" s="390"/>
      <c r="N296" s="390"/>
      <c r="O296" s="390"/>
      <c r="P296" s="390"/>
      <c r="Q296" s="390"/>
      <c r="R296" s="390"/>
      <c r="S296" s="387" t="s">
        <v>3755</v>
      </c>
      <c r="T296" s="387" t="s">
        <v>3062</v>
      </c>
      <c r="U296" s="387" t="s">
        <v>1900</v>
      </c>
      <c r="V296" s="428" t="s">
        <v>703</v>
      </c>
      <c r="W296" s="441">
        <v>45205.0</v>
      </c>
      <c r="X296" s="387" t="s">
        <v>3756</v>
      </c>
      <c r="Y296" s="397" t="s">
        <v>1948</v>
      </c>
      <c r="Z296" s="390"/>
      <c r="AA296" s="387"/>
      <c r="AB296" s="341" t="s">
        <v>316</v>
      </c>
      <c r="AC296" s="387"/>
      <c r="AD296" s="387"/>
      <c r="AE296" s="387"/>
      <c r="AF296" s="387"/>
      <c r="AG296" s="387"/>
      <c r="AH296" s="387"/>
      <c r="AI296" s="387"/>
      <c r="AJ296" s="387"/>
      <c r="AK296" s="387"/>
      <c r="AL296" s="387"/>
      <c r="AM296" s="387"/>
      <c r="AN296" s="387"/>
      <c r="AO296" s="387"/>
      <c r="AP296" s="387"/>
      <c r="AQ296" s="387"/>
      <c r="AR296" s="387"/>
      <c r="AS296" s="387"/>
      <c r="AT296" s="387"/>
    </row>
    <row r="297">
      <c r="A297" s="385">
        <v>2019.0</v>
      </c>
      <c r="B297" s="395">
        <v>45199.69475829861</v>
      </c>
      <c r="C297" s="387" t="s">
        <v>3757</v>
      </c>
      <c r="D297" s="385">
        <v>1.900016083E9</v>
      </c>
      <c r="E297" s="387" t="s">
        <v>3758</v>
      </c>
      <c r="F297" s="387" t="s">
        <v>1556</v>
      </c>
      <c r="G297" s="387" t="s">
        <v>3759</v>
      </c>
      <c r="H297" s="389">
        <v>45047.0</v>
      </c>
      <c r="I297" s="389">
        <v>45127.0</v>
      </c>
      <c r="J297" s="387" t="s">
        <v>399</v>
      </c>
      <c r="K297" s="387" t="s">
        <v>1900</v>
      </c>
      <c r="L297" s="387" t="s">
        <v>703</v>
      </c>
      <c r="M297" s="390"/>
      <c r="N297" s="390"/>
      <c r="O297" s="390"/>
      <c r="P297" s="390"/>
      <c r="Q297" s="390"/>
      <c r="R297" s="390"/>
      <c r="S297" s="387" t="s">
        <v>3760</v>
      </c>
      <c r="T297" s="387" t="s">
        <v>1900</v>
      </c>
      <c r="U297" s="387" t="s">
        <v>703</v>
      </c>
      <c r="V297" s="387" t="s">
        <v>3170</v>
      </c>
      <c r="W297" s="441">
        <v>45205.0</v>
      </c>
      <c r="X297" s="387" t="s">
        <v>3761</v>
      </c>
      <c r="Y297" s="397" t="s">
        <v>1948</v>
      </c>
      <c r="Z297" s="390"/>
      <c r="AA297" s="387"/>
      <c r="AB297" s="341" t="s">
        <v>316</v>
      </c>
      <c r="AC297" s="387"/>
      <c r="AD297" s="387"/>
      <c r="AE297" s="387"/>
      <c r="AF297" s="387"/>
      <c r="AG297" s="387"/>
      <c r="AH297" s="387"/>
      <c r="AI297" s="387"/>
      <c r="AJ297" s="387"/>
      <c r="AK297" s="387"/>
      <c r="AL297" s="387"/>
      <c r="AM297" s="387"/>
      <c r="AN297" s="387"/>
      <c r="AO297" s="387"/>
      <c r="AP297" s="387"/>
      <c r="AQ297" s="387"/>
      <c r="AR297" s="387"/>
      <c r="AS297" s="387"/>
      <c r="AT297" s="387"/>
    </row>
    <row r="298">
      <c r="A298" s="385">
        <v>2019.0</v>
      </c>
      <c r="B298" s="395">
        <v>45203.561885243056</v>
      </c>
      <c r="C298" s="387" t="s">
        <v>3762</v>
      </c>
      <c r="D298" s="385">
        <v>1.800016102E9</v>
      </c>
      <c r="E298" s="387" t="s">
        <v>1128</v>
      </c>
      <c r="F298" s="387" t="s">
        <v>1129</v>
      </c>
      <c r="G298" s="387" t="s">
        <v>3763</v>
      </c>
      <c r="H298" s="389">
        <v>44756.0</v>
      </c>
      <c r="I298" s="389">
        <v>44891.0</v>
      </c>
      <c r="J298" s="387" t="s">
        <v>399</v>
      </c>
      <c r="K298" s="387" t="s">
        <v>3062</v>
      </c>
      <c r="L298" s="387" t="s">
        <v>117</v>
      </c>
      <c r="M298" s="390"/>
      <c r="N298" s="390"/>
      <c r="O298" s="390"/>
      <c r="P298" s="390"/>
      <c r="Q298" s="390"/>
      <c r="R298" s="390"/>
      <c r="S298" s="387" t="s">
        <v>3764</v>
      </c>
      <c r="T298" s="387" t="s">
        <v>3062</v>
      </c>
      <c r="U298" s="387" t="s">
        <v>117</v>
      </c>
      <c r="V298" s="387" t="s">
        <v>2951</v>
      </c>
      <c r="W298" s="441">
        <v>45209.0</v>
      </c>
      <c r="X298" s="387" t="s">
        <v>3711</v>
      </c>
      <c r="Y298" s="397" t="s">
        <v>1948</v>
      </c>
      <c r="Z298" s="390"/>
      <c r="AA298" s="387"/>
      <c r="AB298" s="341" t="s">
        <v>316</v>
      </c>
      <c r="AC298" s="387"/>
      <c r="AD298" s="387"/>
      <c r="AE298" s="387"/>
      <c r="AF298" s="387"/>
      <c r="AG298" s="387"/>
      <c r="AH298" s="387"/>
      <c r="AI298" s="387"/>
      <c r="AJ298" s="387"/>
      <c r="AK298" s="387"/>
      <c r="AL298" s="387"/>
      <c r="AM298" s="387"/>
      <c r="AN298" s="387"/>
      <c r="AO298" s="387"/>
      <c r="AP298" s="387"/>
      <c r="AQ298" s="387"/>
      <c r="AR298" s="387"/>
      <c r="AS298" s="387"/>
      <c r="AT298" s="387"/>
    </row>
    <row r="299">
      <c r="A299" s="385">
        <v>2017.0</v>
      </c>
      <c r="B299" s="395">
        <v>45205.73783255787</v>
      </c>
      <c r="C299" s="387" t="s">
        <v>1218</v>
      </c>
      <c r="D299" s="385">
        <v>1.711016096E9</v>
      </c>
      <c r="E299" s="387" t="s">
        <v>3765</v>
      </c>
      <c r="F299" s="387" t="s">
        <v>1220</v>
      </c>
      <c r="G299" s="387" t="s">
        <v>3766</v>
      </c>
      <c r="H299" s="389">
        <v>44384.0</v>
      </c>
      <c r="I299" s="389">
        <v>44977.0</v>
      </c>
      <c r="J299" s="387" t="s">
        <v>399</v>
      </c>
      <c r="K299" s="387" t="s">
        <v>117</v>
      </c>
      <c r="L299" s="387" t="s">
        <v>703</v>
      </c>
      <c r="M299" s="390"/>
      <c r="N299" s="390"/>
      <c r="O299" s="390"/>
      <c r="P299" s="390"/>
      <c r="Q299" s="390"/>
      <c r="R299" s="390"/>
      <c r="S299" s="387" t="s">
        <v>3767</v>
      </c>
      <c r="T299" s="387" t="s">
        <v>117</v>
      </c>
      <c r="U299" s="387" t="s">
        <v>703</v>
      </c>
      <c r="V299" s="387" t="s">
        <v>183</v>
      </c>
      <c r="W299" s="441">
        <v>45212.0</v>
      </c>
      <c r="X299" s="387" t="s">
        <v>3345</v>
      </c>
      <c r="Y299" s="397" t="s">
        <v>1948</v>
      </c>
      <c r="Z299" s="390"/>
      <c r="AA299" s="387"/>
      <c r="AB299" s="341" t="s">
        <v>316</v>
      </c>
      <c r="AC299" s="387"/>
      <c r="AD299" s="387"/>
      <c r="AE299" s="387"/>
      <c r="AF299" s="387"/>
      <c r="AG299" s="387"/>
      <c r="AH299" s="387"/>
      <c r="AI299" s="387"/>
      <c r="AJ299" s="387"/>
      <c r="AK299" s="387"/>
      <c r="AL299" s="387"/>
      <c r="AM299" s="387"/>
      <c r="AN299" s="387"/>
      <c r="AO299" s="387"/>
      <c r="AP299" s="387"/>
      <c r="AQ299" s="387"/>
      <c r="AR299" s="387"/>
      <c r="AS299" s="387"/>
      <c r="AT299" s="387"/>
    </row>
    <row r="300">
      <c r="A300" s="385">
        <v>2019.0</v>
      </c>
      <c r="B300" s="395">
        <v>45208.89647353009</v>
      </c>
      <c r="C300" s="387" t="s">
        <v>1271</v>
      </c>
      <c r="D300" s="385">
        <v>1.900016021E9</v>
      </c>
      <c r="E300" s="387" t="s">
        <v>1272</v>
      </c>
      <c r="F300" s="387" t="s">
        <v>1273</v>
      </c>
      <c r="G300" s="387" t="s">
        <v>3768</v>
      </c>
      <c r="H300" s="389">
        <v>45029.0</v>
      </c>
      <c r="I300" s="389">
        <v>45029.0</v>
      </c>
      <c r="J300" s="387" t="s">
        <v>399</v>
      </c>
      <c r="K300" s="387" t="s">
        <v>3013</v>
      </c>
      <c r="L300" s="387" t="s">
        <v>703</v>
      </c>
      <c r="M300" s="390"/>
      <c r="N300" s="390"/>
      <c r="O300" s="390"/>
      <c r="P300" s="390"/>
      <c r="Q300" s="390"/>
      <c r="R300" s="390"/>
      <c r="S300" s="387" t="s">
        <v>3769</v>
      </c>
      <c r="T300" s="387" t="s">
        <v>3013</v>
      </c>
      <c r="U300" s="387" t="s">
        <v>703</v>
      </c>
      <c r="V300" s="387" t="s">
        <v>2951</v>
      </c>
      <c r="W300" s="441">
        <v>45215.0</v>
      </c>
      <c r="X300" s="387" t="s">
        <v>3589</v>
      </c>
      <c r="Y300" s="397" t="s">
        <v>1948</v>
      </c>
      <c r="Z300" s="390"/>
      <c r="AA300" s="387"/>
      <c r="AB300" s="341" t="s">
        <v>316</v>
      </c>
      <c r="AC300" s="387"/>
      <c r="AD300" s="387"/>
      <c r="AE300" s="387"/>
      <c r="AF300" s="387"/>
      <c r="AG300" s="387"/>
      <c r="AH300" s="387"/>
      <c r="AI300" s="387"/>
      <c r="AJ300" s="387"/>
      <c r="AK300" s="387"/>
      <c r="AL300" s="387"/>
      <c r="AM300" s="387"/>
      <c r="AN300" s="387"/>
      <c r="AO300" s="387"/>
      <c r="AP300" s="387"/>
      <c r="AQ300" s="387"/>
      <c r="AR300" s="387"/>
      <c r="AS300" s="387"/>
      <c r="AT300" s="387"/>
    </row>
    <row r="301">
      <c r="A301" s="385">
        <v>2018.0</v>
      </c>
      <c r="B301" s="395">
        <v>45211.64852621528</v>
      </c>
      <c r="C301" s="387" t="s">
        <v>3770</v>
      </c>
      <c r="D301" s="385">
        <v>1.800016148E9</v>
      </c>
      <c r="E301" s="387" t="s">
        <v>3771</v>
      </c>
      <c r="F301" s="387" t="s">
        <v>1308</v>
      </c>
      <c r="G301" s="387" t="s">
        <v>3772</v>
      </c>
      <c r="H301" s="389">
        <v>44762.0</v>
      </c>
      <c r="I301" s="389">
        <v>45054.0</v>
      </c>
      <c r="J301" s="387" t="s">
        <v>399</v>
      </c>
      <c r="K301" s="387" t="s">
        <v>3062</v>
      </c>
      <c r="L301" s="387" t="s">
        <v>117</v>
      </c>
      <c r="M301" s="390"/>
      <c r="N301" s="390"/>
      <c r="O301" s="390"/>
      <c r="P301" s="390"/>
      <c r="Q301" s="390"/>
      <c r="R301" s="390"/>
      <c r="S301" s="387" t="s">
        <v>3773</v>
      </c>
      <c r="T301" s="387" t="s">
        <v>3062</v>
      </c>
      <c r="U301" s="387" t="s">
        <v>117</v>
      </c>
      <c r="V301" s="387" t="s">
        <v>2951</v>
      </c>
      <c r="W301" s="441">
        <v>45217.0</v>
      </c>
      <c r="X301" s="387" t="s">
        <v>3345</v>
      </c>
      <c r="Y301" s="397" t="s">
        <v>1948</v>
      </c>
      <c r="Z301" s="390"/>
      <c r="AA301" s="387"/>
      <c r="AB301" s="341" t="s">
        <v>316</v>
      </c>
      <c r="AC301" s="387"/>
      <c r="AD301" s="387"/>
      <c r="AE301" s="387"/>
      <c r="AF301" s="387"/>
      <c r="AG301" s="387"/>
      <c r="AH301" s="387"/>
      <c r="AI301" s="387"/>
      <c r="AJ301" s="387"/>
      <c r="AK301" s="387"/>
      <c r="AL301" s="387"/>
      <c r="AM301" s="387"/>
      <c r="AN301" s="387"/>
      <c r="AO301" s="387"/>
      <c r="AP301" s="387"/>
      <c r="AQ301" s="387"/>
      <c r="AR301" s="387"/>
      <c r="AS301" s="387"/>
      <c r="AT301" s="387"/>
    </row>
    <row r="302">
      <c r="A302" s="385">
        <v>2018.0</v>
      </c>
      <c r="B302" s="395">
        <v>45216.61344315972</v>
      </c>
      <c r="C302" s="387" t="s">
        <v>1246</v>
      </c>
      <c r="D302" s="385">
        <v>1.800016144E9</v>
      </c>
      <c r="E302" s="387" t="s">
        <v>1247</v>
      </c>
      <c r="F302" s="390" t="s">
        <v>3774</v>
      </c>
      <c r="G302" s="387" t="s">
        <v>1249</v>
      </c>
      <c r="H302" s="389">
        <v>44937.0</v>
      </c>
      <c r="I302" s="389">
        <v>45020.0</v>
      </c>
      <c r="J302" s="387" t="s">
        <v>399</v>
      </c>
      <c r="K302" s="387" t="s">
        <v>241</v>
      </c>
      <c r="L302" s="387" t="s">
        <v>230</v>
      </c>
      <c r="M302" s="390"/>
      <c r="N302" s="390"/>
      <c r="O302" s="390"/>
      <c r="P302" s="390"/>
      <c r="Q302" s="390"/>
      <c r="R302" s="390"/>
      <c r="S302" s="387" t="s">
        <v>3775</v>
      </c>
      <c r="T302" s="387" t="s">
        <v>241</v>
      </c>
      <c r="U302" s="387" t="s">
        <v>230</v>
      </c>
      <c r="V302" s="408" t="s">
        <v>117</v>
      </c>
      <c r="W302" s="394">
        <v>45229.0</v>
      </c>
      <c r="X302" s="387" t="s">
        <v>3334</v>
      </c>
      <c r="Y302" s="397" t="s">
        <v>3776</v>
      </c>
      <c r="Z302" s="390"/>
      <c r="AA302" s="387"/>
      <c r="AB302" s="341" t="s">
        <v>316</v>
      </c>
      <c r="AC302" s="387"/>
      <c r="AD302" s="387"/>
      <c r="AE302" s="387"/>
      <c r="AF302" s="387"/>
      <c r="AG302" s="387"/>
      <c r="AH302" s="387"/>
      <c r="AI302" s="387"/>
      <c r="AJ302" s="387"/>
      <c r="AK302" s="387"/>
      <c r="AL302" s="387"/>
      <c r="AM302" s="387"/>
      <c r="AN302" s="387"/>
      <c r="AO302" s="387"/>
      <c r="AP302" s="387"/>
      <c r="AQ302" s="387"/>
      <c r="AR302" s="387"/>
      <c r="AS302" s="387"/>
      <c r="AT302" s="387"/>
    </row>
    <row r="303">
      <c r="A303" s="385">
        <v>2019.0</v>
      </c>
      <c r="B303" s="395">
        <v>45223.540535162036</v>
      </c>
      <c r="C303" s="387" t="s">
        <v>1548</v>
      </c>
      <c r="D303" s="385">
        <v>1.900016019E9</v>
      </c>
      <c r="E303" s="387" t="s">
        <v>1549</v>
      </c>
      <c r="F303" s="387" t="s">
        <v>1550</v>
      </c>
      <c r="G303" s="387" t="s">
        <v>3777</v>
      </c>
      <c r="H303" s="389">
        <v>45125.0</v>
      </c>
      <c r="I303" s="389">
        <v>45125.0</v>
      </c>
      <c r="J303" s="387" t="s">
        <v>399</v>
      </c>
      <c r="K303" s="387" t="s">
        <v>3013</v>
      </c>
      <c r="L303" s="387" t="s">
        <v>1900</v>
      </c>
      <c r="M303" s="390"/>
      <c r="N303" s="390"/>
      <c r="O303" s="390"/>
      <c r="P303" s="390"/>
      <c r="Q303" s="390"/>
      <c r="R303" s="390"/>
      <c r="S303" s="387" t="s">
        <v>3778</v>
      </c>
      <c r="T303" s="387" t="s">
        <v>3013</v>
      </c>
      <c r="U303" s="387" t="s">
        <v>1900</v>
      </c>
      <c r="V303" s="387" t="s">
        <v>183</v>
      </c>
      <c r="W303" s="394">
        <v>45231.0</v>
      </c>
      <c r="X303" s="387" t="s">
        <v>3345</v>
      </c>
      <c r="Y303" s="397" t="s">
        <v>3776</v>
      </c>
      <c r="Z303" s="390"/>
      <c r="AA303" s="387"/>
      <c r="AB303" s="341" t="s">
        <v>316</v>
      </c>
      <c r="AC303" s="387"/>
      <c r="AD303" s="387"/>
      <c r="AE303" s="387"/>
      <c r="AF303" s="387"/>
      <c r="AG303" s="387"/>
      <c r="AH303" s="387"/>
      <c r="AI303" s="387"/>
      <c r="AJ303" s="387"/>
      <c r="AK303" s="387"/>
      <c r="AL303" s="387"/>
      <c r="AM303" s="387"/>
      <c r="AN303" s="387"/>
      <c r="AO303" s="387"/>
      <c r="AP303" s="387"/>
      <c r="AQ303" s="387"/>
      <c r="AR303" s="387"/>
      <c r="AS303" s="387"/>
      <c r="AT303" s="387"/>
    </row>
    <row r="304">
      <c r="A304" s="408">
        <v>2019.0</v>
      </c>
      <c r="B304" s="439">
        <v>45224.37250122685</v>
      </c>
      <c r="C304" s="408" t="s">
        <v>1427</v>
      </c>
      <c r="D304" s="408">
        <v>1.900016161E9</v>
      </c>
      <c r="E304" s="408" t="s">
        <v>1428</v>
      </c>
      <c r="F304" s="408" t="s">
        <v>1429</v>
      </c>
      <c r="G304" s="408" t="s">
        <v>3779</v>
      </c>
      <c r="H304" s="440">
        <v>45084.0</v>
      </c>
      <c r="I304" s="440">
        <v>45083.0</v>
      </c>
      <c r="J304" s="408" t="s">
        <v>399</v>
      </c>
      <c r="K304" s="408" t="s">
        <v>3013</v>
      </c>
      <c r="L304" s="408" t="s">
        <v>1900</v>
      </c>
      <c r="M304" s="422"/>
      <c r="N304" s="422"/>
      <c r="O304" s="422"/>
      <c r="P304" s="422"/>
      <c r="Q304" s="422"/>
      <c r="R304" s="422"/>
      <c r="S304" s="408" t="s">
        <v>3780</v>
      </c>
      <c r="T304" s="408" t="s">
        <v>3013</v>
      </c>
      <c r="U304" s="408" t="s">
        <v>1900</v>
      </c>
      <c r="V304" s="387" t="s">
        <v>3136</v>
      </c>
      <c r="W304" s="394">
        <v>45231.0</v>
      </c>
      <c r="X304" s="408" t="s">
        <v>3640</v>
      </c>
      <c r="Y304" s="397" t="s">
        <v>3776</v>
      </c>
      <c r="Z304" s="422"/>
      <c r="AA304" s="408"/>
      <c r="AB304" s="341" t="s">
        <v>316</v>
      </c>
      <c r="AC304" s="408"/>
      <c r="AD304" s="408"/>
      <c r="AE304" s="408"/>
      <c r="AF304" s="408"/>
      <c r="AG304" s="408"/>
      <c r="AH304" s="408"/>
      <c r="AI304" s="408"/>
      <c r="AJ304" s="408"/>
      <c r="AK304" s="408"/>
      <c r="AL304" s="408"/>
      <c r="AM304" s="408"/>
      <c r="AN304" s="408"/>
      <c r="AO304" s="408"/>
      <c r="AP304" s="408"/>
      <c r="AQ304" s="408"/>
      <c r="AR304" s="408"/>
      <c r="AS304" s="408"/>
      <c r="AT304" s="408"/>
    </row>
    <row r="305">
      <c r="A305" s="408">
        <v>2019.0</v>
      </c>
      <c r="B305" s="395">
        <v>45224.5353894213</v>
      </c>
      <c r="C305" s="387" t="s">
        <v>1417</v>
      </c>
      <c r="D305" s="385">
        <v>1.900016001E9</v>
      </c>
      <c r="E305" s="387" t="s">
        <v>3781</v>
      </c>
      <c r="F305" s="387" t="s">
        <v>1419</v>
      </c>
      <c r="G305" s="387" t="s">
        <v>3782</v>
      </c>
      <c r="H305" s="389">
        <v>45078.0</v>
      </c>
      <c r="I305" s="389">
        <v>45077.0</v>
      </c>
      <c r="J305" s="387" t="s">
        <v>399</v>
      </c>
      <c r="K305" s="387" t="s">
        <v>1900</v>
      </c>
      <c r="L305" s="387" t="s">
        <v>2379</v>
      </c>
      <c r="M305" s="390"/>
      <c r="N305" s="390"/>
      <c r="O305" s="390"/>
      <c r="P305" s="390"/>
      <c r="Q305" s="390"/>
      <c r="R305" s="390"/>
      <c r="S305" s="387" t="s">
        <v>3783</v>
      </c>
      <c r="T305" s="387" t="s">
        <v>1900</v>
      </c>
      <c r="U305" s="387" t="s">
        <v>2379</v>
      </c>
      <c r="V305" s="387" t="s">
        <v>183</v>
      </c>
      <c r="W305" s="394">
        <v>45233.0</v>
      </c>
      <c r="X305" s="387" t="s">
        <v>3418</v>
      </c>
      <c r="Y305" s="397" t="s">
        <v>1948</v>
      </c>
      <c r="Z305" s="390"/>
      <c r="AA305" s="387"/>
      <c r="AB305" s="341" t="s">
        <v>316</v>
      </c>
      <c r="AC305" s="387"/>
      <c r="AD305" s="387"/>
      <c r="AE305" s="387"/>
      <c r="AF305" s="387"/>
      <c r="AG305" s="387"/>
      <c r="AH305" s="387"/>
      <c r="AI305" s="387"/>
      <c r="AJ305" s="387"/>
      <c r="AK305" s="387"/>
      <c r="AL305" s="387"/>
      <c r="AM305" s="387"/>
      <c r="AN305" s="387"/>
      <c r="AO305" s="387"/>
      <c r="AP305" s="387"/>
      <c r="AQ305" s="387"/>
      <c r="AR305" s="387"/>
      <c r="AS305" s="387"/>
      <c r="AT305" s="387"/>
    </row>
    <row r="306">
      <c r="A306" s="408">
        <v>2019.0</v>
      </c>
      <c r="B306" s="395">
        <v>45224.82028167824</v>
      </c>
      <c r="C306" s="387" t="s">
        <v>1566</v>
      </c>
      <c r="D306" s="385">
        <v>1.900016074E9</v>
      </c>
      <c r="E306" s="387" t="s">
        <v>1567</v>
      </c>
      <c r="F306" s="387" t="s">
        <v>1568</v>
      </c>
      <c r="G306" s="387" t="s">
        <v>3784</v>
      </c>
      <c r="H306" s="389">
        <v>45127.0</v>
      </c>
      <c r="I306" s="389">
        <v>45127.0</v>
      </c>
      <c r="J306" s="387" t="s">
        <v>399</v>
      </c>
      <c r="K306" s="387" t="s">
        <v>3013</v>
      </c>
      <c r="L306" s="387" t="s">
        <v>703</v>
      </c>
      <c r="M306" s="390"/>
      <c r="N306" s="390"/>
      <c r="O306" s="390"/>
      <c r="P306" s="390"/>
      <c r="Q306" s="390"/>
      <c r="R306" s="390"/>
      <c r="S306" s="387" t="s">
        <v>3785</v>
      </c>
      <c r="T306" s="387" t="s">
        <v>3013</v>
      </c>
      <c r="U306" s="387" t="s">
        <v>703</v>
      </c>
      <c r="V306" s="387" t="s">
        <v>117</v>
      </c>
      <c r="W306" s="394">
        <v>45233.0</v>
      </c>
      <c r="X306" s="387" t="s">
        <v>3786</v>
      </c>
      <c r="Y306" s="397" t="s">
        <v>3776</v>
      </c>
      <c r="Z306" s="390"/>
      <c r="AA306" s="387"/>
      <c r="AB306" s="341" t="s">
        <v>316</v>
      </c>
      <c r="AC306" s="387"/>
      <c r="AD306" s="387"/>
      <c r="AE306" s="387"/>
      <c r="AF306" s="387"/>
      <c r="AG306" s="387"/>
      <c r="AH306" s="387"/>
      <c r="AI306" s="387"/>
      <c r="AJ306" s="387"/>
      <c r="AK306" s="387"/>
      <c r="AL306" s="387"/>
      <c r="AM306" s="387"/>
      <c r="AN306" s="387"/>
      <c r="AO306" s="387"/>
      <c r="AP306" s="387"/>
      <c r="AQ306" s="387"/>
      <c r="AR306" s="387"/>
      <c r="AS306" s="387"/>
      <c r="AT306" s="387"/>
    </row>
    <row r="307">
      <c r="A307" s="408">
        <v>2019.0</v>
      </c>
      <c r="B307" s="395">
        <v>45225.418003101855</v>
      </c>
      <c r="C307" s="387" t="s">
        <v>1508</v>
      </c>
      <c r="D307" s="385">
        <v>1.900016185E9</v>
      </c>
      <c r="E307" s="387" t="s">
        <v>1509</v>
      </c>
      <c r="F307" s="387" t="s">
        <v>1510</v>
      </c>
      <c r="G307" s="387" t="s">
        <v>3787</v>
      </c>
      <c r="H307" s="389">
        <v>45111.0</v>
      </c>
      <c r="I307" s="389">
        <v>45110.0</v>
      </c>
      <c r="J307" s="387" t="s">
        <v>399</v>
      </c>
      <c r="K307" s="387" t="s">
        <v>3013</v>
      </c>
      <c r="L307" s="387" t="s">
        <v>703</v>
      </c>
      <c r="M307" s="390"/>
      <c r="N307" s="390"/>
      <c r="O307" s="390"/>
      <c r="P307" s="390"/>
      <c r="Q307" s="390"/>
      <c r="R307" s="390"/>
      <c r="S307" s="387" t="s">
        <v>3788</v>
      </c>
      <c r="T307" s="387" t="s">
        <v>3013</v>
      </c>
      <c r="U307" s="387" t="s">
        <v>703</v>
      </c>
      <c r="V307" s="387" t="s">
        <v>183</v>
      </c>
      <c r="W307" s="394">
        <v>45238.0</v>
      </c>
      <c r="X307" s="387" t="s">
        <v>3468</v>
      </c>
      <c r="Y307" s="397" t="s">
        <v>3776</v>
      </c>
      <c r="Z307" s="390"/>
      <c r="AA307" s="434"/>
      <c r="AB307" s="341" t="s">
        <v>316</v>
      </c>
      <c r="AC307" s="387"/>
      <c r="AD307" s="387"/>
      <c r="AE307" s="387"/>
      <c r="AF307" s="387"/>
      <c r="AG307" s="387"/>
      <c r="AH307" s="387"/>
      <c r="AI307" s="387"/>
      <c r="AJ307" s="387"/>
      <c r="AK307" s="387"/>
      <c r="AL307" s="387"/>
      <c r="AM307" s="387"/>
      <c r="AN307" s="387"/>
      <c r="AO307" s="387"/>
      <c r="AP307" s="387"/>
      <c r="AQ307" s="387"/>
      <c r="AR307" s="387"/>
      <c r="AS307" s="387"/>
      <c r="AT307" s="387"/>
    </row>
    <row r="308">
      <c r="A308" s="408">
        <v>2019.0</v>
      </c>
      <c r="B308" s="395">
        <v>45227.55365140046</v>
      </c>
      <c r="C308" s="387" t="s">
        <v>1483</v>
      </c>
      <c r="D308" s="385">
        <v>1.900016183E9</v>
      </c>
      <c r="E308" s="387" t="s">
        <v>1484</v>
      </c>
      <c r="F308" s="387" t="s">
        <v>3789</v>
      </c>
      <c r="G308" s="387" t="s">
        <v>1486</v>
      </c>
      <c r="H308" s="389">
        <v>45082.0</v>
      </c>
      <c r="I308" s="389">
        <v>45100.0</v>
      </c>
      <c r="J308" s="387" t="s">
        <v>399</v>
      </c>
      <c r="K308" s="387" t="s">
        <v>117</v>
      </c>
      <c r="L308" s="387" t="s">
        <v>703</v>
      </c>
      <c r="M308" s="390"/>
      <c r="N308" s="390"/>
      <c r="O308" s="390"/>
      <c r="P308" s="390"/>
      <c r="Q308" s="390"/>
      <c r="R308" s="390"/>
      <c r="S308" s="387" t="s">
        <v>3790</v>
      </c>
      <c r="T308" s="387" t="s">
        <v>117</v>
      </c>
      <c r="U308" s="387" t="s">
        <v>703</v>
      </c>
      <c r="V308" s="387" t="s">
        <v>2951</v>
      </c>
      <c r="W308" s="394">
        <v>45237.0</v>
      </c>
      <c r="X308" s="387" t="s">
        <v>3791</v>
      </c>
      <c r="Y308" s="397" t="s">
        <v>3776</v>
      </c>
      <c r="Z308" s="390"/>
      <c r="AA308" s="434"/>
      <c r="AB308" s="341" t="s">
        <v>316</v>
      </c>
      <c r="AC308" s="387"/>
      <c r="AD308" s="387"/>
      <c r="AE308" s="387"/>
      <c r="AF308" s="387"/>
      <c r="AG308" s="387"/>
      <c r="AH308" s="387"/>
      <c r="AI308" s="387"/>
      <c r="AJ308" s="387"/>
      <c r="AK308" s="387"/>
      <c r="AL308" s="387"/>
      <c r="AM308" s="387"/>
      <c r="AN308" s="387"/>
      <c r="AO308" s="387"/>
      <c r="AP308" s="387"/>
      <c r="AQ308" s="387"/>
      <c r="AR308" s="387"/>
      <c r="AS308" s="387"/>
      <c r="AT308" s="387"/>
    </row>
    <row r="309">
      <c r="A309" s="385">
        <v>2019.0</v>
      </c>
      <c r="B309" s="395">
        <v>45229.46100744213</v>
      </c>
      <c r="C309" s="387" t="s">
        <v>1530</v>
      </c>
      <c r="D309" s="385">
        <v>1.900016169E9</v>
      </c>
      <c r="E309" s="387" t="s">
        <v>1531</v>
      </c>
      <c r="F309" s="387" t="s">
        <v>1532</v>
      </c>
      <c r="G309" s="387" t="s">
        <v>3792</v>
      </c>
      <c r="H309" s="389">
        <v>45076.0</v>
      </c>
      <c r="I309" s="389">
        <v>45117.0</v>
      </c>
      <c r="J309" s="387" t="s">
        <v>399</v>
      </c>
      <c r="K309" s="387" t="s">
        <v>3013</v>
      </c>
      <c r="L309" s="387" t="s">
        <v>117</v>
      </c>
      <c r="M309" s="390"/>
      <c r="N309" s="390"/>
      <c r="O309" s="390"/>
      <c r="P309" s="390"/>
      <c r="Q309" s="390"/>
      <c r="R309" s="390"/>
      <c r="S309" s="387" t="s">
        <v>3793</v>
      </c>
      <c r="T309" s="387" t="s">
        <v>3013</v>
      </c>
      <c r="U309" s="387" t="s">
        <v>117</v>
      </c>
      <c r="V309" s="387" t="s">
        <v>2951</v>
      </c>
      <c r="W309" s="411">
        <v>45238.0</v>
      </c>
      <c r="X309" s="387" t="s">
        <v>3794</v>
      </c>
      <c r="Y309" s="397" t="s">
        <v>3776</v>
      </c>
      <c r="Z309" s="390"/>
      <c r="AA309" s="434"/>
      <c r="AB309" s="341" t="s">
        <v>316</v>
      </c>
      <c r="AC309" s="387"/>
      <c r="AD309" s="387"/>
      <c r="AE309" s="387"/>
      <c r="AF309" s="387"/>
      <c r="AG309" s="387"/>
      <c r="AH309" s="387"/>
      <c r="AI309" s="387"/>
      <c r="AJ309" s="387"/>
      <c r="AK309" s="387"/>
      <c r="AL309" s="387"/>
      <c r="AM309" s="387"/>
      <c r="AN309" s="387"/>
      <c r="AO309" s="387"/>
      <c r="AP309" s="387"/>
      <c r="AQ309" s="387"/>
      <c r="AR309" s="387"/>
      <c r="AS309" s="387"/>
      <c r="AT309" s="387"/>
    </row>
    <row r="310">
      <c r="A310" s="385">
        <v>2019.0</v>
      </c>
      <c r="B310" s="395">
        <v>45231.04793613426</v>
      </c>
      <c r="C310" s="387" t="s">
        <v>1407</v>
      </c>
      <c r="D310" s="385">
        <v>1.900016126E9</v>
      </c>
      <c r="E310" s="387" t="s">
        <v>1408</v>
      </c>
      <c r="F310" s="387" t="s">
        <v>1409</v>
      </c>
      <c r="G310" s="387" t="s">
        <v>3795</v>
      </c>
      <c r="H310" s="389">
        <v>45012.0</v>
      </c>
      <c r="I310" s="389">
        <v>45080.0</v>
      </c>
      <c r="J310" s="387" t="s">
        <v>399</v>
      </c>
      <c r="K310" s="387" t="s">
        <v>117</v>
      </c>
      <c r="L310" s="387" t="s">
        <v>1900</v>
      </c>
      <c r="M310" s="390"/>
      <c r="N310" s="390"/>
      <c r="O310" s="390"/>
      <c r="P310" s="390"/>
      <c r="Q310" s="390"/>
      <c r="R310" s="390"/>
      <c r="S310" s="387" t="s">
        <v>3796</v>
      </c>
      <c r="T310" s="387" t="s">
        <v>117</v>
      </c>
      <c r="U310" s="387" t="s">
        <v>1900</v>
      </c>
      <c r="V310" s="387" t="s">
        <v>703</v>
      </c>
      <c r="W310" s="411">
        <v>45240.0</v>
      </c>
      <c r="X310" s="387" t="s">
        <v>3407</v>
      </c>
      <c r="Y310" s="397" t="s">
        <v>3776</v>
      </c>
      <c r="Z310" s="390"/>
      <c r="AA310" s="434"/>
      <c r="AB310" s="341" t="s">
        <v>316</v>
      </c>
      <c r="AC310" s="387"/>
      <c r="AD310" s="387"/>
      <c r="AE310" s="387"/>
      <c r="AF310" s="387"/>
      <c r="AG310" s="387"/>
      <c r="AH310" s="387"/>
      <c r="AI310" s="387"/>
      <c r="AJ310" s="387"/>
      <c r="AK310" s="387"/>
      <c r="AL310" s="387"/>
      <c r="AM310" s="387"/>
      <c r="AN310" s="387"/>
      <c r="AO310" s="387"/>
      <c r="AP310" s="387"/>
      <c r="AQ310" s="387"/>
      <c r="AR310" s="387"/>
      <c r="AS310" s="387"/>
      <c r="AT310" s="387"/>
    </row>
    <row r="311">
      <c r="A311" s="385">
        <v>2019.0</v>
      </c>
      <c r="B311" s="395">
        <v>45231.78047304399</v>
      </c>
      <c r="C311" s="387" t="s">
        <v>1560</v>
      </c>
      <c r="D311" s="385">
        <v>1.900016157E9</v>
      </c>
      <c r="E311" s="387" t="s">
        <v>1561</v>
      </c>
      <c r="F311" s="387" t="s">
        <v>1562</v>
      </c>
      <c r="G311" s="387" t="s">
        <v>3797</v>
      </c>
      <c r="H311" s="389">
        <v>45096.0</v>
      </c>
      <c r="I311" s="389">
        <v>45125.0</v>
      </c>
      <c r="J311" s="387" t="s">
        <v>399</v>
      </c>
      <c r="K311" s="387" t="s">
        <v>3013</v>
      </c>
      <c r="L311" s="387" t="s">
        <v>1900</v>
      </c>
      <c r="M311" s="390"/>
      <c r="N311" s="390"/>
      <c r="O311" s="390"/>
      <c r="P311" s="390"/>
      <c r="Q311" s="390"/>
      <c r="R311" s="390"/>
      <c r="S311" s="387" t="s">
        <v>3798</v>
      </c>
      <c r="T311" s="387" t="s">
        <v>3013</v>
      </c>
      <c r="U311" s="387" t="s">
        <v>1900</v>
      </c>
      <c r="V311" s="387" t="s">
        <v>3170</v>
      </c>
      <c r="W311" s="411">
        <v>45240.0</v>
      </c>
      <c r="X311" s="387" t="s">
        <v>3418</v>
      </c>
      <c r="Y311" s="397" t="s">
        <v>3776</v>
      </c>
      <c r="Z311" s="390"/>
      <c r="AA311" s="387"/>
      <c r="AB311" s="341" t="s">
        <v>316</v>
      </c>
      <c r="AC311" s="387"/>
      <c r="AD311" s="387"/>
      <c r="AE311" s="387"/>
      <c r="AF311" s="387"/>
      <c r="AG311" s="387"/>
      <c r="AH311" s="387"/>
      <c r="AI311" s="387"/>
      <c r="AJ311" s="387"/>
      <c r="AK311" s="387"/>
      <c r="AL311" s="387"/>
      <c r="AM311" s="387"/>
      <c r="AN311" s="387"/>
      <c r="AO311" s="387"/>
      <c r="AP311" s="387"/>
      <c r="AQ311" s="387"/>
      <c r="AR311" s="387"/>
      <c r="AS311" s="387"/>
      <c r="AT311" s="387"/>
    </row>
    <row r="312">
      <c r="A312" s="397">
        <v>2019.0</v>
      </c>
      <c r="B312" s="435">
        <v>45232.78235537037</v>
      </c>
      <c r="C312" s="408" t="s">
        <v>3799</v>
      </c>
      <c r="D312" s="419">
        <v>1.900016145E9</v>
      </c>
      <c r="E312" s="408" t="s">
        <v>1668</v>
      </c>
      <c r="F312" s="408" t="s">
        <v>1669</v>
      </c>
      <c r="G312" s="408" t="s">
        <v>3800</v>
      </c>
      <c r="H312" s="421">
        <v>45135.0</v>
      </c>
      <c r="I312" s="421">
        <v>45159.0</v>
      </c>
      <c r="J312" s="408" t="s">
        <v>399</v>
      </c>
      <c r="K312" s="408" t="s">
        <v>230</v>
      </c>
      <c r="L312" s="408" t="s">
        <v>1900</v>
      </c>
      <c r="M312" s="422"/>
      <c r="N312" s="422"/>
      <c r="O312" s="422"/>
      <c r="P312" s="422"/>
      <c r="Q312" s="422"/>
      <c r="R312" s="422"/>
      <c r="S312" s="408" t="s">
        <v>3801</v>
      </c>
      <c r="T312" s="408" t="s">
        <v>230</v>
      </c>
      <c r="U312" s="408" t="s">
        <v>1900</v>
      </c>
      <c r="V312" s="408" t="s">
        <v>3802</v>
      </c>
      <c r="W312" s="443">
        <v>45240.0</v>
      </c>
      <c r="X312" s="408" t="s">
        <v>987</v>
      </c>
      <c r="Y312" s="397" t="s">
        <v>3776</v>
      </c>
      <c r="Z312" s="422"/>
      <c r="AA312" s="408"/>
      <c r="AB312" s="341" t="s">
        <v>316</v>
      </c>
      <c r="AC312" s="408"/>
      <c r="AD312" s="408"/>
      <c r="AE312" s="408"/>
      <c r="AF312" s="408"/>
      <c r="AG312" s="408"/>
      <c r="AH312" s="408"/>
      <c r="AI312" s="408"/>
      <c r="AJ312" s="408"/>
      <c r="AK312" s="408"/>
      <c r="AL312" s="408"/>
      <c r="AM312" s="408"/>
      <c r="AN312" s="387"/>
      <c r="AO312" s="387"/>
      <c r="AP312" s="387"/>
      <c r="AQ312" s="387"/>
      <c r="AR312" s="387"/>
      <c r="AS312" s="387"/>
      <c r="AT312" s="387"/>
    </row>
    <row r="313">
      <c r="A313" s="385">
        <v>2019.0</v>
      </c>
      <c r="B313" s="395">
        <v>45234.35779127315</v>
      </c>
      <c r="C313" s="387" t="s">
        <v>3803</v>
      </c>
      <c r="D313" s="385">
        <v>1.900016044E9</v>
      </c>
      <c r="E313" s="387" t="s">
        <v>1439</v>
      </c>
      <c r="F313" s="387" t="s">
        <v>1440</v>
      </c>
      <c r="G313" s="387" t="s">
        <v>3804</v>
      </c>
      <c r="H313" s="389">
        <v>45151.0</v>
      </c>
      <c r="I313" s="389">
        <v>45090.0</v>
      </c>
      <c r="J313" s="387" t="s">
        <v>399</v>
      </c>
      <c r="K313" s="387" t="s">
        <v>117</v>
      </c>
      <c r="L313" s="387" t="s">
        <v>2379</v>
      </c>
      <c r="M313" s="390"/>
      <c r="N313" s="390"/>
      <c r="O313" s="390"/>
      <c r="P313" s="390"/>
      <c r="Q313" s="390"/>
      <c r="R313" s="390"/>
      <c r="S313" s="387" t="s">
        <v>3805</v>
      </c>
      <c r="T313" s="387" t="s">
        <v>117</v>
      </c>
      <c r="U313" s="387" t="s">
        <v>2379</v>
      </c>
      <c r="V313" s="387" t="s">
        <v>3806</v>
      </c>
      <c r="W313" s="443">
        <v>45241.0</v>
      </c>
      <c r="X313" s="387" t="s">
        <v>3406</v>
      </c>
      <c r="Y313" s="397" t="s">
        <v>3776</v>
      </c>
      <c r="Z313" s="390"/>
      <c r="AA313" s="387"/>
      <c r="AB313" s="341" t="s">
        <v>316</v>
      </c>
      <c r="AC313" s="387"/>
      <c r="AD313" s="387"/>
      <c r="AE313" s="387"/>
      <c r="AF313" s="387"/>
      <c r="AG313" s="387"/>
      <c r="AH313" s="387"/>
      <c r="AI313" s="387"/>
      <c r="AJ313" s="387"/>
      <c r="AK313" s="387"/>
      <c r="AL313" s="387"/>
      <c r="AM313" s="387"/>
      <c r="AN313" s="387"/>
      <c r="AO313" s="387"/>
      <c r="AP313" s="387"/>
      <c r="AQ313" s="387"/>
      <c r="AR313" s="387"/>
      <c r="AS313" s="387"/>
      <c r="AT313" s="387"/>
    </row>
    <row r="314">
      <c r="A314" s="385">
        <v>2019.0</v>
      </c>
      <c r="B314" s="395">
        <v>45238.48400936343</v>
      </c>
      <c r="C314" s="387" t="s">
        <v>1498</v>
      </c>
      <c r="D314" s="385">
        <v>1.900016141E9</v>
      </c>
      <c r="E314" s="387" t="s">
        <v>1499</v>
      </c>
      <c r="F314" s="387" t="s">
        <v>1500</v>
      </c>
      <c r="G314" s="387" t="s">
        <v>1501</v>
      </c>
      <c r="H314" s="389">
        <v>44990.0</v>
      </c>
      <c r="I314" s="389">
        <v>45111.0</v>
      </c>
      <c r="J314" s="387" t="s">
        <v>399</v>
      </c>
      <c r="K314" s="387" t="s">
        <v>117</v>
      </c>
      <c r="L314" s="387" t="s">
        <v>703</v>
      </c>
      <c r="M314" s="390"/>
      <c r="N314" s="390"/>
      <c r="O314" s="390"/>
      <c r="P314" s="390"/>
      <c r="Q314" s="390"/>
      <c r="R314" s="390"/>
      <c r="S314" s="387" t="s">
        <v>3807</v>
      </c>
      <c r="T314" s="387" t="s">
        <v>117</v>
      </c>
      <c r="U314" s="387" t="s">
        <v>703</v>
      </c>
      <c r="V314" s="387" t="s">
        <v>3159</v>
      </c>
      <c r="W314" s="443">
        <v>45245.0</v>
      </c>
      <c r="X314" s="387" t="s">
        <v>3418</v>
      </c>
      <c r="Y314" s="397" t="s">
        <v>3776</v>
      </c>
      <c r="Z314" s="390"/>
      <c r="AA314" s="387"/>
      <c r="AB314" s="341" t="s">
        <v>316</v>
      </c>
      <c r="AC314" s="387"/>
      <c r="AD314" s="387"/>
      <c r="AE314" s="387"/>
      <c r="AF314" s="387"/>
      <c r="AG314" s="387"/>
      <c r="AH314" s="387"/>
      <c r="AI314" s="387"/>
      <c r="AJ314" s="387"/>
      <c r="AK314" s="387"/>
      <c r="AL314" s="387"/>
      <c r="AM314" s="387"/>
      <c r="AN314" s="387"/>
      <c r="AO314" s="387"/>
      <c r="AP314" s="387"/>
      <c r="AQ314" s="387"/>
      <c r="AR314" s="387"/>
      <c r="AS314" s="387"/>
      <c r="AT314" s="387"/>
    </row>
    <row r="315">
      <c r="A315" s="385">
        <v>2019.0</v>
      </c>
      <c r="B315" s="395">
        <v>45239.56688141204</v>
      </c>
      <c r="C315" s="387" t="s">
        <v>3808</v>
      </c>
      <c r="D315" s="385">
        <v>1.900016138E9</v>
      </c>
      <c r="E315" s="387" t="s">
        <v>1464</v>
      </c>
      <c r="F315" s="387" t="s">
        <v>3809</v>
      </c>
      <c r="G315" s="387" t="s">
        <v>3810</v>
      </c>
      <c r="H315" s="389">
        <v>45069.0</v>
      </c>
      <c r="I315" s="389">
        <v>45094.0</v>
      </c>
      <c r="J315" s="387" t="s">
        <v>399</v>
      </c>
      <c r="K315" s="387" t="s">
        <v>2379</v>
      </c>
      <c r="L315" s="387" t="s">
        <v>241</v>
      </c>
      <c r="M315" s="390"/>
      <c r="N315" s="390"/>
      <c r="O315" s="390"/>
      <c r="P315" s="390"/>
      <c r="Q315" s="390"/>
      <c r="R315" s="390"/>
      <c r="S315" s="387" t="s">
        <v>3811</v>
      </c>
      <c r="T315" s="387" t="s">
        <v>2379</v>
      </c>
      <c r="U315" s="387" t="s">
        <v>241</v>
      </c>
      <c r="V315" s="408" t="s">
        <v>3802</v>
      </c>
      <c r="W315" s="443">
        <v>45245.0</v>
      </c>
      <c r="X315" s="387" t="s">
        <v>3406</v>
      </c>
      <c r="Y315" s="397" t="s">
        <v>3776</v>
      </c>
      <c r="Z315" s="390"/>
      <c r="AA315" s="434"/>
      <c r="AB315" s="341" t="s">
        <v>316</v>
      </c>
      <c r="AC315" s="387"/>
      <c r="AD315" s="387"/>
      <c r="AE315" s="387"/>
      <c r="AF315" s="387"/>
      <c r="AG315" s="387"/>
      <c r="AH315" s="387"/>
      <c r="AI315" s="387"/>
      <c r="AJ315" s="387"/>
      <c r="AK315" s="387"/>
      <c r="AL315" s="387"/>
      <c r="AM315" s="387"/>
      <c r="AN315" s="387"/>
      <c r="AO315" s="387"/>
      <c r="AP315" s="387"/>
      <c r="AQ315" s="387"/>
      <c r="AR315" s="387"/>
      <c r="AS315" s="387"/>
      <c r="AT315" s="387"/>
    </row>
    <row r="316">
      <c r="A316" s="385">
        <v>2019.0</v>
      </c>
      <c r="B316" s="395">
        <v>45239.583966412036</v>
      </c>
      <c r="C316" s="387" t="s">
        <v>1478</v>
      </c>
      <c r="D316" s="385">
        <v>1.900016152E9</v>
      </c>
      <c r="E316" s="387" t="s">
        <v>1479</v>
      </c>
      <c r="F316" s="387" t="s">
        <v>1480</v>
      </c>
      <c r="G316" s="387" t="s">
        <v>3812</v>
      </c>
      <c r="H316" s="389">
        <v>45050.0</v>
      </c>
      <c r="I316" s="389">
        <v>45096.0</v>
      </c>
      <c r="J316" s="387" t="s">
        <v>399</v>
      </c>
      <c r="K316" s="387" t="s">
        <v>2379</v>
      </c>
      <c r="L316" s="387" t="s">
        <v>117</v>
      </c>
      <c r="M316" s="390"/>
      <c r="N316" s="390"/>
      <c r="O316" s="390"/>
      <c r="P316" s="390"/>
      <c r="Q316" s="390"/>
      <c r="R316" s="390"/>
      <c r="S316" s="387" t="s">
        <v>3813</v>
      </c>
      <c r="T316" s="387" t="s">
        <v>2379</v>
      </c>
      <c r="U316" s="387" t="s">
        <v>117</v>
      </c>
      <c r="V316" s="408" t="s">
        <v>3802</v>
      </c>
      <c r="W316" s="443">
        <v>45245.0</v>
      </c>
      <c r="X316" s="387" t="s">
        <v>3592</v>
      </c>
      <c r="Y316" s="397" t="s">
        <v>3776</v>
      </c>
      <c r="Z316" s="390"/>
      <c r="AA316" s="434"/>
      <c r="AB316" s="341" t="s">
        <v>316</v>
      </c>
      <c r="AC316" s="387"/>
      <c r="AD316" s="387"/>
      <c r="AE316" s="387"/>
      <c r="AF316" s="387"/>
      <c r="AG316" s="387"/>
      <c r="AH316" s="387"/>
      <c r="AI316" s="387"/>
      <c r="AJ316" s="387"/>
      <c r="AK316" s="387"/>
      <c r="AL316" s="387"/>
      <c r="AM316" s="387"/>
      <c r="AN316" s="387"/>
      <c r="AO316" s="387"/>
      <c r="AP316" s="387"/>
      <c r="AQ316" s="387"/>
      <c r="AR316" s="387"/>
      <c r="AS316" s="387"/>
      <c r="AT316" s="387"/>
    </row>
    <row r="317">
      <c r="A317" s="385">
        <v>2019.0</v>
      </c>
      <c r="B317" s="395">
        <v>45240.832237650466</v>
      </c>
      <c r="C317" s="387" t="s">
        <v>1571</v>
      </c>
      <c r="D317" s="385">
        <v>1.900016163E9</v>
      </c>
      <c r="E317" s="387" t="s">
        <v>1572</v>
      </c>
      <c r="F317" s="387" t="s">
        <v>3814</v>
      </c>
      <c r="G317" s="387" t="s">
        <v>3815</v>
      </c>
      <c r="H317" s="389">
        <v>45082.0</v>
      </c>
      <c r="I317" s="389">
        <v>45127.0</v>
      </c>
      <c r="J317" s="387" t="s">
        <v>399</v>
      </c>
      <c r="K317" s="387" t="s">
        <v>3013</v>
      </c>
      <c r="L317" s="387" t="s">
        <v>703</v>
      </c>
      <c r="M317" s="390"/>
      <c r="N317" s="390"/>
      <c r="O317" s="390"/>
      <c r="P317" s="390"/>
      <c r="Q317" s="390"/>
      <c r="R317" s="390"/>
      <c r="S317" s="387" t="s">
        <v>3816</v>
      </c>
      <c r="T317" s="387" t="s">
        <v>3013</v>
      </c>
      <c r="U317" s="387" t="s">
        <v>703</v>
      </c>
      <c r="V317" s="387" t="s">
        <v>117</v>
      </c>
      <c r="W317" s="409">
        <v>45255.0</v>
      </c>
      <c r="X317" s="387" t="s">
        <v>3468</v>
      </c>
      <c r="Y317" s="397" t="s">
        <v>3776</v>
      </c>
      <c r="Z317" s="390"/>
      <c r="AA317" s="434"/>
      <c r="AB317" s="341" t="s">
        <v>316</v>
      </c>
      <c r="AC317" s="387"/>
      <c r="AD317" s="387"/>
      <c r="AE317" s="387"/>
      <c r="AF317" s="387"/>
      <c r="AG317" s="387"/>
      <c r="AH317" s="387"/>
      <c r="AI317" s="387"/>
      <c r="AJ317" s="387"/>
      <c r="AK317" s="387"/>
      <c r="AL317" s="387"/>
      <c r="AM317" s="387"/>
      <c r="AN317" s="387"/>
      <c r="AO317" s="387"/>
      <c r="AP317" s="387"/>
      <c r="AQ317" s="387"/>
      <c r="AR317" s="387"/>
      <c r="AS317" s="387"/>
      <c r="AT317" s="387"/>
    </row>
    <row r="318">
      <c r="A318" s="385">
        <v>2019.0</v>
      </c>
      <c r="B318" s="395">
        <v>45245.068745405086</v>
      </c>
      <c r="C318" s="387" t="s">
        <v>1681</v>
      </c>
      <c r="D318" s="385">
        <v>1.900016153E9</v>
      </c>
      <c r="E318" s="387" t="s">
        <v>1682</v>
      </c>
      <c r="F318" s="387" t="s">
        <v>1683</v>
      </c>
      <c r="G318" s="387" t="s">
        <v>3817</v>
      </c>
      <c r="H318" s="389">
        <v>45058.0</v>
      </c>
      <c r="I318" s="389">
        <v>45173.0</v>
      </c>
      <c r="J318" s="387" t="s">
        <v>399</v>
      </c>
      <c r="K318" s="387" t="s">
        <v>2379</v>
      </c>
      <c r="L318" s="387" t="s">
        <v>117</v>
      </c>
      <c r="M318" s="390"/>
      <c r="N318" s="390"/>
      <c r="O318" s="390"/>
      <c r="P318" s="390"/>
      <c r="Q318" s="390"/>
      <c r="R318" s="390"/>
      <c r="S318" s="387" t="s">
        <v>3818</v>
      </c>
      <c r="T318" s="387" t="s">
        <v>2379</v>
      </c>
      <c r="U318" s="387" t="s">
        <v>117</v>
      </c>
      <c r="V318" s="387" t="s">
        <v>183</v>
      </c>
      <c r="W318" s="409">
        <v>45255.0</v>
      </c>
      <c r="X318" s="387" t="s">
        <v>3819</v>
      </c>
      <c r="Y318" s="397" t="s">
        <v>3776</v>
      </c>
      <c r="Z318" s="390"/>
      <c r="AA318" s="434"/>
      <c r="AB318" s="341" t="s">
        <v>316</v>
      </c>
      <c r="AC318" s="387"/>
      <c r="AD318" s="387"/>
      <c r="AE318" s="387"/>
      <c r="AF318" s="387"/>
      <c r="AG318" s="387"/>
      <c r="AH318" s="387"/>
      <c r="AI318" s="387"/>
      <c r="AJ318" s="387"/>
      <c r="AK318" s="387"/>
      <c r="AL318" s="387"/>
      <c r="AM318" s="387"/>
      <c r="AN318" s="387"/>
      <c r="AO318" s="387"/>
      <c r="AP318" s="387"/>
      <c r="AQ318" s="387"/>
      <c r="AR318" s="387"/>
      <c r="AS318" s="387"/>
      <c r="AT318" s="387"/>
    </row>
    <row r="319">
      <c r="A319" s="385">
        <v>2019.0</v>
      </c>
      <c r="B319" s="395">
        <v>45245.0693852662</v>
      </c>
      <c r="C319" s="387" t="s">
        <v>1687</v>
      </c>
      <c r="D319" s="385">
        <v>1.900016052E9</v>
      </c>
      <c r="E319" s="387" t="s">
        <v>1688</v>
      </c>
      <c r="F319" s="387" t="s">
        <v>1689</v>
      </c>
      <c r="G319" s="387" t="s">
        <v>3820</v>
      </c>
      <c r="H319" s="389">
        <v>45052.0</v>
      </c>
      <c r="I319" s="389">
        <v>45173.0</v>
      </c>
      <c r="J319" s="387" t="s">
        <v>399</v>
      </c>
      <c r="K319" s="387" t="s">
        <v>2379</v>
      </c>
      <c r="L319" s="387" t="s">
        <v>117</v>
      </c>
      <c r="M319" s="390"/>
      <c r="N319" s="390"/>
      <c r="O319" s="390"/>
      <c r="P319" s="390"/>
      <c r="Q319" s="390"/>
      <c r="R319" s="390"/>
      <c r="S319" s="387" t="s">
        <v>3821</v>
      </c>
      <c r="T319" s="387" t="s">
        <v>2379</v>
      </c>
      <c r="U319" s="387" t="s">
        <v>117</v>
      </c>
      <c r="V319" s="387" t="s">
        <v>183</v>
      </c>
      <c r="W319" s="409">
        <v>45255.0</v>
      </c>
      <c r="X319" s="387" t="s">
        <v>3397</v>
      </c>
      <c r="Y319" s="397" t="s">
        <v>3776</v>
      </c>
      <c r="Z319" s="390"/>
      <c r="AA319" s="434"/>
      <c r="AB319" s="341" t="s">
        <v>316</v>
      </c>
      <c r="AC319" s="387"/>
      <c r="AD319" s="387"/>
      <c r="AE319" s="387"/>
      <c r="AF319" s="387"/>
      <c r="AG319" s="387"/>
      <c r="AH319" s="387"/>
      <c r="AI319" s="387"/>
      <c r="AJ319" s="387"/>
      <c r="AK319" s="387"/>
      <c r="AL319" s="387"/>
      <c r="AM319" s="387"/>
      <c r="AN319" s="387"/>
      <c r="AO319" s="387"/>
      <c r="AP319" s="387"/>
      <c r="AQ319" s="387"/>
      <c r="AR319" s="387"/>
      <c r="AS319" s="387"/>
      <c r="AT319" s="387"/>
    </row>
    <row r="320">
      <c r="A320" s="385">
        <v>2017.0</v>
      </c>
      <c r="B320" s="395">
        <v>45245.57630152778</v>
      </c>
      <c r="C320" s="387" t="s">
        <v>455</v>
      </c>
      <c r="D320" s="385">
        <v>1.711016098E9</v>
      </c>
      <c r="E320" s="387" t="s">
        <v>456</v>
      </c>
      <c r="F320" s="387" t="s">
        <v>457</v>
      </c>
      <c r="G320" s="387" t="s">
        <v>458</v>
      </c>
      <c r="H320" s="389">
        <v>44287.0</v>
      </c>
      <c r="I320" s="389">
        <v>44320.0</v>
      </c>
      <c r="J320" s="387" t="s">
        <v>399</v>
      </c>
      <c r="K320" s="387" t="s">
        <v>1900</v>
      </c>
      <c r="L320" s="387" t="s">
        <v>117</v>
      </c>
      <c r="M320" s="390"/>
      <c r="N320" s="390"/>
      <c r="O320" s="390"/>
      <c r="P320" s="390"/>
      <c r="Q320" s="390"/>
      <c r="R320" s="390"/>
      <c r="S320" s="387" t="s">
        <v>3822</v>
      </c>
      <c r="T320" s="387" t="s">
        <v>1900</v>
      </c>
      <c r="U320" s="387" t="s">
        <v>117</v>
      </c>
      <c r="V320" s="387" t="s">
        <v>703</v>
      </c>
      <c r="W320" s="394">
        <v>45252.0</v>
      </c>
      <c r="X320" s="387" t="s">
        <v>3418</v>
      </c>
      <c r="Y320" s="397" t="s">
        <v>3776</v>
      </c>
      <c r="Z320" s="390"/>
      <c r="AA320" s="434"/>
      <c r="AB320" s="341" t="s">
        <v>316</v>
      </c>
      <c r="AC320" s="387"/>
      <c r="AD320" s="387"/>
      <c r="AE320" s="387"/>
      <c r="AF320" s="387"/>
      <c r="AG320" s="387"/>
      <c r="AH320" s="387"/>
      <c r="AI320" s="387"/>
      <c r="AJ320" s="387"/>
      <c r="AK320" s="387"/>
      <c r="AL320" s="387"/>
      <c r="AM320" s="387"/>
      <c r="AN320" s="387"/>
      <c r="AO320" s="387"/>
      <c r="AP320" s="387"/>
      <c r="AQ320" s="387"/>
      <c r="AR320" s="387"/>
      <c r="AS320" s="387"/>
      <c r="AT320" s="387"/>
    </row>
    <row r="321">
      <c r="A321" s="385">
        <v>2017.0</v>
      </c>
      <c r="B321" s="395">
        <v>45245.57806731482</v>
      </c>
      <c r="C321" s="387" t="s">
        <v>3823</v>
      </c>
      <c r="D321" s="385">
        <v>1.700016116E9</v>
      </c>
      <c r="E321" s="387" t="s">
        <v>460</v>
      </c>
      <c r="F321" s="387" t="s">
        <v>461</v>
      </c>
      <c r="G321" s="387" t="s">
        <v>3824</v>
      </c>
      <c r="H321" s="389">
        <v>44287.0</v>
      </c>
      <c r="I321" s="389">
        <v>44320.0</v>
      </c>
      <c r="J321" s="387" t="s">
        <v>399</v>
      </c>
      <c r="K321" s="387" t="s">
        <v>1900</v>
      </c>
      <c r="L321" s="387" t="s">
        <v>117</v>
      </c>
      <c r="M321" s="390"/>
      <c r="N321" s="390"/>
      <c r="O321" s="390"/>
      <c r="P321" s="390"/>
      <c r="Q321" s="390"/>
      <c r="R321" s="390"/>
      <c r="S321" s="387" t="s">
        <v>3825</v>
      </c>
      <c r="T321" s="387" t="s">
        <v>1900</v>
      </c>
      <c r="U321" s="387" t="s">
        <v>117</v>
      </c>
      <c r="V321" s="387" t="s">
        <v>703</v>
      </c>
      <c r="W321" s="394">
        <v>45252.0</v>
      </c>
      <c r="X321" s="387" t="s">
        <v>3794</v>
      </c>
      <c r="Y321" s="397" t="s">
        <v>3776</v>
      </c>
      <c r="Z321" s="390"/>
      <c r="AA321" s="434"/>
      <c r="AB321" s="341" t="s">
        <v>316</v>
      </c>
      <c r="AC321" s="387"/>
      <c r="AD321" s="387"/>
      <c r="AE321" s="387"/>
      <c r="AF321" s="387"/>
      <c r="AG321" s="387"/>
      <c r="AH321" s="387"/>
      <c r="AI321" s="387"/>
      <c r="AJ321" s="387"/>
      <c r="AK321" s="387"/>
      <c r="AL321" s="387"/>
      <c r="AM321" s="387"/>
      <c r="AN321" s="387"/>
      <c r="AO321" s="387"/>
      <c r="AP321" s="387"/>
      <c r="AQ321" s="387"/>
      <c r="AR321" s="387"/>
      <c r="AS321" s="387"/>
      <c r="AT321" s="387"/>
    </row>
    <row r="322">
      <c r="A322" s="385">
        <v>2019.0</v>
      </c>
      <c r="B322" s="395">
        <v>45245.62861284722</v>
      </c>
      <c r="C322" s="387" t="s">
        <v>1422</v>
      </c>
      <c r="D322" s="385">
        <v>1.900016189E9</v>
      </c>
      <c r="E322" s="387" t="s">
        <v>1423</v>
      </c>
      <c r="F322" s="387" t="s">
        <v>1424</v>
      </c>
      <c r="G322" s="387" t="s">
        <v>3826</v>
      </c>
      <c r="H322" s="389">
        <v>45091.0</v>
      </c>
      <c r="I322" s="389">
        <v>45080.0</v>
      </c>
      <c r="J322" s="387" t="s">
        <v>399</v>
      </c>
      <c r="K322" s="387" t="s">
        <v>117</v>
      </c>
      <c r="L322" s="387" t="s">
        <v>703</v>
      </c>
      <c r="M322" s="390"/>
      <c r="N322" s="390"/>
      <c r="O322" s="390"/>
      <c r="P322" s="390"/>
      <c r="Q322" s="390"/>
      <c r="R322" s="390"/>
      <c r="S322" s="387" t="s">
        <v>3827</v>
      </c>
      <c r="T322" s="387" t="s">
        <v>117</v>
      </c>
      <c r="U322" s="387" t="s">
        <v>703</v>
      </c>
      <c r="V322" s="387" t="s">
        <v>3683</v>
      </c>
      <c r="W322" s="409">
        <v>45255.0</v>
      </c>
      <c r="X322" s="387" t="s">
        <v>3418</v>
      </c>
      <c r="Y322" s="397" t="s">
        <v>3776</v>
      </c>
      <c r="Z322" s="390"/>
      <c r="AA322" s="434"/>
      <c r="AB322" s="341" t="s">
        <v>316</v>
      </c>
      <c r="AC322" s="387"/>
      <c r="AD322" s="387"/>
      <c r="AE322" s="387"/>
      <c r="AF322" s="387"/>
      <c r="AG322" s="387"/>
      <c r="AH322" s="387"/>
      <c r="AI322" s="387"/>
      <c r="AJ322" s="387"/>
      <c r="AK322" s="387"/>
      <c r="AL322" s="387"/>
      <c r="AM322" s="387"/>
      <c r="AN322" s="387"/>
      <c r="AO322" s="387"/>
      <c r="AP322" s="387"/>
      <c r="AQ322" s="387"/>
      <c r="AR322" s="387"/>
      <c r="AS322" s="387"/>
      <c r="AT322" s="387"/>
    </row>
    <row r="323">
      <c r="A323" s="385">
        <v>2019.0</v>
      </c>
      <c r="B323" s="395">
        <v>45248.672893946765</v>
      </c>
      <c r="C323" s="387" t="s">
        <v>1412</v>
      </c>
      <c r="D323" s="385">
        <v>1.900016053E9</v>
      </c>
      <c r="E323" s="387" t="s">
        <v>1413</v>
      </c>
      <c r="F323" s="387" t="s">
        <v>1414</v>
      </c>
      <c r="G323" s="387" t="s">
        <v>1415</v>
      </c>
      <c r="H323" s="389">
        <v>45054.0</v>
      </c>
      <c r="I323" s="389">
        <v>45080.0</v>
      </c>
      <c r="J323" s="387" t="s">
        <v>399</v>
      </c>
      <c r="K323" s="387" t="s">
        <v>117</v>
      </c>
      <c r="L323" s="387" t="s">
        <v>703</v>
      </c>
      <c r="M323" s="390"/>
      <c r="N323" s="390"/>
      <c r="O323" s="390"/>
      <c r="P323" s="390"/>
      <c r="Q323" s="390"/>
      <c r="R323" s="390"/>
      <c r="S323" s="387" t="s">
        <v>3828</v>
      </c>
      <c r="T323" s="387" t="s">
        <v>117</v>
      </c>
      <c r="U323" s="387" t="s">
        <v>703</v>
      </c>
      <c r="V323" s="387" t="s">
        <v>3683</v>
      </c>
      <c r="W323" s="409">
        <v>45255.0</v>
      </c>
      <c r="X323" s="387" t="s">
        <v>3794</v>
      </c>
      <c r="Y323" s="397" t="s">
        <v>3776</v>
      </c>
      <c r="Z323" s="390"/>
      <c r="AA323" s="434"/>
      <c r="AB323" s="341" t="s">
        <v>316</v>
      </c>
      <c r="AC323" s="387"/>
      <c r="AD323" s="387"/>
      <c r="AE323" s="387"/>
      <c r="AF323" s="387"/>
      <c r="AG323" s="387"/>
      <c r="AH323" s="387"/>
      <c r="AI323" s="387"/>
      <c r="AJ323" s="387"/>
      <c r="AK323" s="387"/>
      <c r="AL323" s="387"/>
      <c r="AM323" s="387"/>
      <c r="AN323" s="387"/>
      <c r="AO323" s="387"/>
      <c r="AP323" s="387"/>
      <c r="AQ323" s="387"/>
      <c r="AR323" s="387"/>
      <c r="AS323" s="387"/>
      <c r="AT323" s="387"/>
    </row>
    <row r="324">
      <c r="A324" s="385">
        <v>2019.0</v>
      </c>
      <c r="B324" s="395">
        <v>45250.433992893515</v>
      </c>
      <c r="C324" s="387" t="s">
        <v>3829</v>
      </c>
      <c r="D324" s="385">
        <v>1.900016062E9</v>
      </c>
      <c r="E324" s="387" t="s">
        <v>1354</v>
      </c>
      <c r="F324" s="387" t="s">
        <v>3830</v>
      </c>
      <c r="G324" s="387" t="s">
        <v>3831</v>
      </c>
      <c r="H324" s="389">
        <v>45077.0</v>
      </c>
      <c r="I324" s="389">
        <v>45075.0</v>
      </c>
      <c r="J324" s="387" t="s">
        <v>399</v>
      </c>
      <c r="K324" s="387" t="s">
        <v>230</v>
      </c>
      <c r="L324" s="387" t="s">
        <v>2379</v>
      </c>
      <c r="M324" s="390"/>
      <c r="N324" s="390"/>
      <c r="O324" s="390"/>
      <c r="P324" s="390"/>
      <c r="Q324" s="390"/>
      <c r="R324" s="390"/>
      <c r="S324" s="387" t="s">
        <v>3832</v>
      </c>
      <c r="T324" s="387" t="s">
        <v>230</v>
      </c>
      <c r="U324" s="387" t="s">
        <v>2379</v>
      </c>
      <c r="V324" s="387" t="s">
        <v>3806</v>
      </c>
      <c r="W324" s="409">
        <v>45258.0</v>
      </c>
      <c r="X324" s="387" t="s">
        <v>3406</v>
      </c>
      <c r="Y324" s="397" t="s">
        <v>3833</v>
      </c>
      <c r="Z324" s="390"/>
      <c r="AA324" s="434"/>
      <c r="AB324" s="341" t="s">
        <v>316</v>
      </c>
      <c r="AC324" s="387"/>
      <c r="AD324" s="387"/>
      <c r="AE324" s="387"/>
      <c r="AF324" s="387"/>
      <c r="AG324" s="387"/>
      <c r="AH324" s="387"/>
      <c r="AI324" s="387"/>
      <c r="AJ324" s="387"/>
      <c r="AK324" s="387"/>
      <c r="AL324" s="387"/>
      <c r="AM324" s="387"/>
      <c r="AN324" s="387"/>
      <c r="AO324" s="387"/>
      <c r="AP324" s="387"/>
      <c r="AQ324" s="387"/>
      <c r="AR324" s="387"/>
      <c r="AS324" s="387"/>
      <c r="AT324" s="387"/>
    </row>
    <row r="325">
      <c r="A325" s="385">
        <v>2019.0</v>
      </c>
      <c r="B325" s="395">
        <v>45250.54586390046</v>
      </c>
      <c r="C325" s="387" t="s">
        <v>1358</v>
      </c>
      <c r="D325" s="385">
        <v>1.900016069E9</v>
      </c>
      <c r="E325" s="387" t="s">
        <v>3834</v>
      </c>
      <c r="F325" s="387" t="s">
        <v>3835</v>
      </c>
      <c r="G325" s="387" t="s">
        <v>3836</v>
      </c>
      <c r="H325" s="389">
        <v>45076.0</v>
      </c>
      <c r="I325" s="389">
        <v>45075.0</v>
      </c>
      <c r="J325" s="387" t="s">
        <v>399</v>
      </c>
      <c r="K325" s="387" t="s">
        <v>230</v>
      </c>
      <c r="L325" s="387" t="s">
        <v>2379</v>
      </c>
      <c r="M325" s="390"/>
      <c r="N325" s="390"/>
      <c r="O325" s="390"/>
      <c r="P325" s="390"/>
      <c r="Q325" s="390"/>
      <c r="R325" s="390"/>
      <c r="S325" s="387" t="s">
        <v>3837</v>
      </c>
      <c r="T325" s="387" t="s">
        <v>230</v>
      </c>
      <c r="U325" s="387" t="s">
        <v>2379</v>
      </c>
      <c r="V325" s="387" t="s">
        <v>3806</v>
      </c>
      <c r="W325" s="409">
        <v>45258.0</v>
      </c>
      <c r="X325" s="387" t="s">
        <v>3407</v>
      </c>
      <c r="Y325" s="397" t="s">
        <v>3838</v>
      </c>
      <c r="Z325" s="390"/>
      <c r="AA325" s="434"/>
      <c r="AB325" s="341" t="s">
        <v>316</v>
      </c>
      <c r="AC325" s="387"/>
      <c r="AD325" s="387"/>
      <c r="AE325" s="387"/>
      <c r="AF325" s="387"/>
      <c r="AG325" s="387"/>
      <c r="AH325" s="387"/>
      <c r="AI325" s="387"/>
      <c r="AJ325" s="387"/>
      <c r="AK325" s="387"/>
      <c r="AL325" s="387"/>
      <c r="AM325" s="387"/>
      <c r="AN325" s="387"/>
      <c r="AO325" s="387"/>
      <c r="AP325" s="387"/>
      <c r="AQ325" s="387"/>
      <c r="AR325" s="387"/>
      <c r="AS325" s="387"/>
      <c r="AT325" s="387"/>
    </row>
    <row r="326">
      <c r="A326" s="385">
        <v>2019.0</v>
      </c>
      <c r="B326" s="395">
        <v>45254.62200246528</v>
      </c>
      <c r="C326" s="387" t="s">
        <v>1627</v>
      </c>
      <c r="D326" s="385">
        <v>1.90001615E9</v>
      </c>
      <c r="E326" s="387" t="s">
        <v>3839</v>
      </c>
      <c r="F326" s="387" t="s">
        <v>3840</v>
      </c>
      <c r="G326" s="387" t="s">
        <v>3841</v>
      </c>
      <c r="H326" s="389">
        <v>45085.0</v>
      </c>
      <c r="I326" s="389">
        <v>45140.0</v>
      </c>
      <c r="J326" s="387" t="s">
        <v>399</v>
      </c>
      <c r="K326" s="387" t="s">
        <v>3013</v>
      </c>
      <c r="L326" s="387" t="s">
        <v>241</v>
      </c>
      <c r="M326" s="390"/>
      <c r="N326" s="390"/>
      <c r="O326" s="390"/>
      <c r="P326" s="390"/>
      <c r="Q326" s="390"/>
      <c r="R326" s="390"/>
      <c r="S326" s="387" t="s">
        <v>3842</v>
      </c>
      <c r="T326" s="387" t="s">
        <v>3013</v>
      </c>
      <c r="U326" s="387" t="s">
        <v>241</v>
      </c>
      <c r="V326" s="387" t="s">
        <v>2951</v>
      </c>
      <c r="W326" s="409">
        <v>45261.0</v>
      </c>
      <c r="X326" s="387" t="s">
        <v>3843</v>
      </c>
      <c r="Y326" s="397" t="s">
        <v>1948</v>
      </c>
      <c r="Z326" s="390"/>
      <c r="AA326" s="387"/>
      <c r="AB326" s="341" t="s">
        <v>316</v>
      </c>
      <c r="AC326" s="387"/>
      <c r="AD326" s="387"/>
      <c r="AE326" s="387"/>
      <c r="AF326" s="387"/>
      <c r="AG326" s="387"/>
      <c r="AH326" s="387"/>
      <c r="AI326" s="387"/>
      <c r="AJ326" s="387"/>
      <c r="AK326" s="387"/>
      <c r="AL326" s="387"/>
      <c r="AM326" s="387"/>
      <c r="AN326" s="387"/>
      <c r="AO326" s="387"/>
      <c r="AP326" s="387"/>
      <c r="AQ326" s="387"/>
      <c r="AR326" s="387"/>
      <c r="AS326" s="387"/>
      <c r="AT326" s="387"/>
    </row>
    <row r="327">
      <c r="A327" s="385">
        <v>2019.0</v>
      </c>
      <c r="B327" s="395">
        <v>45255.40988572917</v>
      </c>
      <c r="C327" s="387" t="s">
        <v>1363</v>
      </c>
      <c r="D327" s="385">
        <v>1.700016022E9</v>
      </c>
      <c r="E327" s="387" t="s">
        <v>1364</v>
      </c>
      <c r="F327" s="387" t="s">
        <v>1365</v>
      </c>
      <c r="G327" s="387" t="s">
        <v>3844</v>
      </c>
      <c r="H327" s="389">
        <v>45014.0</v>
      </c>
      <c r="I327" s="389">
        <v>45079.0</v>
      </c>
      <c r="J327" s="387" t="s">
        <v>399</v>
      </c>
      <c r="K327" s="387" t="s">
        <v>117</v>
      </c>
      <c r="L327" s="387" t="s">
        <v>1900</v>
      </c>
      <c r="M327" s="390"/>
      <c r="N327" s="390"/>
      <c r="O327" s="390"/>
      <c r="P327" s="390"/>
      <c r="Q327" s="390"/>
      <c r="R327" s="390"/>
      <c r="S327" s="387" t="s">
        <v>3845</v>
      </c>
      <c r="T327" s="387" t="s">
        <v>117</v>
      </c>
      <c r="U327" s="387" t="s">
        <v>1900</v>
      </c>
      <c r="V327" s="387" t="s">
        <v>703</v>
      </c>
      <c r="W327" s="409">
        <v>45261.0</v>
      </c>
      <c r="X327" s="387" t="s">
        <v>3846</v>
      </c>
      <c r="Y327" s="397" t="s">
        <v>3593</v>
      </c>
      <c r="Z327" s="390"/>
      <c r="AA327" s="387"/>
      <c r="AB327" s="341" t="s">
        <v>316</v>
      </c>
      <c r="AC327" s="387"/>
      <c r="AD327" s="387"/>
      <c r="AE327" s="387"/>
      <c r="AF327" s="387"/>
      <c r="AG327" s="387"/>
      <c r="AH327" s="387"/>
      <c r="AI327" s="387"/>
      <c r="AJ327" s="387"/>
      <c r="AK327" s="387"/>
      <c r="AL327" s="387"/>
      <c r="AM327" s="387"/>
      <c r="AN327" s="387"/>
      <c r="AO327" s="387"/>
      <c r="AP327" s="387"/>
      <c r="AQ327" s="387"/>
      <c r="AR327" s="387"/>
      <c r="AS327" s="387"/>
      <c r="AT327" s="387"/>
    </row>
    <row r="328">
      <c r="A328" s="385">
        <v>2019.0</v>
      </c>
      <c r="B328" s="395">
        <v>45258.686435034724</v>
      </c>
      <c r="C328" s="387" t="s">
        <v>1493</v>
      </c>
      <c r="D328" s="385">
        <v>1.900016128E9</v>
      </c>
      <c r="E328" s="387" t="s">
        <v>1494</v>
      </c>
      <c r="F328" s="387" t="s">
        <v>1495</v>
      </c>
      <c r="G328" s="387" t="s">
        <v>3847</v>
      </c>
      <c r="H328" s="389">
        <v>45125.0</v>
      </c>
      <c r="I328" s="389">
        <v>45110.0</v>
      </c>
      <c r="J328" s="387" t="s">
        <v>399</v>
      </c>
      <c r="K328" s="387" t="s">
        <v>241</v>
      </c>
      <c r="L328" s="387" t="s">
        <v>183</v>
      </c>
      <c r="M328" s="390"/>
      <c r="N328" s="390"/>
      <c r="O328" s="390"/>
      <c r="P328" s="390"/>
      <c r="Q328" s="390"/>
      <c r="R328" s="390"/>
      <c r="S328" s="387" t="s">
        <v>3848</v>
      </c>
      <c r="T328" s="387" t="s">
        <v>241</v>
      </c>
      <c r="U328" s="387" t="s">
        <v>183</v>
      </c>
      <c r="V328" s="387" t="s">
        <v>703</v>
      </c>
      <c r="W328" s="409">
        <v>45265.0</v>
      </c>
      <c r="X328" s="387" t="s">
        <v>3468</v>
      </c>
      <c r="Y328" s="397" t="s">
        <v>1948</v>
      </c>
      <c r="Z328" s="390"/>
      <c r="AA328" s="387"/>
      <c r="AB328" s="341" t="s">
        <v>316</v>
      </c>
      <c r="AC328" s="387"/>
      <c r="AD328" s="387"/>
      <c r="AE328" s="387"/>
      <c r="AF328" s="387"/>
      <c r="AG328" s="387"/>
      <c r="AH328" s="387"/>
      <c r="AI328" s="387"/>
      <c r="AJ328" s="387"/>
      <c r="AK328" s="387"/>
      <c r="AL328" s="387"/>
      <c r="AM328" s="387"/>
      <c r="AN328" s="387"/>
      <c r="AO328" s="387"/>
      <c r="AP328" s="387"/>
      <c r="AQ328" s="387"/>
      <c r="AR328" s="387"/>
      <c r="AS328" s="387"/>
      <c r="AT328" s="387"/>
    </row>
    <row r="329">
      <c r="A329" s="385">
        <v>2019.0</v>
      </c>
      <c r="B329" s="395">
        <v>45258.686615115745</v>
      </c>
      <c r="C329" s="387" t="s">
        <v>1443</v>
      </c>
      <c r="D329" s="385">
        <v>1.900016111E9</v>
      </c>
      <c r="E329" s="387" t="s">
        <v>1444</v>
      </c>
      <c r="F329" s="387" t="s">
        <v>1445</v>
      </c>
      <c r="G329" s="387" t="s">
        <v>3849</v>
      </c>
      <c r="H329" s="389">
        <v>45062.0</v>
      </c>
      <c r="I329" s="389">
        <v>45090.0</v>
      </c>
      <c r="J329" s="387" t="s">
        <v>399</v>
      </c>
      <c r="K329" s="387" t="s">
        <v>241</v>
      </c>
      <c r="L329" s="387" t="s">
        <v>117</v>
      </c>
      <c r="M329" s="390"/>
      <c r="N329" s="390"/>
      <c r="O329" s="390"/>
      <c r="P329" s="390"/>
      <c r="Q329" s="390"/>
      <c r="R329" s="390"/>
      <c r="S329" s="387" t="s">
        <v>3850</v>
      </c>
      <c r="T329" s="387" t="s">
        <v>241</v>
      </c>
      <c r="U329" s="387" t="s">
        <v>117</v>
      </c>
      <c r="V329" s="387" t="s">
        <v>703</v>
      </c>
      <c r="W329" s="409">
        <v>45265.0</v>
      </c>
      <c r="X329" s="387" t="s">
        <v>3744</v>
      </c>
      <c r="Y329" s="397" t="s">
        <v>1948</v>
      </c>
      <c r="Z329" s="390"/>
      <c r="AA329" s="387"/>
      <c r="AB329" s="341" t="s">
        <v>316</v>
      </c>
      <c r="AC329" s="387"/>
      <c r="AD329" s="387"/>
      <c r="AE329" s="387"/>
      <c r="AF329" s="387"/>
      <c r="AG329" s="387"/>
      <c r="AH329" s="387"/>
      <c r="AI329" s="387"/>
      <c r="AJ329" s="387"/>
      <c r="AK329" s="387"/>
      <c r="AL329" s="387"/>
      <c r="AM329" s="387"/>
      <c r="AN329" s="387"/>
      <c r="AO329" s="387"/>
      <c r="AP329" s="387"/>
      <c r="AQ329" s="387"/>
      <c r="AR329" s="387"/>
      <c r="AS329" s="387"/>
      <c r="AT329" s="387"/>
    </row>
    <row r="330">
      <c r="A330" s="385">
        <v>2019.0</v>
      </c>
      <c r="B330" s="395">
        <v>45258.944344317126</v>
      </c>
      <c r="C330" s="387" t="s">
        <v>1458</v>
      </c>
      <c r="D330" s="385">
        <v>1.900016054E9</v>
      </c>
      <c r="E330" s="387" t="s">
        <v>1459</v>
      </c>
      <c r="F330" s="387" t="s">
        <v>1460</v>
      </c>
      <c r="G330" s="387" t="s">
        <v>3851</v>
      </c>
      <c r="H330" s="389">
        <v>44933.0</v>
      </c>
      <c r="I330" s="389">
        <v>45093.0</v>
      </c>
      <c r="J330" s="387" t="s">
        <v>399</v>
      </c>
      <c r="K330" s="387" t="s">
        <v>117</v>
      </c>
      <c r="L330" s="387" t="s">
        <v>1900</v>
      </c>
      <c r="M330" s="390"/>
      <c r="N330" s="390"/>
      <c r="O330" s="390"/>
      <c r="P330" s="390"/>
      <c r="Q330" s="390"/>
      <c r="R330" s="390"/>
      <c r="S330" s="387" t="s">
        <v>3852</v>
      </c>
      <c r="T330" s="387" t="s">
        <v>117</v>
      </c>
      <c r="U330" s="387" t="s">
        <v>1900</v>
      </c>
      <c r="V330" s="387" t="s">
        <v>703</v>
      </c>
      <c r="W330" s="409">
        <v>45266.0</v>
      </c>
      <c r="X330" s="387" t="s">
        <v>3843</v>
      </c>
      <c r="Y330" s="397" t="s">
        <v>3593</v>
      </c>
      <c r="Z330" s="390"/>
      <c r="AA330" s="387"/>
      <c r="AB330" s="341" t="s">
        <v>316</v>
      </c>
      <c r="AC330" s="387"/>
      <c r="AD330" s="387"/>
      <c r="AE330" s="387"/>
      <c r="AF330" s="387"/>
      <c r="AG330" s="387"/>
      <c r="AH330" s="387"/>
      <c r="AI330" s="387"/>
      <c r="AJ330" s="387"/>
      <c r="AK330" s="387"/>
      <c r="AL330" s="387"/>
      <c r="AM330" s="387"/>
      <c r="AN330" s="387"/>
      <c r="AO330" s="387"/>
      <c r="AP330" s="387"/>
      <c r="AQ330" s="387"/>
      <c r="AR330" s="387"/>
      <c r="AS330" s="387"/>
      <c r="AT330" s="387"/>
    </row>
    <row r="331">
      <c r="A331" s="385">
        <v>2019.0</v>
      </c>
      <c r="B331" s="395">
        <v>45259.91406144676</v>
      </c>
      <c r="C331" s="387" t="s">
        <v>1643</v>
      </c>
      <c r="D331" s="385">
        <v>1.90001612E9</v>
      </c>
      <c r="E331" s="387" t="s">
        <v>1644</v>
      </c>
      <c r="F331" s="387" t="s">
        <v>1645</v>
      </c>
      <c r="G331" s="387" t="s">
        <v>1646</v>
      </c>
      <c r="H331" s="389">
        <v>45066.0</v>
      </c>
      <c r="I331" s="389">
        <v>45160.0</v>
      </c>
      <c r="J331" s="387" t="s">
        <v>399</v>
      </c>
      <c r="K331" s="387" t="s">
        <v>241</v>
      </c>
      <c r="L331" s="387" t="s">
        <v>183</v>
      </c>
      <c r="M331" s="390"/>
      <c r="N331" s="390"/>
      <c r="O331" s="390"/>
      <c r="P331" s="390"/>
      <c r="Q331" s="390"/>
      <c r="R331" s="390"/>
      <c r="S331" s="387" t="s">
        <v>3853</v>
      </c>
      <c r="T331" s="387" t="s">
        <v>241</v>
      </c>
      <c r="U331" s="387" t="s">
        <v>183</v>
      </c>
      <c r="V331" s="387" t="s">
        <v>117</v>
      </c>
      <c r="W331" s="409">
        <v>45268.0</v>
      </c>
      <c r="X331" s="387" t="s">
        <v>3786</v>
      </c>
      <c r="Y331" s="397" t="s">
        <v>1948</v>
      </c>
      <c r="Z331" s="390"/>
      <c r="AA331" s="387"/>
      <c r="AB331" s="341" t="s">
        <v>316</v>
      </c>
      <c r="AC331" s="387"/>
      <c r="AD331" s="387"/>
      <c r="AE331" s="387"/>
      <c r="AF331" s="387"/>
      <c r="AG331" s="387"/>
      <c r="AH331" s="387"/>
      <c r="AI331" s="387"/>
      <c r="AJ331" s="387"/>
      <c r="AK331" s="387"/>
      <c r="AL331" s="387"/>
      <c r="AM331" s="387"/>
      <c r="AN331" s="387"/>
      <c r="AO331" s="387"/>
      <c r="AP331" s="387"/>
      <c r="AQ331" s="387"/>
      <c r="AR331" s="387"/>
      <c r="AS331" s="387"/>
      <c r="AT331" s="387"/>
    </row>
    <row r="332">
      <c r="A332" s="385">
        <v>2019.0</v>
      </c>
      <c r="B332" s="395">
        <v>45261.547470844904</v>
      </c>
      <c r="C332" s="387" t="s">
        <v>1468</v>
      </c>
      <c r="D332" s="385">
        <v>1.915016176E9</v>
      </c>
      <c r="E332" s="387" t="s">
        <v>1469</v>
      </c>
      <c r="F332" s="387" t="s">
        <v>1470</v>
      </c>
      <c r="G332" s="387" t="s">
        <v>1471</v>
      </c>
      <c r="H332" s="389">
        <v>44986.0</v>
      </c>
      <c r="I332" s="389">
        <v>45094.0</v>
      </c>
      <c r="J332" s="387" t="s">
        <v>399</v>
      </c>
      <c r="K332" s="387" t="s">
        <v>241</v>
      </c>
      <c r="L332" s="387" t="s">
        <v>2379</v>
      </c>
      <c r="M332" s="390"/>
      <c r="N332" s="390"/>
      <c r="O332" s="390"/>
      <c r="P332" s="390"/>
      <c r="Q332" s="390"/>
      <c r="R332" s="390"/>
      <c r="S332" s="387" t="s">
        <v>3854</v>
      </c>
      <c r="T332" s="387" t="s">
        <v>241</v>
      </c>
      <c r="U332" s="387" t="s">
        <v>2379</v>
      </c>
      <c r="V332" s="387" t="s">
        <v>2951</v>
      </c>
      <c r="W332" s="394">
        <v>45272.0</v>
      </c>
      <c r="X332" s="387" t="s">
        <v>3855</v>
      </c>
      <c r="Y332" s="397" t="s">
        <v>1948</v>
      </c>
      <c r="Z332" s="390"/>
      <c r="AA332" s="387"/>
      <c r="AB332" s="341" t="s">
        <v>316</v>
      </c>
      <c r="AC332" s="387"/>
      <c r="AD332" s="387"/>
      <c r="AE332" s="387"/>
      <c r="AF332" s="387"/>
      <c r="AG332" s="387"/>
      <c r="AH332" s="387"/>
      <c r="AI332" s="387"/>
      <c r="AJ332" s="387"/>
      <c r="AK332" s="387"/>
      <c r="AL332" s="387"/>
      <c r="AM332" s="387"/>
      <c r="AN332" s="387"/>
      <c r="AO332" s="387"/>
      <c r="AP332" s="387"/>
      <c r="AQ332" s="387"/>
      <c r="AR332" s="387"/>
      <c r="AS332" s="387"/>
      <c r="AT332" s="387"/>
    </row>
    <row r="333">
      <c r="A333" s="385">
        <v>2019.0</v>
      </c>
      <c r="B333" s="395">
        <v>45264.480785960644</v>
      </c>
      <c r="C333" s="387" t="s">
        <v>1386</v>
      </c>
      <c r="D333" s="385">
        <v>1.900016068E9</v>
      </c>
      <c r="E333" s="387" t="s">
        <v>3856</v>
      </c>
      <c r="F333" s="387" t="s">
        <v>1388</v>
      </c>
      <c r="G333" s="387" t="s">
        <v>3857</v>
      </c>
      <c r="H333" s="389">
        <v>45182.0</v>
      </c>
      <c r="I333" s="389">
        <v>45075.0</v>
      </c>
      <c r="J333" s="387" t="s">
        <v>399</v>
      </c>
      <c r="K333" s="387" t="s">
        <v>230</v>
      </c>
      <c r="L333" s="387" t="s">
        <v>2379</v>
      </c>
      <c r="M333" s="390"/>
      <c r="N333" s="390"/>
      <c r="O333" s="390"/>
      <c r="P333" s="390"/>
      <c r="Q333" s="390"/>
      <c r="R333" s="390"/>
      <c r="S333" s="387" t="s">
        <v>3858</v>
      </c>
      <c r="T333" s="387" t="s">
        <v>230</v>
      </c>
      <c r="U333" s="387" t="s">
        <v>2379</v>
      </c>
      <c r="V333" s="387" t="s">
        <v>2951</v>
      </c>
      <c r="W333" s="394">
        <v>45272.0</v>
      </c>
      <c r="X333" s="387" t="s">
        <v>3592</v>
      </c>
      <c r="Y333" s="397" t="s">
        <v>1948</v>
      </c>
      <c r="Z333" s="390"/>
      <c r="AA333" s="387"/>
      <c r="AB333" s="341" t="s">
        <v>316</v>
      </c>
      <c r="AC333" s="387"/>
      <c r="AD333" s="387"/>
      <c r="AE333" s="387"/>
      <c r="AF333" s="387"/>
      <c r="AG333" s="387"/>
      <c r="AH333" s="387"/>
      <c r="AI333" s="387"/>
      <c r="AJ333" s="387"/>
      <c r="AK333" s="387"/>
      <c r="AL333" s="387"/>
      <c r="AM333" s="387"/>
      <c r="AN333" s="387"/>
      <c r="AO333" s="387"/>
      <c r="AP333" s="387"/>
      <c r="AQ333" s="387"/>
      <c r="AR333" s="387"/>
      <c r="AS333" s="387"/>
      <c r="AT333" s="387"/>
    </row>
    <row r="334">
      <c r="A334" s="385">
        <v>2019.0</v>
      </c>
      <c r="B334" s="395">
        <v>45264.51378847222</v>
      </c>
      <c r="C334" s="387" t="s">
        <v>1764</v>
      </c>
      <c r="D334" s="385">
        <v>1.900016178E9</v>
      </c>
      <c r="E334" s="387" t="s">
        <v>1765</v>
      </c>
      <c r="F334" s="387" t="s">
        <v>1766</v>
      </c>
      <c r="G334" s="387" t="s">
        <v>1767</v>
      </c>
      <c r="H334" s="389">
        <v>45190.0</v>
      </c>
      <c r="I334" s="389">
        <v>45189.0</v>
      </c>
      <c r="J334" s="387" t="s">
        <v>399</v>
      </c>
      <c r="K334" s="387" t="s">
        <v>241</v>
      </c>
      <c r="L334" s="387" t="s">
        <v>2379</v>
      </c>
      <c r="M334" s="390"/>
      <c r="N334" s="390"/>
      <c r="O334" s="390"/>
      <c r="P334" s="390"/>
      <c r="Q334" s="390"/>
      <c r="R334" s="390"/>
      <c r="S334" s="387" t="s">
        <v>3859</v>
      </c>
      <c r="T334" s="387" t="s">
        <v>241</v>
      </c>
      <c r="U334" s="387" t="s">
        <v>2379</v>
      </c>
      <c r="V334" s="387" t="s">
        <v>703</v>
      </c>
      <c r="W334" s="394">
        <v>45272.0</v>
      </c>
      <c r="X334" s="387" t="s">
        <v>3860</v>
      </c>
      <c r="Y334" s="397" t="s">
        <v>1948</v>
      </c>
      <c r="Z334" s="390"/>
      <c r="AA334" s="387"/>
      <c r="AB334" s="341" t="s">
        <v>316</v>
      </c>
      <c r="AC334" s="387"/>
      <c r="AD334" s="387"/>
      <c r="AE334" s="387"/>
      <c r="AF334" s="387"/>
      <c r="AG334" s="387"/>
      <c r="AH334" s="387"/>
      <c r="AI334" s="387"/>
      <c r="AJ334" s="387"/>
      <c r="AK334" s="387"/>
      <c r="AL334" s="387"/>
      <c r="AM334" s="387"/>
      <c r="AN334" s="387"/>
      <c r="AO334" s="387"/>
      <c r="AP334" s="387"/>
      <c r="AQ334" s="387"/>
      <c r="AR334" s="387"/>
      <c r="AS334" s="387"/>
      <c r="AT334" s="387"/>
    </row>
    <row r="335">
      <c r="A335" s="385">
        <v>2019.0</v>
      </c>
      <c r="B335" s="395">
        <v>45265.61832138889</v>
      </c>
      <c r="C335" s="387" t="s">
        <v>3861</v>
      </c>
      <c r="D335" s="385">
        <v>1.800016093E9</v>
      </c>
      <c r="E335" s="387" t="s">
        <v>1262</v>
      </c>
      <c r="F335" s="387" t="s">
        <v>1263</v>
      </c>
      <c r="G335" s="387" t="s">
        <v>3862</v>
      </c>
      <c r="H335" s="389">
        <v>44889.0</v>
      </c>
      <c r="I335" s="389">
        <v>45024.0</v>
      </c>
      <c r="J335" s="387" t="s">
        <v>399</v>
      </c>
      <c r="K335" s="387" t="s">
        <v>241</v>
      </c>
      <c r="L335" s="387" t="s">
        <v>117</v>
      </c>
      <c r="M335" s="390"/>
      <c r="N335" s="390"/>
      <c r="O335" s="390"/>
      <c r="P335" s="390"/>
      <c r="Q335" s="390"/>
      <c r="R335" s="390"/>
      <c r="S335" s="387" t="s">
        <v>3863</v>
      </c>
      <c r="T335" s="387" t="s">
        <v>241</v>
      </c>
      <c r="U335" s="387" t="s">
        <v>117</v>
      </c>
      <c r="V335" s="387" t="s">
        <v>703</v>
      </c>
      <c r="W335" s="394">
        <v>45273.0</v>
      </c>
      <c r="X335" s="387" t="s">
        <v>3418</v>
      </c>
      <c r="Y335" s="397" t="s">
        <v>1948</v>
      </c>
      <c r="Z335" s="390"/>
      <c r="AA335" s="387"/>
      <c r="AB335" s="341" t="s">
        <v>316</v>
      </c>
      <c r="AC335" s="387"/>
      <c r="AD335" s="387"/>
      <c r="AE335" s="387"/>
      <c r="AF335" s="387"/>
      <c r="AG335" s="387"/>
      <c r="AH335" s="387"/>
      <c r="AI335" s="387"/>
      <c r="AJ335" s="387"/>
      <c r="AK335" s="387"/>
      <c r="AL335" s="387"/>
      <c r="AM335" s="387"/>
      <c r="AN335" s="387"/>
      <c r="AO335" s="387"/>
      <c r="AP335" s="387"/>
      <c r="AQ335" s="387"/>
      <c r="AR335" s="387"/>
      <c r="AS335" s="387"/>
      <c r="AT335" s="387"/>
    </row>
    <row r="336">
      <c r="A336" s="385">
        <v>2019.0</v>
      </c>
      <c r="B336" s="395">
        <v>45266.4643474537</v>
      </c>
      <c r="C336" s="387" t="s">
        <v>1488</v>
      </c>
      <c r="D336" s="385">
        <v>1.900016101E9</v>
      </c>
      <c r="E336" s="387" t="s">
        <v>1489</v>
      </c>
      <c r="F336" s="387" t="s">
        <v>1490</v>
      </c>
      <c r="G336" s="387" t="s">
        <v>3864</v>
      </c>
      <c r="H336" s="389">
        <v>44950.0</v>
      </c>
      <c r="I336" s="389">
        <v>45103.0</v>
      </c>
      <c r="J336" s="387" t="s">
        <v>399</v>
      </c>
      <c r="K336" s="387" t="s">
        <v>183</v>
      </c>
      <c r="L336" s="387" t="s">
        <v>117</v>
      </c>
      <c r="M336" s="390"/>
      <c r="N336" s="390"/>
      <c r="O336" s="390"/>
      <c r="P336" s="390"/>
      <c r="Q336" s="390"/>
      <c r="R336" s="390"/>
      <c r="S336" s="387" t="s">
        <v>3865</v>
      </c>
      <c r="T336" s="387" t="s">
        <v>183</v>
      </c>
      <c r="U336" s="387" t="s">
        <v>117</v>
      </c>
      <c r="V336" s="387" t="s">
        <v>703</v>
      </c>
      <c r="W336" s="394">
        <v>45273.0</v>
      </c>
      <c r="X336" s="387" t="s">
        <v>987</v>
      </c>
      <c r="Y336" s="397" t="s">
        <v>1948</v>
      </c>
      <c r="Z336" s="390"/>
      <c r="AA336" s="387"/>
      <c r="AB336" s="341" t="s">
        <v>316</v>
      </c>
      <c r="AC336" s="387"/>
      <c r="AD336" s="387"/>
      <c r="AE336" s="387"/>
      <c r="AF336" s="387"/>
      <c r="AG336" s="387"/>
      <c r="AH336" s="387"/>
      <c r="AI336" s="387"/>
      <c r="AJ336" s="387"/>
      <c r="AK336" s="387"/>
      <c r="AL336" s="387"/>
      <c r="AM336" s="387"/>
      <c r="AN336" s="387"/>
      <c r="AO336" s="387"/>
      <c r="AP336" s="387"/>
      <c r="AQ336" s="387"/>
      <c r="AR336" s="387"/>
      <c r="AS336" s="387"/>
      <c r="AT336" s="387"/>
    </row>
    <row r="337">
      <c r="A337" s="385">
        <v>2019.0</v>
      </c>
      <c r="B337" s="395">
        <v>45267.52721408565</v>
      </c>
      <c r="C337" s="387" t="s">
        <v>913</v>
      </c>
      <c r="D337" s="385">
        <v>1.700016078E9</v>
      </c>
      <c r="E337" s="387" t="s">
        <v>914</v>
      </c>
      <c r="F337" s="387" t="s">
        <v>915</v>
      </c>
      <c r="G337" s="387" t="s">
        <v>916</v>
      </c>
      <c r="H337" s="389">
        <v>44599.0</v>
      </c>
      <c r="I337" s="389">
        <v>44700.0</v>
      </c>
      <c r="J337" s="387" t="s">
        <v>399</v>
      </c>
      <c r="K337" s="387" t="s">
        <v>117</v>
      </c>
      <c r="L337" s="387" t="s">
        <v>1900</v>
      </c>
      <c r="M337" s="390"/>
      <c r="N337" s="390"/>
      <c r="O337" s="390"/>
      <c r="P337" s="390"/>
      <c r="Q337" s="390"/>
      <c r="R337" s="390"/>
      <c r="S337" s="387" t="s">
        <v>3866</v>
      </c>
      <c r="T337" s="387" t="s">
        <v>117</v>
      </c>
      <c r="U337" s="387" t="s">
        <v>1900</v>
      </c>
      <c r="V337" s="387" t="s">
        <v>3683</v>
      </c>
      <c r="W337" s="394">
        <v>45275.0</v>
      </c>
      <c r="X337" s="387" t="s">
        <v>3418</v>
      </c>
      <c r="Y337" s="397" t="s">
        <v>2218</v>
      </c>
      <c r="Z337" s="390"/>
      <c r="AA337" s="387"/>
      <c r="AB337" s="341" t="s">
        <v>316</v>
      </c>
      <c r="AC337" s="387"/>
      <c r="AD337" s="387"/>
      <c r="AE337" s="387"/>
      <c r="AF337" s="387"/>
      <c r="AG337" s="387"/>
      <c r="AH337" s="387"/>
      <c r="AI337" s="387"/>
      <c r="AJ337" s="387"/>
      <c r="AK337" s="387"/>
      <c r="AL337" s="387"/>
      <c r="AM337" s="387"/>
      <c r="AN337" s="387"/>
      <c r="AO337" s="387"/>
      <c r="AP337" s="387"/>
      <c r="AQ337" s="387"/>
      <c r="AR337" s="387"/>
      <c r="AS337" s="387"/>
      <c r="AT337" s="387"/>
    </row>
    <row r="338">
      <c r="A338" s="385">
        <v>2019.0</v>
      </c>
      <c r="B338" s="395">
        <v>45269.33467373843</v>
      </c>
      <c r="C338" s="387" t="s">
        <v>3867</v>
      </c>
      <c r="D338" s="385">
        <v>1.900016117E9</v>
      </c>
      <c r="E338" s="387" t="s">
        <v>1543</v>
      </c>
      <c r="F338" s="387" t="s">
        <v>3868</v>
      </c>
      <c r="G338" s="387" t="s">
        <v>3869</v>
      </c>
      <c r="H338" s="389">
        <v>45097.0</v>
      </c>
      <c r="I338" s="389">
        <v>45127.0</v>
      </c>
      <c r="J338" s="387" t="s">
        <v>399</v>
      </c>
      <c r="K338" s="387" t="s">
        <v>2922</v>
      </c>
      <c r="L338" s="387" t="s">
        <v>1900</v>
      </c>
      <c r="M338" s="390"/>
      <c r="N338" s="390"/>
      <c r="O338" s="390"/>
      <c r="P338" s="390"/>
      <c r="Q338" s="390"/>
      <c r="R338" s="390"/>
      <c r="S338" s="387" t="s">
        <v>3870</v>
      </c>
      <c r="T338" s="387" t="s">
        <v>2922</v>
      </c>
      <c r="U338" s="387" t="s">
        <v>1900</v>
      </c>
      <c r="V338" s="387" t="s">
        <v>3159</v>
      </c>
      <c r="W338" s="394">
        <v>45275.0</v>
      </c>
      <c r="X338" s="387" t="s">
        <v>987</v>
      </c>
      <c r="Y338" s="397" t="s">
        <v>2218</v>
      </c>
      <c r="Z338" s="390"/>
      <c r="AA338" s="387"/>
      <c r="AB338" s="341" t="s">
        <v>316</v>
      </c>
      <c r="AC338" s="387"/>
      <c r="AD338" s="387"/>
      <c r="AE338" s="387"/>
      <c r="AF338" s="387"/>
      <c r="AG338" s="387"/>
      <c r="AH338" s="387"/>
      <c r="AI338" s="387"/>
      <c r="AJ338" s="387"/>
      <c r="AK338" s="387"/>
      <c r="AL338" s="387"/>
      <c r="AM338" s="387"/>
      <c r="AN338" s="387"/>
      <c r="AO338" s="387"/>
      <c r="AP338" s="387"/>
      <c r="AQ338" s="387"/>
      <c r="AR338" s="387"/>
      <c r="AS338" s="387"/>
      <c r="AT338" s="387"/>
    </row>
    <row r="339">
      <c r="A339" s="385">
        <v>2019.0</v>
      </c>
      <c r="B339" s="395">
        <v>45269.75720342592</v>
      </c>
      <c r="C339" s="387" t="s">
        <v>1381</v>
      </c>
      <c r="D339" s="385">
        <v>1.900016102E9</v>
      </c>
      <c r="E339" s="387" t="s">
        <v>1382</v>
      </c>
      <c r="F339" s="387" t="s">
        <v>1383</v>
      </c>
      <c r="G339" s="387" t="s">
        <v>3871</v>
      </c>
      <c r="H339" s="389">
        <v>44960.0</v>
      </c>
      <c r="I339" s="389">
        <v>45079.0</v>
      </c>
      <c r="J339" s="387" t="s">
        <v>399</v>
      </c>
      <c r="K339" s="387" t="s">
        <v>2922</v>
      </c>
      <c r="L339" s="387" t="s">
        <v>1900</v>
      </c>
      <c r="M339" s="390"/>
      <c r="N339" s="390"/>
      <c r="O339" s="390"/>
      <c r="P339" s="390"/>
      <c r="Q339" s="390"/>
      <c r="R339" s="390"/>
      <c r="S339" s="387" t="s">
        <v>3872</v>
      </c>
      <c r="T339" s="387" t="s">
        <v>2922</v>
      </c>
      <c r="U339" s="387" t="s">
        <v>1900</v>
      </c>
      <c r="V339" s="387" t="s">
        <v>3159</v>
      </c>
      <c r="W339" s="394">
        <v>45275.0</v>
      </c>
      <c r="X339" s="387" t="s">
        <v>3791</v>
      </c>
      <c r="Y339" s="397" t="s">
        <v>2218</v>
      </c>
      <c r="Z339" s="390"/>
      <c r="AA339" s="387"/>
      <c r="AB339" s="341" t="s">
        <v>316</v>
      </c>
      <c r="AC339" s="387"/>
      <c r="AD339" s="387"/>
      <c r="AE339" s="387"/>
      <c r="AF339" s="387"/>
      <c r="AG339" s="387"/>
      <c r="AH339" s="387"/>
      <c r="AI339" s="387"/>
      <c r="AJ339" s="387"/>
      <c r="AK339" s="387"/>
      <c r="AL339" s="387"/>
      <c r="AM339" s="387"/>
      <c r="AN339" s="387"/>
      <c r="AO339" s="387"/>
      <c r="AP339" s="387"/>
      <c r="AQ339" s="387"/>
      <c r="AR339" s="387"/>
      <c r="AS339" s="387"/>
      <c r="AT339" s="387"/>
    </row>
    <row r="340">
      <c r="A340" s="385">
        <v>2019.0</v>
      </c>
      <c r="B340" s="395">
        <v>45271.37067856482</v>
      </c>
      <c r="C340" s="387" t="s">
        <v>1632</v>
      </c>
      <c r="D340" s="385">
        <v>1.900016116E9</v>
      </c>
      <c r="E340" s="387" t="s">
        <v>1633</v>
      </c>
      <c r="F340" s="387" t="s">
        <v>3873</v>
      </c>
      <c r="G340" s="387" t="s">
        <v>3874</v>
      </c>
      <c r="H340" s="389">
        <v>44986.0</v>
      </c>
      <c r="I340" s="389">
        <v>45145.0</v>
      </c>
      <c r="J340" s="387" t="s">
        <v>399</v>
      </c>
      <c r="K340" s="387" t="s">
        <v>1900</v>
      </c>
      <c r="L340" s="387" t="s">
        <v>2379</v>
      </c>
      <c r="M340" s="390"/>
      <c r="N340" s="390"/>
      <c r="O340" s="390"/>
      <c r="P340" s="390"/>
      <c r="Q340" s="390"/>
      <c r="R340" s="390"/>
      <c r="S340" s="387" t="s">
        <v>3875</v>
      </c>
      <c r="T340" s="387" t="s">
        <v>1900</v>
      </c>
      <c r="U340" s="387" t="s">
        <v>2379</v>
      </c>
      <c r="V340" s="387" t="s">
        <v>117</v>
      </c>
      <c r="W340" s="394">
        <v>45279.0</v>
      </c>
      <c r="X340" s="387" t="s">
        <v>3791</v>
      </c>
      <c r="Y340" s="397" t="s">
        <v>2218</v>
      </c>
      <c r="Z340" s="390"/>
      <c r="AA340" s="387"/>
      <c r="AB340" s="341" t="s">
        <v>316</v>
      </c>
      <c r="AC340" s="387"/>
      <c r="AD340" s="387"/>
      <c r="AE340" s="387"/>
      <c r="AF340" s="387"/>
      <c r="AG340" s="387"/>
      <c r="AH340" s="387"/>
      <c r="AI340" s="387"/>
      <c r="AJ340" s="387"/>
      <c r="AK340" s="387"/>
      <c r="AL340" s="387"/>
      <c r="AM340" s="387"/>
      <c r="AN340" s="387"/>
      <c r="AO340" s="387"/>
      <c r="AP340" s="387"/>
      <c r="AQ340" s="387"/>
      <c r="AR340" s="387"/>
      <c r="AS340" s="387"/>
      <c r="AT340" s="387"/>
    </row>
    <row r="341">
      <c r="A341" s="385">
        <v>2019.0</v>
      </c>
      <c r="B341" s="395">
        <v>45271.59602049769</v>
      </c>
      <c r="C341" s="387" t="s">
        <v>1692</v>
      </c>
      <c r="D341" s="385">
        <v>1.900016039E9</v>
      </c>
      <c r="E341" s="387" t="s">
        <v>1693</v>
      </c>
      <c r="F341" s="387" t="s">
        <v>1694</v>
      </c>
      <c r="G341" s="387" t="s">
        <v>3876</v>
      </c>
      <c r="H341" s="389">
        <v>45178.0</v>
      </c>
      <c r="I341" s="389">
        <v>45177.0</v>
      </c>
      <c r="J341" s="387" t="s">
        <v>399</v>
      </c>
      <c r="K341" s="387" t="s">
        <v>1900</v>
      </c>
      <c r="L341" s="387" t="s">
        <v>3013</v>
      </c>
      <c r="M341" s="390"/>
      <c r="N341" s="390"/>
      <c r="O341" s="390"/>
      <c r="P341" s="390"/>
      <c r="Q341" s="390"/>
      <c r="R341" s="390"/>
      <c r="S341" s="387" t="s">
        <v>3877</v>
      </c>
      <c r="T341" s="387" t="s">
        <v>1900</v>
      </c>
      <c r="U341" s="387" t="s">
        <v>3013</v>
      </c>
      <c r="V341" s="387" t="s">
        <v>3170</v>
      </c>
      <c r="W341" s="394">
        <v>45279.0</v>
      </c>
      <c r="X341" s="387" t="s">
        <v>3878</v>
      </c>
      <c r="Y341" s="397" t="s">
        <v>2218</v>
      </c>
      <c r="Z341" s="390"/>
      <c r="AA341" s="387"/>
      <c r="AB341" s="341" t="s">
        <v>316</v>
      </c>
      <c r="AC341" s="387"/>
      <c r="AD341" s="387"/>
      <c r="AE341" s="387"/>
      <c r="AF341" s="387"/>
      <c r="AG341" s="387"/>
      <c r="AH341" s="387"/>
      <c r="AI341" s="387"/>
      <c r="AJ341" s="387"/>
      <c r="AK341" s="387"/>
      <c r="AL341" s="387"/>
      <c r="AM341" s="387"/>
      <c r="AN341" s="387"/>
      <c r="AO341" s="387"/>
      <c r="AP341" s="387"/>
      <c r="AQ341" s="387"/>
      <c r="AR341" s="387"/>
      <c r="AS341" s="387"/>
      <c r="AT341" s="387"/>
    </row>
    <row r="342">
      <c r="A342" s="385">
        <v>2019.0</v>
      </c>
      <c r="B342" s="395">
        <v>45274.0686321412</v>
      </c>
      <c r="C342" s="387" t="s">
        <v>1749</v>
      </c>
      <c r="D342" s="385">
        <v>1.900016168E9</v>
      </c>
      <c r="E342" s="387" t="s">
        <v>1750</v>
      </c>
      <c r="F342" s="387" t="s">
        <v>3879</v>
      </c>
      <c r="G342" s="387" t="s">
        <v>3880</v>
      </c>
      <c r="H342" s="389">
        <v>45048.0</v>
      </c>
      <c r="I342" s="389">
        <v>45189.0</v>
      </c>
      <c r="J342" s="387" t="s">
        <v>399</v>
      </c>
      <c r="K342" s="387" t="s">
        <v>241</v>
      </c>
      <c r="L342" s="387" t="s">
        <v>2379</v>
      </c>
      <c r="M342" s="390"/>
      <c r="N342" s="390"/>
      <c r="O342" s="390"/>
      <c r="P342" s="390"/>
      <c r="Q342" s="390"/>
      <c r="R342" s="390"/>
      <c r="S342" s="387" t="s">
        <v>3881</v>
      </c>
      <c r="T342" s="387" t="s">
        <v>241</v>
      </c>
      <c r="U342" s="387" t="s">
        <v>2379</v>
      </c>
      <c r="V342" s="387" t="s">
        <v>2951</v>
      </c>
      <c r="W342" s="394">
        <v>45280.0</v>
      </c>
      <c r="X342" s="387" t="s">
        <v>3468</v>
      </c>
      <c r="Y342" s="397" t="s">
        <v>1948</v>
      </c>
      <c r="Z342" s="390"/>
      <c r="AA342" s="387"/>
      <c r="AB342" s="341" t="s">
        <v>316</v>
      </c>
      <c r="AC342" s="387"/>
      <c r="AD342" s="387"/>
      <c r="AE342" s="387"/>
      <c r="AF342" s="387"/>
      <c r="AG342" s="387"/>
      <c r="AH342" s="387"/>
      <c r="AI342" s="387"/>
      <c r="AJ342" s="387"/>
      <c r="AK342" s="387"/>
      <c r="AL342" s="387"/>
      <c r="AM342" s="387"/>
      <c r="AN342" s="387"/>
      <c r="AO342" s="387"/>
      <c r="AP342" s="387"/>
      <c r="AQ342" s="387"/>
      <c r="AR342" s="387"/>
      <c r="AS342" s="387"/>
      <c r="AT342" s="387"/>
    </row>
    <row r="343">
      <c r="A343" s="385">
        <v>2018.0</v>
      </c>
      <c r="B343" s="395">
        <v>45274.47811752315</v>
      </c>
      <c r="C343" s="387" t="s">
        <v>942</v>
      </c>
      <c r="D343" s="385">
        <v>1.800016028E9</v>
      </c>
      <c r="E343" s="387" t="s">
        <v>943</v>
      </c>
      <c r="F343" s="387" t="s">
        <v>944</v>
      </c>
      <c r="G343" s="387" t="s">
        <v>945</v>
      </c>
      <c r="H343" s="389">
        <v>44510.0</v>
      </c>
      <c r="I343" s="389">
        <v>44656.0</v>
      </c>
      <c r="J343" s="387" t="s">
        <v>399</v>
      </c>
      <c r="K343" s="387" t="s">
        <v>3013</v>
      </c>
      <c r="L343" s="387" t="s">
        <v>230</v>
      </c>
      <c r="M343" s="390"/>
      <c r="N343" s="390"/>
      <c r="O343" s="390"/>
      <c r="P343" s="390"/>
      <c r="Q343" s="390"/>
      <c r="R343" s="390"/>
      <c r="S343" s="387" t="s">
        <v>3882</v>
      </c>
      <c r="T343" s="387" t="s">
        <v>3013</v>
      </c>
      <c r="U343" s="387" t="s">
        <v>230</v>
      </c>
      <c r="V343" s="387" t="s">
        <v>2951</v>
      </c>
      <c r="W343" s="394">
        <v>45280.0</v>
      </c>
      <c r="X343" s="387" t="s">
        <v>3794</v>
      </c>
      <c r="Y343" s="397" t="s">
        <v>2218</v>
      </c>
      <c r="Z343" s="390"/>
      <c r="AA343" s="387"/>
      <c r="AB343" s="341" t="s">
        <v>316</v>
      </c>
      <c r="AC343" s="387"/>
      <c r="AD343" s="387"/>
      <c r="AE343" s="387"/>
      <c r="AF343" s="387"/>
      <c r="AG343" s="387"/>
      <c r="AH343" s="387"/>
      <c r="AI343" s="387"/>
      <c r="AJ343" s="387"/>
      <c r="AK343" s="387"/>
      <c r="AL343" s="387"/>
      <c r="AM343" s="387"/>
      <c r="AN343" s="387"/>
      <c r="AO343" s="387"/>
      <c r="AP343" s="387"/>
      <c r="AQ343" s="387"/>
      <c r="AR343" s="387"/>
      <c r="AS343" s="387"/>
      <c r="AT343" s="387"/>
    </row>
    <row r="344">
      <c r="A344" s="385">
        <v>2019.0</v>
      </c>
      <c r="B344" s="395">
        <v>45274.58941325231</v>
      </c>
      <c r="C344" s="387" t="s">
        <v>3883</v>
      </c>
      <c r="D344" s="385">
        <v>1.90001611E9</v>
      </c>
      <c r="E344" s="387" t="s">
        <v>1606</v>
      </c>
      <c r="F344" s="387" t="s">
        <v>1607</v>
      </c>
      <c r="G344" s="387" t="s">
        <v>3884</v>
      </c>
      <c r="H344" s="389">
        <v>45148.0</v>
      </c>
      <c r="I344" s="389">
        <v>45135.0</v>
      </c>
      <c r="J344" s="387" t="s">
        <v>399</v>
      </c>
      <c r="K344" s="387" t="s">
        <v>3013</v>
      </c>
      <c r="L344" s="387" t="s">
        <v>2617</v>
      </c>
      <c r="M344" s="390"/>
      <c r="N344" s="390"/>
      <c r="O344" s="390"/>
      <c r="P344" s="390"/>
      <c r="Q344" s="390"/>
      <c r="R344" s="390"/>
      <c r="S344" s="387" t="s">
        <v>3885</v>
      </c>
      <c r="T344" s="387" t="s">
        <v>3013</v>
      </c>
      <c r="U344" s="387" t="s">
        <v>2617</v>
      </c>
      <c r="V344" s="387" t="s">
        <v>703</v>
      </c>
      <c r="W344" s="394">
        <v>45280.0</v>
      </c>
      <c r="X344" s="387" t="s">
        <v>3468</v>
      </c>
      <c r="Y344" s="397" t="s">
        <v>2218</v>
      </c>
      <c r="Z344" s="390"/>
      <c r="AA344" s="387"/>
      <c r="AB344" s="341" t="s">
        <v>316</v>
      </c>
      <c r="AC344" s="387"/>
      <c r="AD344" s="387"/>
      <c r="AE344" s="387"/>
      <c r="AF344" s="387"/>
      <c r="AG344" s="387"/>
      <c r="AH344" s="387"/>
      <c r="AI344" s="387"/>
      <c r="AJ344" s="387"/>
      <c r="AK344" s="387"/>
      <c r="AL344" s="387"/>
      <c r="AM344" s="387"/>
      <c r="AN344" s="387"/>
      <c r="AO344" s="387"/>
      <c r="AP344" s="387"/>
      <c r="AQ344" s="387"/>
      <c r="AR344" s="387"/>
      <c r="AS344" s="387"/>
      <c r="AT344" s="387"/>
    </row>
    <row r="345">
      <c r="A345" s="419">
        <v>2019.0</v>
      </c>
      <c r="B345" s="435">
        <v>45280.54800979167</v>
      </c>
      <c r="C345" s="408" t="s">
        <v>3886</v>
      </c>
      <c r="D345" s="419">
        <v>1.900016166E9</v>
      </c>
      <c r="E345" s="408" t="s">
        <v>1756</v>
      </c>
      <c r="F345" s="408" t="s">
        <v>1757</v>
      </c>
      <c r="G345" s="408" t="s">
        <v>3887</v>
      </c>
      <c r="H345" s="421">
        <v>45094.0</v>
      </c>
      <c r="I345" s="421">
        <v>45189.0</v>
      </c>
      <c r="J345" s="408" t="s">
        <v>399</v>
      </c>
      <c r="K345" s="408" t="s">
        <v>241</v>
      </c>
      <c r="L345" s="408" t="s">
        <v>2379</v>
      </c>
      <c r="M345" s="422"/>
      <c r="N345" s="422"/>
      <c r="O345" s="422"/>
      <c r="P345" s="422"/>
      <c r="Q345" s="422"/>
      <c r="R345" s="422"/>
      <c r="S345" s="408" t="s">
        <v>3888</v>
      </c>
      <c r="T345" s="408" t="s">
        <v>241</v>
      </c>
      <c r="U345" s="408" t="s">
        <v>2379</v>
      </c>
      <c r="V345" s="408" t="s">
        <v>703</v>
      </c>
      <c r="W345" s="444">
        <v>45287.0</v>
      </c>
      <c r="X345" s="408" t="s">
        <v>3468</v>
      </c>
      <c r="Y345" s="397" t="s">
        <v>1948</v>
      </c>
      <c r="Z345" s="422"/>
      <c r="AA345" s="408"/>
      <c r="AB345" s="341" t="s">
        <v>316</v>
      </c>
      <c r="AC345" s="408"/>
      <c r="AD345" s="408"/>
      <c r="AE345" s="408"/>
      <c r="AF345" s="408"/>
      <c r="AG345" s="408"/>
      <c r="AH345" s="408"/>
      <c r="AI345" s="408"/>
      <c r="AJ345" s="408"/>
      <c r="AK345" s="408"/>
      <c r="AL345" s="408"/>
      <c r="AM345" s="408"/>
      <c r="AN345" s="408"/>
      <c r="AO345" s="408"/>
      <c r="AP345" s="408"/>
      <c r="AQ345" s="408"/>
      <c r="AR345" s="408"/>
      <c r="AS345" s="408"/>
      <c r="AT345" s="408"/>
    </row>
    <row r="346">
      <c r="A346" s="385">
        <v>2018.0</v>
      </c>
      <c r="B346" s="395">
        <v>45282.90431222222</v>
      </c>
      <c r="C346" s="387" t="s">
        <v>1673</v>
      </c>
      <c r="D346" s="385">
        <v>1.800016068E9</v>
      </c>
      <c r="E346" s="387" t="s">
        <v>1674</v>
      </c>
      <c r="F346" s="387" t="s">
        <v>3889</v>
      </c>
      <c r="G346" s="387" t="s">
        <v>1676</v>
      </c>
      <c r="H346" s="389">
        <v>45120.0</v>
      </c>
      <c r="I346" s="389">
        <v>45162.0</v>
      </c>
      <c r="J346" s="387" t="s">
        <v>399</v>
      </c>
      <c r="K346" s="387" t="s">
        <v>241</v>
      </c>
      <c r="L346" s="387" t="s">
        <v>230</v>
      </c>
      <c r="M346" s="390"/>
      <c r="N346" s="390"/>
      <c r="O346" s="390"/>
      <c r="P346" s="390"/>
      <c r="Q346" s="390"/>
      <c r="R346" s="390"/>
      <c r="S346" s="387" t="s">
        <v>3890</v>
      </c>
      <c r="T346" s="387" t="s">
        <v>241</v>
      </c>
      <c r="U346" s="387" t="s">
        <v>230</v>
      </c>
      <c r="V346" s="408" t="s">
        <v>703</v>
      </c>
      <c r="W346" s="444">
        <v>45293.0</v>
      </c>
      <c r="X346" s="387" t="s">
        <v>3312</v>
      </c>
      <c r="Y346" s="397" t="s">
        <v>1948</v>
      </c>
      <c r="Z346" s="390"/>
      <c r="AA346" s="387"/>
      <c r="AB346" s="341" t="s">
        <v>316</v>
      </c>
      <c r="AC346" s="387"/>
      <c r="AD346" s="387"/>
      <c r="AE346" s="387"/>
      <c r="AF346" s="387"/>
      <c r="AG346" s="387"/>
      <c r="AH346" s="387"/>
      <c r="AI346" s="387"/>
      <c r="AJ346" s="387"/>
      <c r="AK346" s="387"/>
      <c r="AL346" s="387"/>
      <c r="AM346" s="387"/>
      <c r="AN346" s="387"/>
      <c r="AO346" s="387"/>
      <c r="AP346" s="387"/>
      <c r="AQ346" s="387"/>
      <c r="AR346" s="387"/>
      <c r="AS346" s="387"/>
      <c r="AT346" s="387"/>
    </row>
    <row r="347">
      <c r="A347" s="385">
        <v>2019.0</v>
      </c>
      <c r="B347" s="395">
        <v>45310.81946378473</v>
      </c>
      <c r="C347" s="387" t="s">
        <v>1448</v>
      </c>
      <c r="D347" s="385">
        <v>1.900016036E9</v>
      </c>
      <c r="E347" s="387" t="s">
        <v>1449</v>
      </c>
      <c r="F347" s="387" t="s">
        <v>1450</v>
      </c>
      <c r="G347" s="387" t="s">
        <v>3891</v>
      </c>
      <c r="H347" s="389">
        <v>45128.0</v>
      </c>
      <c r="I347" s="389">
        <v>45090.0</v>
      </c>
      <c r="J347" s="387" t="s">
        <v>399</v>
      </c>
      <c r="K347" s="387" t="s">
        <v>183</v>
      </c>
      <c r="L347" s="387" t="s">
        <v>241</v>
      </c>
      <c r="M347" s="390"/>
      <c r="N347" s="390"/>
      <c r="O347" s="390"/>
      <c r="P347" s="390"/>
      <c r="Q347" s="390"/>
      <c r="R347" s="390"/>
      <c r="S347" s="387" t="s">
        <v>3892</v>
      </c>
      <c r="T347" s="387" t="s">
        <v>183</v>
      </c>
      <c r="U347" s="387" t="s">
        <v>241</v>
      </c>
      <c r="V347" s="408" t="s">
        <v>3170</v>
      </c>
      <c r="W347" s="444">
        <v>45321.0</v>
      </c>
      <c r="X347" s="387" t="s">
        <v>3524</v>
      </c>
      <c r="Y347" s="397" t="s">
        <v>3893</v>
      </c>
      <c r="Z347" s="390"/>
      <c r="AA347" s="387"/>
      <c r="AB347" s="341" t="s">
        <v>316</v>
      </c>
      <c r="AC347" s="387"/>
      <c r="AD347" s="387"/>
      <c r="AE347" s="387"/>
      <c r="AF347" s="387"/>
      <c r="AG347" s="387"/>
      <c r="AH347" s="387"/>
      <c r="AI347" s="387"/>
      <c r="AJ347" s="387"/>
      <c r="AK347" s="387"/>
      <c r="AL347" s="387"/>
      <c r="AM347" s="387"/>
      <c r="AN347" s="387"/>
      <c r="AO347" s="387"/>
      <c r="AP347" s="387"/>
      <c r="AQ347" s="387"/>
      <c r="AR347" s="387"/>
      <c r="AS347" s="387"/>
      <c r="AT347" s="387"/>
    </row>
    <row r="348">
      <c r="A348" s="419">
        <v>2019.0</v>
      </c>
      <c r="B348" s="435">
        <v>45344.961853333334</v>
      </c>
      <c r="C348" s="408" t="s">
        <v>1600</v>
      </c>
      <c r="D348" s="419">
        <v>1.9000161E9</v>
      </c>
      <c r="E348" s="408" t="s">
        <v>3894</v>
      </c>
      <c r="F348" s="408" t="s">
        <v>1602</v>
      </c>
      <c r="G348" s="408" t="s">
        <v>3895</v>
      </c>
      <c r="H348" s="421">
        <v>45066.0</v>
      </c>
      <c r="I348" s="421">
        <v>45131.0</v>
      </c>
      <c r="J348" s="408" t="s">
        <v>399</v>
      </c>
      <c r="K348" s="408" t="s">
        <v>241</v>
      </c>
      <c r="L348" s="408" t="s">
        <v>2379</v>
      </c>
      <c r="M348" s="422"/>
      <c r="N348" s="422"/>
      <c r="O348" s="422"/>
      <c r="P348" s="422"/>
      <c r="Q348" s="422"/>
      <c r="R348" s="422"/>
      <c r="S348" s="408" t="s">
        <v>3896</v>
      </c>
      <c r="T348" s="408" t="s">
        <v>241</v>
      </c>
      <c r="U348" s="408" t="s">
        <v>2379</v>
      </c>
      <c r="V348" s="408" t="s">
        <v>3683</v>
      </c>
      <c r="W348" s="423">
        <v>45352.0</v>
      </c>
      <c r="X348" s="408" t="s">
        <v>3897</v>
      </c>
      <c r="Y348" s="397" t="s">
        <v>3893</v>
      </c>
      <c r="Z348" s="422"/>
      <c r="AA348" s="408"/>
      <c r="AB348" s="341" t="s">
        <v>316</v>
      </c>
      <c r="AC348" s="408"/>
      <c r="AD348" s="408"/>
      <c r="AE348" s="408"/>
      <c r="AF348" s="408"/>
      <c r="AG348" s="408"/>
      <c r="AH348" s="408"/>
      <c r="AI348" s="408"/>
      <c r="AJ348" s="408"/>
      <c r="AK348" s="408"/>
      <c r="AL348" s="408"/>
      <c r="AM348" s="408"/>
      <c r="AN348" s="408"/>
      <c r="AO348" s="408"/>
      <c r="AP348" s="408"/>
      <c r="AQ348" s="408"/>
      <c r="AR348" s="408"/>
      <c r="AS348" s="408"/>
      <c r="AT348" s="408"/>
    </row>
    <row r="349">
      <c r="A349" s="385">
        <v>2018.0</v>
      </c>
      <c r="B349" s="427">
        <v>45346.40823496528</v>
      </c>
      <c r="C349" s="428" t="s">
        <v>3898</v>
      </c>
      <c r="D349" s="426">
        <v>1.800016027E9</v>
      </c>
      <c r="E349" s="428" t="s">
        <v>1210</v>
      </c>
      <c r="F349" s="428" t="s">
        <v>3899</v>
      </c>
      <c r="G349" s="428" t="s">
        <v>3900</v>
      </c>
      <c r="H349" s="429">
        <v>44978.0</v>
      </c>
      <c r="I349" s="429">
        <v>44977.0</v>
      </c>
      <c r="J349" s="428" t="s">
        <v>399</v>
      </c>
      <c r="K349" s="428" t="s">
        <v>241</v>
      </c>
      <c r="L349" s="428" t="s">
        <v>1900</v>
      </c>
      <c r="M349" s="430"/>
      <c r="N349" s="430"/>
      <c r="O349" s="430"/>
      <c r="P349" s="430"/>
      <c r="Q349" s="430"/>
      <c r="R349" s="430"/>
      <c r="S349" s="428" t="s">
        <v>3901</v>
      </c>
      <c r="T349" s="428" t="s">
        <v>241</v>
      </c>
      <c r="U349" s="428" t="s">
        <v>1900</v>
      </c>
      <c r="V349" s="408" t="s">
        <v>703</v>
      </c>
      <c r="W349" s="423">
        <v>45352.0</v>
      </c>
      <c r="X349" s="428" t="s">
        <v>3786</v>
      </c>
      <c r="Y349" s="397" t="s">
        <v>3893</v>
      </c>
      <c r="Z349" s="430"/>
      <c r="AA349" s="408"/>
      <c r="AB349" s="341" t="s">
        <v>316</v>
      </c>
      <c r="AC349" s="408"/>
      <c r="AD349" s="408"/>
      <c r="AE349" s="408"/>
      <c r="AF349" s="408"/>
      <c r="AG349" s="408"/>
      <c r="AH349" s="408"/>
      <c r="AI349" s="408"/>
      <c r="AJ349" s="408"/>
      <c r="AK349" s="408"/>
      <c r="AL349" s="408"/>
      <c r="AM349" s="408"/>
      <c r="AN349" s="387"/>
      <c r="AO349" s="387"/>
      <c r="AP349" s="387"/>
      <c r="AQ349" s="387"/>
      <c r="AR349" s="387"/>
      <c r="AS349" s="387"/>
      <c r="AT349" s="387"/>
    </row>
    <row r="350">
      <c r="A350" s="385">
        <v>2019.0</v>
      </c>
      <c r="B350" s="395">
        <v>45353.571231388894</v>
      </c>
      <c r="C350" s="387" t="s">
        <v>1524</v>
      </c>
      <c r="D350" s="385">
        <v>1.900016004E9</v>
      </c>
      <c r="E350" s="387" t="s">
        <v>1525</v>
      </c>
      <c r="F350" s="387" t="s">
        <v>1526</v>
      </c>
      <c r="G350" s="387" t="s">
        <v>3902</v>
      </c>
      <c r="H350" s="389">
        <v>45062.0</v>
      </c>
      <c r="I350" s="389">
        <v>45110.0</v>
      </c>
      <c r="J350" s="387" t="s">
        <v>399</v>
      </c>
      <c r="K350" s="387" t="s">
        <v>183</v>
      </c>
      <c r="L350" s="387" t="s">
        <v>241</v>
      </c>
      <c r="M350" s="390"/>
      <c r="N350" s="390"/>
      <c r="O350" s="390"/>
      <c r="P350" s="390"/>
      <c r="Q350" s="390"/>
      <c r="R350" s="390"/>
      <c r="S350" s="387" t="s">
        <v>3903</v>
      </c>
      <c r="T350" s="387" t="s">
        <v>183</v>
      </c>
      <c r="U350" s="387" t="s">
        <v>241</v>
      </c>
      <c r="V350" s="408" t="s">
        <v>703</v>
      </c>
      <c r="W350" s="394">
        <v>45360.0</v>
      </c>
      <c r="X350" s="387" t="s">
        <v>3592</v>
      </c>
      <c r="Y350" s="397" t="s">
        <v>3893</v>
      </c>
      <c r="Z350" s="390"/>
      <c r="AA350" s="387"/>
      <c r="AB350" s="341" t="s">
        <v>316</v>
      </c>
      <c r="AC350" s="387"/>
      <c r="AD350" s="387"/>
      <c r="AE350" s="387"/>
      <c r="AF350" s="387"/>
      <c r="AG350" s="387"/>
      <c r="AH350" s="387"/>
      <c r="AI350" s="387"/>
      <c r="AJ350" s="387"/>
      <c r="AK350" s="387"/>
      <c r="AL350" s="387"/>
      <c r="AM350" s="387"/>
      <c r="AN350" s="387"/>
      <c r="AO350" s="387"/>
      <c r="AP350" s="387"/>
      <c r="AQ350" s="387"/>
      <c r="AR350" s="387"/>
      <c r="AS350" s="387"/>
      <c r="AT350" s="387"/>
    </row>
    <row r="351">
      <c r="A351" s="385">
        <v>2019.0</v>
      </c>
      <c r="B351" s="445">
        <v>45357.5496202662</v>
      </c>
      <c r="C351" s="446" t="s">
        <v>1912</v>
      </c>
      <c r="D351" s="447">
        <v>1.900016136E9</v>
      </c>
      <c r="E351" s="446" t="s">
        <v>1913</v>
      </c>
      <c r="F351" s="446" t="s">
        <v>1914</v>
      </c>
      <c r="G351" s="446" t="s">
        <v>3904</v>
      </c>
      <c r="H351" s="448">
        <v>45173.0</v>
      </c>
      <c r="I351" s="448">
        <v>45282.0</v>
      </c>
      <c r="J351" s="446" t="s">
        <v>399</v>
      </c>
      <c r="K351" s="446" t="s">
        <v>3013</v>
      </c>
      <c r="L351" s="446" t="s">
        <v>1900</v>
      </c>
      <c r="M351" s="449"/>
      <c r="N351" s="449"/>
      <c r="O351" s="449"/>
      <c r="P351" s="449"/>
      <c r="Q351" s="449"/>
      <c r="R351" s="449"/>
      <c r="S351" s="446" t="s">
        <v>3905</v>
      </c>
      <c r="T351" s="446" t="s">
        <v>3013</v>
      </c>
      <c r="U351" s="446" t="s">
        <v>1900</v>
      </c>
      <c r="V351" s="387" t="s">
        <v>3159</v>
      </c>
      <c r="W351" s="450">
        <v>45364.0</v>
      </c>
      <c r="X351" s="446" t="s">
        <v>3468</v>
      </c>
      <c r="Y351" s="397" t="s">
        <v>3893</v>
      </c>
      <c r="Z351" s="449"/>
      <c r="AA351" s="387"/>
      <c r="AB351" s="341" t="s">
        <v>316</v>
      </c>
      <c r="AC351" s="387"/>
      <c r="AD351" s="387"/>
      <c r="AE351" s="387"/>
      <c r="AF351" s="387"/>
      <c r="AG351" s="387"/>
      <c r="AH351" s="387"/>
      <c r="AI351" s="387"/>
      <c r="AJ351" s="387"/>
      <c r="AK351" s="387"/>
      <c r="AL351" s="387"/>
      <c r="AM351" s="387"/>
      <c r="AN351" s="387"/>
      <c r="AO351" s="387"/>
      <c r="AP351" s="387"/>
      <c r="AQ351" s="387"/>
      <c r="AR351" s="387"/>
      <c r="AS351" s="387"/>
      <c r="AT351" s="387"/>
    </row>
    <row r="352">
      <c r="A352" s="385">
        <v>2019.0</v>
      </c>
      <c r="B352" s="445">
        <v>45357.55150333333</v>
      </c>
      <c r="C352" s="446" t="s">
        <v>3906</v>
      </c>
      <c r="D352" s="447">
        <v>1.900016091E9</v>
      </c>
      <c r="E352" s="446" t="s">
        <v>3907</v>
      </c>
      <c r="F352" s="446" t="s">
        <v>1919</v>
      </c>
      <c r="G352" s="446" t="s">
        <v>3908</v>
      </c>
      <c r="H352" s="448">
        <v>45218.0</v>
      </c>
      <c r="I352" s="448">
        <v>45646.0</v>
      </c>
      <c r="J352" s="446" t="s">
        <v>399</v>
      </c>
      <c r="K352" s="446" t="s">
        <v>3013</v>
      </c>
      <c r="L352" s="446" t="s">
        <v>1900</v>
      </c>
      <c r="M352" s="449"/>
      <c r="N352" s="449"/>
      <c r="O352" s="449"/>
      <c r="P352" s="449"/>
      <c r="Q352" s="449"/>
      <c r="R352" s="449"/>
      <c r="S352" s="446" t="s">
        <v>3909</v>
      </c>
      <c r="T352" s="446" t="s">
        <v>3013</v>
      </c>
      <c r="U352" s="446" t="s">
        <v>1900</v>
      </c>
      <c r="V352" s="387" t="s">
        <v>117</v>
      </c>
      <c r="W352" s="450">
        <v>45364.0</v>
      </c>
      <c r="X352" s="446" t="s">
        <v>3407</v>
      </c>
      <c r="Y352" s="397" t="s">
        <v>3893</v>
      </c>
      <c r="Z352" s="449"/>
      <c r="AA352" s="387"/>
      <c r="AB352" s="341" t="s">
        <v>316</v>
      </c>
      <c r="AC352" s="387"/>
      <c r="AD352" s="387"/>
      <c r="AE352" s="387"/>
      <c r="AF352" s="387"/>
      <c r="AG352" s="387"/>
      <c r="AH352" s="387"/>
      <c r="AI352" s="387"/>
      <c r="AJ352" s="387"/>
      <c r="AK352" s="387"/>
      <c r="AL352" s="387"/>
      <c r="AM352" s="387"/>
      <c r="AN352" s="387"/>
      <c r="AO352" s="387"/>
      <c r="AP352" s="387"/>
      <c r="AQ352" s="387"/>
      <c r="AR352" s="387"/>
      <c r="AS352" s="387"/>
      <c r="AT352" s="387"/>
    </row>
    <row r="353">
      <c r="A353" s="385">
        <v>2019.0</v>
      </c>
      <c r="B353" s="445">
        <v>45357.577984918986</v>
      </c>
      <c r="C353" s="446" t="s">
        <v>3910</v>
      </c>
      <c r="D353" s="447">
        <v>1.900016135E9</v>
      </c>
      <c r="E353" s="446" t="s">
        <v>1907</v>
      </c>
      <c r="F353" s="446" t="s">
        <v>1908</v>
      </c>
      <c r="G353" s="446" t="s">
        <v>3911</v>
      </c>
      <c r="H353" s="448">
        <v>45170.0</v>
      </c>
      <c r="I353" s="448">
        <v>45282.0</v>
      </c>
      <c r="J353" s="446" t="s">
        <v>399</v>
      </c>
      <c r="K353" s="446" t="s">
        <v>3013</v>
      </c>
      <c r="L353" s="446" t="s">
        <v>1900</v>
      </c>
      <c r="M353" s="449"/>
      <c r="N353" s="449"/>
      <c r="O353" s="449"/>
      <c r="P353" s="449"/>
      <c r="Q353" s="449"/>
      <c r="R353" s="449"/>
      <c r="S353" s="446" t="s">
        <v>3912</v>
      </c>
      <c r="T353" s="446" t="s">
        <v>3013</v>
      </c>
      <c r="U353" s="446" t="s">
        <v>1900</v>
      </c>
      <c r="V353" s="408" t="s">
        <v>703</v>
      </c>
      <c r="W353" s="450">
        <v>45366.0</v>
      </c>
      <c r="X353" s="446" t="s">
        <v>3791</v>
      </c>
      <c r="Y353" s="397" t="s">
        <v>3893</v>
      </c>
      <c r="Z353" s="449"/>
      <c r="AA353" s="387"/>
      <c r="AB353" s="341" t="s">
        <v>316</v>
      </c>
      <c r="AC353" s="387"/>
      <c r="AD353" s="387"/>
      <c r="AE353" s="387"/>
      <c r="AF353" s="387"/>
      <c r="AG353" s="387"/>
      <c r="AH353" s="387"/>
      <c r="AI353" s="387"/>
      <c r="AJ353" s="387"/>
      <c r="AK353" s="387"/>
      <c r="AL353" s="387"/>
      <c r="AM353" s="387"/>
      <c r="AN353" s="387"/>
      <c r="AO353" s="387"/>
      <c r="AP353" s="387"/>
      <c r="AQ353" s="387"/>
      <c r="AR353" s="387"/>
      <c r="AS353" s="387"/>
      <c r="AT353" s="387"/>
    </row>
    <row r="354">
      <c r="A354" s="385">
        <v>2019.0</v>
      </c>
      <c r="B354" s="445">
        <v>45358.445377118056</v>
      </c>
      <c r="C354" s="446" t="s">
        <v>1595</v>
      </c>
      <c r="D354" s="447">
        <v>1.900016078E9</v>
      </c>
      <c r="E354" s="446" t="s">
        <v>1596</v>
      </c>
      <c r="F354" s="446" t="s">
        <v>1597</v>
      </c>
      <c r="G354" s="446" t="s">
        <v>3913</v>
      </c>
      <c r="H354" s="448">
        <v>45062.0</v>
      </c>
      <c r="I354" s="448">
        <v>45131.0</v>
      </c>
      <c r="J354" s="446" t="s">
        <v>399</v>
      </c>
      <c r="K354" s="446" t="s">
        <v>183</v>
      </c>
      <c r="L354" s="446" t="s">
        <v>241</v>
      </c>
      <c r="M354" s="449"/>
      <c r="N354" s="449"/>
      <c r="O354" s="449"/>
      <c r="P354" s="449"/>
      <c r="Q354" s="449"/>
      <c r="R354" s="449"/>
      <c r="S354" s="446" t="s">
        <v>3914</v>
      </c>
      <c r="T354" s="446" t="s">
        <v>183</v>
      </c>
      <c r="U354" s="446" t="s">
        <v>241</v>
      </c>
      <c r="V354" s="387" t="s">
        <v>3170</v>
      </c>
      <c r="W354" s="450">
        <v>45367.0</v>
      </c>
      <c r="X354" s="446" t="s">
        <v>3791</v>
      </c>
      <c r="Y354" s="397" t="s">
        <v>3893</v>
      </c>
      <c r="Z354" s="449"/>
      <c r="AA354" s="387"/>
      <c r="AB354" s="341" t="s">
        <v>316</v>
      </c>
      <c r="AC354" s="387"/>
      <c r="AD354" s="387"/>
      <c r="AE354" s="387"/>
      <c r="AF354" s="387"/>
      <c r="AG354" s="387"/>
      <c r="AH354" s="387"/>
      <c r="AI354" s="387"/>
      <c r="AJ354" s="387"/>
      <c r="AK354" s="387"/>
      <c r="AL354" s="387"/>
      <c r="AM354" s="387"/>
      <c r="AN354" s="387"/>
      <c r="AO354" s="387"/>
      <c r="AP354" s="387"/>
      <c r="AQ354" s="387"/>
      <c r="AR354" s="387"/>
      <c r="AS354" s="387"/>
      <c r="AT354" s="387"/>
    </row>
    <row r="355">
      <c r="A355" s="385">
        <v>2020.0</v>
      </c>
      <c r="B355" s="395">
        <v>45366.47865351852</v>
      </c>
      <c r="C355" s="387" t="s">
        <v>1973</v>
      </c>
      <c r="D355" s="385">
        <v>2.000016077E9</v>
      </c>
      <c r="E355" s="387" t="s">
        <v>1974</v>
      </c>
      <c r="F355" s="387" t="s">
        <v>1975</v>
      </c>
      <c r="G355" s="387" t="s">
        <v>3915</v>
      </c>
      <c r="H355" s="389">
        <v>45244.0</v>
      </c>
      <c r="I355" s="389">
        <v>45309.0</v>
      </c>
      <c r="J355" s="387" t="s">
        <v>399</v>
      </c>
      <c r="K355" s="387" t="s">
        <v>3013</v>
      </c>
      <c r="L355" s="387" t="s">
        <v>1900</v>
      </c>
      <c r="M355" s="390"/>
      <c r="N355" s="390"/>
      <c r="O355" s="390"/>
      <c r="P355" s="390"/>
      <c r="Q355" s="390"/>
      <c r="R355" s="390"/>
      <c r="S355" s="387" t="s">
        <v>3916</v>
      </c>
      <c r="T355" s="387" t="s">
        <v>3013</v>
      </c>
      <c r="U355" s="387" t="s">
        <v>1900</v>
      </c>
      <c r="V355" s="387" t="s">
        <v>3170</v>
      </c>
      <c r="W355" s="394">
        <v>45371.0</v>
      </c>
      <c r="X355" s="387" t="s">
        <v>3406</v>
      </c>
      <c r="Y355" s="397" t="s">
        <v>3893</v>
      </c>
      <c r="Z355" s="390"/>
      <c r="AA355" s="434"/>
      <c r="AB355" s="341" t="s">
        <v>316</v>
      </c>
      <c r="AC355" s="387"/>
      <c r="AD355" s="387"/>
      <c r="AE355" s="387"/>
      <c r="AF355" s="387"/>
      <c r="AG355" s="387"/>
      <c r="AH355" s="387"/>
      <c r="AI355" s="387"/>
      <c r="AJ355" s="387"/>
      <c r="AK355" s="387"/>
      <c r="AL355" s="387"/>
      <c r="AM355" s="387"/>
      <c r="AN355" s="387"/>
      <c r="AO355" s="387"/>
      <c r="AP355" s="387"/>
      <c r="AQ355" s="387"/>
      <c r="AR355" s="387"/>
      <c r="AS355" s="387"/>
      <c r="AT355" s="387"/>
    </row>
    <row r="356">
      <c r="A356" s="385">
        <v>2019.0</v>
      </c>
      <c r="B356" s="395">
        <v>45366.71512399306</v>
      </c>
      <c r="C356" s="387" t="s">
        <v>3917</v>
      </c>
      <c r="D356" s="385">
        <v>1.900016093E9</v>
      </c>
      <c r="E356" s="387" t="s">
        <v>1515</v>
      </c>
      <c r="F356" s="387" t="s">
        <v>3918</v>
      </c>
      <c r="G356" s="387" t="s">
        <v>3919</v>
      </c>
      <c r="H356" s="389">
        <v>45122.0</v>
      </c>
      <c r="I356" s="389">
        <v>45110.0</v>
      </c>
      <c r="J356" s="387" t="s">
        <v>399</v>
      </c>
      <c r="K356" s="387" t="s">
        <v>3013</v>
      </c>
      <c r="L356" s="387" t="s">
        <v>1900</v>
      </c>
      <c r="M356" s="390"/>
      <c r="N356" s="390"/>
      <c r="O356" s="390"/>
      <c r="P356" s="390"/>
      <c r="Q356" s="390"/>
      <c r="R356" s="390"/>
      <c r="S356" s="387" t="s">
        <v>3920</v>
      </c>
      <c r="T356" s="387" t="s">
        <v>3013</v>
      </c>
      <c r="U356" s="387" t="s">
        <v>1900</v>
      </c>
      <c r="V356" s="387" t="s">
        <v>230</v>
      </c>
      <c r="W356" s="451">
        <v>45371.0</v>
      </c>
      <c r="X356" s="387" t="s">
        <v>3468</v>
      </c>
      <c r="Y356" s="397" t="s">
        <v>3893</v>
      </c>
      <c r="Z356" s="390"/>
      <c r="AA356" s="434"/>
      <c r="AB356" s="341" t="s">
        <v>316</v>
      </c>
      <c r="AC356" s="387"/>
      <c r="AD356" s="387"/>
      <c r="AE356" s="387"/>
      <c r="AF356" s="387"/>
      <c r="AG356" s="387"/>
      <c r="AH356" s="387"/>
      <c r="AI356" s="387"/>
      <c r="AJ356" s="387"/>
      <c r="AK356" s="387"/>
      <c r="AL356" s="387"/>
      <c r="AM356" s="387"/>
      <c r="AN356" s="387"/>
      <c r="AO356" s="387"/>
      <c r="AP356" s="387"/>
      <c r="AQ356" s="387"/>
      <c r="AR356" s="387"/>
      <c r="AS356" s="387"/>
      <c r="AT356" s="387"/>
    </row>
    <row r="357">
      <c r="A357" s="385">
        <v>2019.0</v>
      </c>
      <c r="B357" s="395">
        <v>45368.17898614584</v>
      </c>
      <c r="C357" s="387" t="s">
        <v>1622</v>
      </c>
      <c r="D357" s="385">
        <v>1.90001606E9</v>
      </c>
      <c r="E357" s="387" t="s">
        <v>1623</v>
      </c>
      <c r="F357" s="387" t="s">
        <v>1624</v>
      </c>
      <c r="G357" s="387" t="s">
        <v>3921</v>
      </c>
      <c r="H357" s="389">
        <v>45117.0</v>
      </c>
      <c r="I357" s="389">
        <v>45139.0</v>
      </c>
      <c r="J357" s="387" t="s">
        <v>399</v>
      </c>
      <c r="K357" s="387" t="s">
        <v>3013</v>
      </c>
      <c r="L357" s="387" t="s">
        <v>2922</v>
      </c>
      <c r="M357" s="390"/>
      <c r="N357" s="390"/>
      <c r="O357" s="390"/>
      <c r="P357" s="390"/>
      <c r="Q357" s="390"/>
      <c r="R357" s="390"/>
      <c r="S357" s="387" t="s">
        <v>3922</v>
      </c>
      <c r="T357" s="387" t="s">
        <v>3013</v>
      </c>
      <c r="U357" s="387" t="s">
        <v>2922</v>
      </c>
      <c r="V357" s="387" t="s">
        <v>117</v>
      </c>
      <c r="W357" s="394">
        <v>45378.0</v>
      </c>
      <c r="X357" s="387" t="s">
        <v>3791</v>
      </c>
      <c r="Y357" s="397" t="s">
        <v>3893</v>
      </c>
      <c r="Z357" s="390"/>
      <c r="AA357" s="387"/>
      <c r="AB357" s="341" t="s">
        <v>316</v>
      </c>
      <c r="AC357" s="387"/>
      <c r="AD357" s="387"/>
      <c r="AE357" s="387"/>
      <c r="AF357" s="387"/>
      <c r="AG357" s="387"/>
      <c r="AH357" s="387"/>
      <c r="AI357" s="387"/>
      <c r="AJ357" s="387"/>
      <c r="AK357" s="387"/>
      <c r="AL357" s="387"/>
      <c r="AM357" s="387"/>
      <c r="AN357" s="387"/>
      <c r="AO357" s="387"/>
      <c r="AP357" s="387"/>
      <c r="AQ357" s="387"/>
      <c r="AR357" s="387"/>
      <c r="AS357" s="387"/>
      <c r="AT357" s="387"/>
    </row>
    <row r="358">
      <c r="A358" s="385">
        <v>2018.0</v>
      </c>
      <c r="B358" s="395">
        <v>45370.61884030092</v>
      </c>
      <c r="C358" s="387" t="s">
        <v>3923</v>
      </c>
      <c r="D358" s="385">
        <v>1.800016128E9</v>
      </c>
      <c r="E358" s="387" t="s">
        <v>1771</v>
      </c>
      <c r="F358" s="387" t="s">
        <v>1772</v>
      </c>
      <c r="G358" s="387" t="s">
        <v>3924</v>
      </c>
      <c r="H358" s="389">
        <v>45323.0</v>
      </c>
      <c r="I358" s="389">
        <v>45202.0</v>
      </c>
      <c r="J358" s="387" t="s">
        <v>399</v>
      </c>
      <c r="K358" s="387" t="s">
        <v>1900</v>
      </c>
      <c r="L358" s="387" t="s">
        <v>2922</v>
      </c>
      <c r="M358" s="390"/>
      <c r="N358" s="390"/>
      <c r="O358" s="390"/>
      <c r="P358" s="390"/>
      <c r="Q358" s="390"/>
      <c r="R358" s="390"/>
      <c r="S358" s="387" t="s">
        <v>3925</v>
      </c>
      <c r="T358" s="387" t="s">
        <v>1900</v>
      </c>
      <c r="U358" s="387" t="s">
        <v>2922</v>
      </c>
      <c r="V358" s="387" t="s">
        <v>230</v>
      </c>
      <c r="W358" s="394">
        <v>45378.0</v>
      </c>
      <c r="X358" s="387" t="s">
        <v>3468</v>
      </c>
      <c r="Y358" s="397" t="s">
        <v>3893</v>
      </c>
      <c r="Z358" s="390"/>
      <c r="AA358" s="387"/>
      <c r="AB358" s="341" t="s">
        <v>316</v>
      </c>
      <c r="AC358" s="387"/>
      <c r="AD358" s="387"/>
      <c r="AE358" s="387"/>
      <c r="AF358" s="387"/>
      <c r="AG358" s="387"/>
      <c r="AH358" s="387"/>
      <c r="AI358" s="387"/>
      <c r="AJ358" s="387"/>
      <c r="AK358" s="387"/>
      <c r="AL358" s="387"/>
      <c r="AM358" s="387"/>
      <c r="AN358" s="387"/>
      <c r="AO358" s="387"/>
      <c r="AP358" s="387"/>
      <c r="AQ358" s="387"/>
      <c r="AR358" s="387"/>
      <c r="AS358" s="387"/>
      <c r="AT358" s="387"/>
    </row>
    <row r="359">
      <c r="A359" s="385">
        <v>2019.0</v>
      </c>
      <c r="B359" s="395">
        <v>45378.443990486114</v>
      </c>
      <c r="C359" s="387" t="s">
        <v>1795</v>
      </c>
      <c r="D359" s="385">
        <v>1.900016092E9</v>
      </c>
      <c r="E359" s="387" t="s">
        <v>3926</v>
      </c>
      <c r="F359" s="387" t="s">
        <v>1797</v>
      </c>
      <c r="G359" s="387" t="s">
        <v>3927</v>
      </c>
      <c r="H359" s="387" t="s">
        <v>3928</v>
      </c>
      <c r="I359" s="389">
        <v>45208.0</v>
      </c>
      <c r="J359" s="387" t="s">
        <v>399</v>
      </c>
      <c r="K359" s="387" t="s">
        <v>117</v>
      </c>
      <c r="L359" s="387" t="s">
        <v>1900</v>
      </c>
      <c r="M359" s="390"/>
      <c r="N359" s="390"/>
      <c r="O359" s="390"/>
      <c r="P359" s="390"/>
      <c r="Q359" s="390"/>
      <c r="R359" s="390"/>
      <c r="S359" s="387" t="s">
        <v>3929</v>
      </c>
      <c r="T359" s="387" t="s">
        <v>117</v>
      </c>
      <c r="U359" s="387" t="s">
        <v>1900</v>
      </c>
      <c r="V359" s="387" t="s">
        <v>3683</v>
      </c>
      <c r="W359" s="411">
        <v>45385.0</v>
      </c>
      <c r="X359" s="387" t="s">
        <v>3791</v>
      </c>
      <c r="Y359" s="397" t="s">
        <v>3893</v>
      </c>
      <c r="Z359" s="390"/>
      <c r="AA359" s="387"/>
      <c r="AB359" s="341" t="s">
        <v>316</v>
      </c>
      <c r="AC359" s="387"/>
      <c r="AD359" s="387"/>
      <c r="AE359" s="387"/>
      <c r="AF359" s="387"/>
      <c r="AG359" s="387"/>
      <c r="AH359" s="387"/>
      <c r="AI359" s="387"/>
      <c r="AJ359" s="387"/>
      <c r="AK359" s="387"/>
      <c r="AL359" s="387"/>
      <c r="AM359" s="387"/>
      <c r="AN359" s="387"/>
      <c r="AO359" s="387"/>
      <c r="AP359" s="387"/>
      <c r="AQ359" s="387"/>
      <c r="AR359" s="387"/>
      <c r="AS359" s="387"/>
      <c r="AT359" s="387"/>
    </row>
    <row r="360">
      <c r="A360" s="385">
        <v>2019.0</v>
      </c>
      <c r="B360" s="395">
        <v>45378.47651577547</v>
      </c>
      <c r="C360" s="387" t="s">
        <v>1726</v>
      </c>
      <c r="D360" s="385">
        <v>1.900016142E9</v>
      </c>
      <c r="E360" s="387" t="s">
        <v>1727</v>
      </c>
      <c r="F360" s="387" t="s">
        <v>3930</v>
      </c>
      <c r="G360" s="387" t="s">
        <v>3931</v>
      </c>
      <c r="H360" s="389">
        <v>45194.0</v>
      </c>
      <c r="I360" s="389">
        <v>45180.0</v>
      </c>
      <c r="J360" s="387" t="s">
        <v>399</v>
      </c>
      <c r="K360" s="387" t="s">
        <v>183</v>
      </c>
      <c r="L360" s="387" t="s">
        <v>241</v>
      </c>
      <c r="M360" s="390"/>
      <c r="N360" s="390"/>
      <c r="O360" s="390"/>
      <c r="P360" s="390"/>
      <c r="Q360" s="390"/>
      <c r="R360" s="390"/>
      <c r="S360" s="387" t="s">
        <v>3932</v>
      </c>
      <c r="T360" s="387" t="s">
        <v>183</v>
      </c>
      <c r="U360" s="387" t="s">
        <v>241</v>
      </c>
      <c r="V360" s="387" t="s">
        <v>2951</v>
      </c>
      <c r="W360" s="411">
        <v>45385.0</v>
      </c>
      <c r="X360" s="387" t="s">
        <v>3468</v>
      </c>
      <c r="Y360" s="397" t="s">
        <v>3893</v>
      </c>
      <c r="Z360" s="390"/>
      <c r="AA360" s="387"/>
      <c r="AB360" s="341" t="s">
        <v>316</v>
      </c>
      <c r="AC360" s="387"/>
      <c r="AD360" s="387"/>
      <c r="AE360" s="387"/>
      <c r="AF360" s="387"/>
      <c r="AG360" s="387"/>
      <c r="AH360" s="387"/>
      <c r="AI360" s="387"/>
      <c r="AJ360" s="387"/>
      <c r="AK360" s="387"/>
      <c r="AL360" s="387"/>
      <c r="AM360" s="387"/>
      <c r="AN360" s="387"/>
      <c r="AO360" s="387"/>
      <c r="AP360" s="387"/>
      <c r="AQ360" s="387"/>
      <c r="AR360" s="387"/>
      <c r="AS360" s="387"/>
      <c r="AT360" s="387"/>
    </row>
    <row r="361">
      <c r="A361" s="385">
        <v>2019.0</v>
      </c>
      <c r="B361" s="395">
        <v>45380.53377005787</v>
      </c>
      <c r="C361" s="387" t="s">
        <v>1875</v>
      </c>
      <c r="D361" s="385">
        <v>1.900016124E9</v>
      </c>
      <c r="E361" s="387" t="s">
        <v>1876</v>
      </c>
      <c r="F361" s="387" t="s">
        <v>1877</v>
      </c>
      <c r="G361" s="387" t="s">
        <v>3933</v>
      </c>
      <c r="H361" s="389">
        <v>45222.0</v>
      </c>
      <c r="I361" s="389">
        <v>45266.0</v>
      </c>
      <c r="J361" s="387" t="s">
        <v>399</v>
      </c>
      <c r="K361" s="387" t="s">
        <v>2379</v>
      </c>
      <c r="L361" s="387" t="s">
        <v>183</v>
      </c>
      <c r="M361" s="390"/>
      <c r="N361" s="390"/>
      <c r="O361" s="390"/>
      <c r="P361" s="390"/>
      <c r="Q361" s="390"/>
      <c r="R361" s="390"/>
      <c r="S361" s="387" t="s">
        <v>3934</v>
      </c>
      <c r="T361" s="387" t="s">
        <v>2379</v>
      </c>
      <c r="U361" s="387" t="s">
        <v>183</v>
      </c>
      <c r="V361" s="387" t="s">
        <v>241</v>
      </c>
      <c r="W361" s="411">
        <v>45384.0</v>
      </c>
      <c r="X361" s="387" t="s">
        <v>2492</v>
      </c>
      <c r="Y361" s="397" t="s">
        <v>1948</v>
      </c>
      <c r="Z361" s="390"/>
      <c r="AA361" s="387"/>
      <c r="AB361" s="341" t="s">
        <v>316</v>
      </c>
      <c r="AC361" s="387"/>
      <c r="AD361" s="387"/>
      <c r="AE361" s="387"/>
      <c r="AF361" s="387"/>
      <c r="AG361" s="387"/>
      <c r="AH361" s="387"/>
      <c r="AI361" s="387"/>
      <c r="AJ361" s="387"/>
      <c r="AK361" s="387"/>
      <c r="AL361" s="387"/>
      <c r="AM361" s="387"/>
      <c r="AN361" s="387"/>
      <c r="AO361" s="387"/>
      <c r="AP361" s="387"/>
      <c r="AQ361" s="387"/>
      <c r="AR361" s="387"/>
      <c r="AS361" s="387"/>
      <c r="AT361" s="387"/>
    </row>
    <row r="362">
      <c r="A362" s="385">
        <v>2019.0</v>
      </c>
      <c r="B362" s="395">
        <v>45409.71086734954</v>
      </c>
      <c r="C362" s="387" t="s">
        <v>1648</v>
      </c>
      <c r="D362" s="385">
        <v>1.900016027E9</v>
      </c>
      <c r="E362" s="387" t="s">
        <v>1649</v>
      </c>
      <c r="F362" s="387" t="s">
        <v>1650</v>
      </c>
      <c r="G362" s="387" t="s">
        <v>3935</v>
      </c>
      <c r="H362" s="389">
        <v>45019.0</v>
      </c>
      <c r="I362" s="389">
        <v>45150.0</v>
      </c>
      <c r="J362" s="387" t="s">
        <v>399</v>
      </c>
      <c r="K362" s="387" t="s">
        <v>117</v>
      </c>
      <c r="L362" s="387" t="s">
        <v>2379</v>
      </c>
      <c r="M362" s="390"/>
      <c r="N362" s="390"/>
      <c r="O362" s="390"/>
      <c r="P362" s="390"/>
      <c r="Q362" s="390"/>
      <c r="R362" s="390"/>
      <c r="S362" s="387" t="s">
        <v>3936</v>
      </c>
      <c r="T362" s="387" t="s">
        <v>117</v>
      </c>
      <c r="U362" s="387" t="s">
        <v>2379</v>
      </c>
      <c r="V362" s="387" t="s">
        <v>703</v>
      </c>
      <c r="W362" s="411">
        <v>45415.0</v>
      </c>
      <c r="X362" s="387" t="s">
        <v>3640</v>
      </c>
      <c r="Y362" s="397" t="s">
        <v>1948</v>
      </c>
      <c r="Z362" s="390"/>
      <c r="AA362" s="387"/>
      <c r="AB362" s="341" t="s">
        <v>316</v>
      </c>
      <c r="AC362" s="387"/>
      <c r="AD362" s="387"/>
      <c r="AE362" s="387"/>
      <c r="AF362" s="387"/>
      <c r="AG362" s="387"/>
      <c r="AH362" s="387"/>
      <c r="AI362" s="387"/>
      <c r="AJ362" s="387"/>
      <c r="AK362" s="387"/>
      <c r="AL362" s="387"/>
      <c r="AM362" s="387"/>
      <c r="AN362" s="387"/>
      <c r="AO362" s="387"/>
      <c r="AP362" s="387"/>
      <c r="AQ362" s="387"/>
      <c r="AR362" s="387"/>
      <c r="AS362" s="387"/>
      <c r="AT362" s="387"/>
    </row>
    <row r="363">
      <c r="A363" s="385">
        <v>2019.0</v>
      </c>
      <c r="B363" s="395">
        <v>45413.03369715277</v>
      </c>
      <c r="C363" s="387" t="s">
        <v>1653</v>
      </c>
      <c r="D363" s="385">
        <v>1.90001602E9</v>
      </c>
      <c r="E363" s="387" t="s">
        <v>1654</v>
      </c>
      <c r="F363" s="387" t="s">
        <v>1655</v>
      </c>
      <c r="G363" s="387" t="s">
        <v>3937</v>
      </c>
      <c r="H363" s="389">
        <v>45019.0</v>
      </c>
      <c r="I363" s="389">
        <v>45149.0</v>
      </c>
      <c r="J363" s="387" t="s">
        <v>399</v>
      </c>
      <c r="K363" s="387" t="s">
        <v>117</v>
      </c>
      <c r="L363" s="387" t="s">
        <v>183</v>
      </c>
      <c r="M363" s="390"/>
      <c r="N363" s="390"/>
      <c r="O363" s="390"/>
      <c r="P363" s="390"/>
      <c r="Q363" s="390"/>
      <c r="R363" s="390"/>
      <c r="S363" s="387" t="s">
        <v>3938</v>
      </c>
      <c r="T363" s="387" t="s">
        <v>117</v>
      </c>
      <c r="U363" s="387" t="s">
        <v>183</v>
      </c>
      <c r="V363" s="387" t="s">
        <v>2951</v>
      </c>
      <c r="W363" s="411">
        <v>45420.0</v>
      </c>
      <c r="X363" s="387" t="s">
        <v>3345</v>
      </c>
      <c r="Y363" s="397" t="s">
        <v>1948</v>
      </c>
      <c r="Z363" s="390"/>
      <c r="AA363" s="387"/>
      <c r="AB363" s="341" t="s">
        <v>316</v>
      </c>
      <c r="AC363" s="387"/>
      <c r="AD363" s="387"/>
      <c r="AE363" s="387"/>
      <c r="AF363" s="387"/>
      <c r="AG363" s="387"/>
      <c r="AH363" s="387"/>
      <c r="AI363" s="387"/>
      <c r="AJ363" s="387"/>
      <c r="AK363" s="387"/>
      <c r="AL363" s="387"/>
      <c r="AM363" s="387"/>
      <c r="AN363" s="387"/>
      <c r="AO363" s="387"/>
      <c r="AP363" s="387"/>
      <c r="AQ363" s="387"/>
      <c r="AR363" s="387"/>
      <c r="AS363" s="387"/>
      <c r="AT363" s="387"/>
    </row>
    <row r="364">
      <c r="A364" s="385">
        <v>2017.0</v>
      </c>
      <c r="B364" s="395">
        <v>45423.57774100694</v>
      </c>
      <c r="C364" s="387" t="s">
        <v>3939</v>
      </c>
      <c r="D364" s="385">
        <v>1.700016072E9</v>
      </c>
      <c r="E364" s="387" t="s">
        <v>1678</v>
      </c>
      <c r="F364" s="387" t="s">
        <v>1679</v>
      </c>
      <c r="G364" s="387" t="s">
        <v>3940</v>
      </c>
      <c r="H364" s="389">
        <v>45151.0</v>
      </c>
      <c r="I364" s="389">
        <v>45162.0</v>
      </c>
      <c r="J364" s="387" t="s">
        <v>399</v>
      </c>
      <c r="K364" s="387" t="s">
        <v>241</v>
      </c>
      <c r="L364" s="387" t="s">
        <v>117</v>
      </c>
      <c r="M364" s="390"/>
      <c r="N364" s="390"/>
      <c r="O364" s="390"/>
      <c r="P364" s="390"/>
      <c r="Q364" s="390"/>
      <c r="R364" s="390"/>
      <c r="S364" s="387" t="s">
        <v>3941</v>
      </c>
      <c r="T364" s="387" t="s">
        <v>241</v>
      </c>
      <c r="U364" s="387" t="s">
        <v>117</v>
      </c>
      <c r="V364" s="387" t="s">
        <v>2951</v>
      </c>
      <c r="W364" s="394">
        <v>45430.0</v>
      </c>
      <c r="X364" s="387" t="s">
        <v>3345</v>
      </c>
      <c r="Y364" s="397" t="s">
        <v>1948</v>
      </c>
      <c r="Z364" s="390"/>
      <c r="AA364" s="387"/>
      <c r="AB364" s="341" t="s">
        <v>316</v>
      </c>
      <c r="AC364" s="387"/>
      <c r="AD364" s="387"/>
      <c r="AE364" s="387"/>
      <c r="AF364" s="387"/>
      <c r="AG364" s="387"/>
      <c r="AH364" s="387"/>
      <c r="AI364" s="387"/>
      <c r="AJ364" s="387"/>
      <c r="AK364" s="387"/>
      <c r="AL364" s="387"/>
      <c r="AM364" s="387"/>
      <c r="AN364" s="387"/>
      <c r="AO364" s="387"/>
      <c r="AP364" s="387"/>
      <c r="AQ364" s="387"/>
      <c r="AR364" s="387"/>
      <c r="AS364" s="387"/>
      <c r="AT364" s="387"/>
    </row>
    <row r="365">
      <c r="A365" s="385">
        <v>2018.0</v>
      </c>
      <c r="B365" s="395">
        <v>45425.482085891206</v>
      </c>
      <c r="C365" s="387" t="s">
        <v>1871</v>
      </c>
      <c r="D365" s="385">
        <v>1.800016039E9</v>
      </c>
      <c r="E365" s="387" t="s">
        <v>1872</v>
      </c>
      <c r="F365" s="387" t="s">
        <v>1873</v>
      </c>
      <c r="G365" s="387" t="s">
        <v>3942</v>
      </c>
      <c r="H365" s="389">
        <v>45299.0</v>
      </c>
      <c r="I365" s="389">
        <v>45281.0</v>
      </c>
      <c r="J365" s="387" t="s">
        <v>399</v>
      </c>
      <c r="K365" s="387" t="s">
        <v>241</v>
      </c>
      <c r="L365" s="387" t="s">
        <v>183</v>
      </c>
      <c r="M365" s="390"/>
      <c r="N365" s="390"/>
      <c r="O365" s="390"/>
      <c r="P365" s="390"/>
      <c r="Q365" s="390"/>
      <c r="R365" s="390"/>
      <c r="S365" s="387" t="s">
        <v>3943</v>
      </c>
      <c r="T365" s="387" t="s">
        <v>241</v>
      </c>
      <c r="U365" s="387" t="s">
        <v>183</v>
      </c>
      <c r="V365" s="387" t="s">
        <v>117</v>
      </c>
      <c r="W365" s="394">
        <v>45432.0</v>
      </c>
      <c r="X365" s="387" t="s">
        <v>3944</v>
      </c>
      <c r="Y365" s="397" t="s">
        <v>1948</v>
      </c>
      <c r="Z365" s="390"/>
      <c r="AA365" s="438"/>
      <c r="AB365" s="341" t="s">
        <v>316</v>
      </c>
      <c r="AC365" s="387"/>
      <c r="AD365" s="387"/>
      <c r="AE365" s="387"/>
      <c r="AF365" s="387"/>
      <c r="AG365" s="387"/>
      <c r="AH365" s="387"/>
      <c r="AI365" s="387"/>
      <c r="AJ365" s="387"/>
      <c r="AK365" s="387"/>
      <c r="AL365" s="387"/>
      <c r="AM365" s="387"/>
      <c r="AN365" s="387"/>
      <c r="AO365" s="387"/>
      <c r="AP365" s="387"/>
      <c r="AQ365" s="387"/>
      <c r="AR365" s="387"/>
      <c r="AS365" s="387"/>
      <c r="AT365" s="387"/>
    </row>
    <row r="366">
      <c r="A366" s="385">
        <v>2020.0</v>
      </c>
      <c r="B366" s="395">
        <v>45430.50511790509</v>
      </c>
      <c r="C366" s="387" t="s">
        <v>3945</v>
      </c>
      <c r="D366" s="385">
        <v>2.000016038E9</v>
      </c>
      <c r="E366" s="387" t="s">
        <v>1993</v>
      </c>
      <c r="F366" s="387" t="s">
        <v>1994</v>
      </c>
      <c r="G366" s="387" t="s">
        <v>3946</v>
      </c>
      <c r="H366" s="389">
        <v>45352.0</v>
      </c>
      <c r="I366" s="389">
        <v>45309.0</v>
      </c>
      <c r="J366" s="387" t="s">
        <v>399</v>
      </c>
      <c r="K366" s="387" t="s">
        <v>3013</v>
      </c>
      <c r="L366" s="387" t="s">
        <v>1900</v>
      </c>
      <c r="M366" s="390"/>
      <c r="N366" s="390"/>
      <c r="O366" s="390"/>
      <c r="P366" s="390"/>
      <c r="Q366" s="390"/>
      <c r="R366" s="390"/>
      <c r="S366" s="387" t="s">
        <v>3947</v>
      </c>
      <c r="T366" s="387" t="s">
        <v>3013</v>
      </c>
      <c r="U366" s="387" t="s">
        <v>1900</v>
      </c>
      <c r="V366" s="387" t="s">
        <v>3683</v>
      </c>
      <c r="W366" s="394">
        <v>45439.0</v>
      </c>
      <c r="X366" s="387" t="s">
        <v>3345</v>
      </c>
      <c r="Y366" s="397" t="s">
        <v>1948</v>
      </c>
      <c r="Z366" s="390"/>
      <c r="AA366" s="438"/>
      <c r="AB366" s="341" t="s">
        <v>316</v>
      </c>
      <c r="AC366" s="387"/>
      <c r="AD366" s="387"/>
      <c r="AE366" s="387"/>
      <c r="AF366" s="387"/>
      <c r="AG366" s="387"/>
      <c r="AH366" s="387"/>
      <c r="AI366" s="387"/>
      <c r="AJ366" s="387"/>
      <c r="AK366" s="387"/>
      <c r="AL366" s="387"/>
      <c r="AM366" s="387"/>
      <c r="AN366" s="387"/>
      <c r="AO366" s="387"/>
      <c r="AP366" s="387"/>
      <c r="AQ366" s="387"/>
      <c r="AR366" s="387"/>
      <c r="AS366" s="387"/>
      <c r="AT366" s="387"/>
    </row>
    <row r="367">
      <c r="A367" s="385">
        <v>2019.0</v>
      </c>
      <c r="B367" s="395">
        <v>45430.62270128472</v>
      </c>
      <c r="C367" s="387" t="s">
        <v>1576</v>
      </c>
      <c r="D367" s="385">
        <v>1.900016077E9</v>
      </c>
      <c r="E367" s="387" t="s">
        <v>1577</v>
      </c>
      <c r="F367" s="387" t="s">
        <v>3948</v>
      </c>
      <c r="G367" s="387" t="s">
        <v>3949</v>
      </c>
      <c r="H367" s="389">
        <v>45061.0</v>
      </c>
      <c r="I367" s="389">
        <v>45122.0</v>
      </c>
      <c r="J367" s="387" t="s">
        <v>399</v>
      </c>
      <c r="K367" s="387" t="s">
        <v>117</v>
      </c>
      <c r="L367" s="387" t="s">
        <v>1900</v>
      </c>
      <c r="M367" s="390"/>
      <c r="N367" s="390"/>
      <c r="O367" s="390"/>
      <c r="P367" s="390"/>
      <c r="Q367" s="390"/>
      <c r="R367" s="390"/>
      <c r="S367" s="387" t="s">
        <v>3950</v>
      </c>
      <c r="T367" s="387" t="s">
        <v>117</v>
      </c>
      <c r="U367" s="387" t="s">
        <v>1900</v>
      </c>
      <c r="V367" s="387" t="s">
        <v>183</v>
      </c>
      <c r="W367" s="394">
        <v>45440.0</v>
      </c>
      <c r="X367" s="387" t="s">
        <v>3944</v>
      </c>
      <c r="Y367" s="397" t="s">
        <v>1948</v>
      </c>
      <c r="Z367" s="390"/>
      <c r="AA367" s="438"/>
      <c r="AB367" s="341" t="s">
        <v>316</v>
      </c>
      <c r="AC367" s="387"/>
      <c r="AD367" s="387"/>
      <c r="AE367" s="387"/>
      <c r="AF367" s="387"/>
      <c r="AG367" s="387"/>
      <c r="AH367" s="387"/>
      <c r="AI367" s="387"/>
      <c r="AJ367" s="387"/>
      <c r="AK367" s="387"/>
      <c r="AL367" s="387"/>
      <c r="AM367" s="387"/>
      <c r="AN367" s="387"/>
      <c r="AO367" s="387"/>
      <c r="AP367" s="387"/>
      <c r="AQ367" s="387"/>
      <c r="AR367" s="387"/>
      <c r="AS367" s="387"/>
      <c r="AT367" s="387"/>
    </row>
    <row r="368">
      <c r="A368" s="385">
        <v>2019.0</v>
      </c>
      <c r="B368" s="395">
        <v>45440.558689328696</v>
      </c>
      <c r="C368" s="387" t="s">
        <v>1519</v>
      </c>
      <c r="D368" s="385">
        <v>1.900016105E9</v>
      </c>
      <c r="E368" s="387" t="s">
        <v>3951</v>
      </c>
      <c r="F368" s="387" t="s">
        <v>1521</v>
      </c>
      <c r="G368" s="387" t="s">
        <v>1522</v>
      </c>
      <c r="H368" s="389">
        <v>45016.0</v>
      </c>
      <c r="I368" s="389">
        <v>45110.0</v>
      </c>
      <c r="J368" s="387" t="s">
        <v>399</v>
      </c>
      <c r="K368" s="387" t="s">
        <v>1900</v>
      </c>
      <c r="L368" s="387" t="s">
        <v>3013</v>
      </c>
      <c r="M368" s="390"/>
      <c r="N368" s="390"/>
      <c r="O368" s="390"/>
      <c r="P368" s="390"/>
      <c r="Q368" s="390"/>
      <c r="R368" s="390"/>
      <c r="S368" s="387" t="s">
        <v>3952</v>
      </c>
      <c r="T368" s="387" t="s">
        <v>1900</v>
      </c>
      <c r="U368" s="387" t="s">
        <v>3013</v>
      </c>
      <c r="V368" s="387" t="s">
        <v>230</v>
      </c>
      <c r="W368" s="394">
        <v>45446.0</v>
      </c>
      <c r="X368" s="387" t="s">
        <v>3953</v>
      </c>
      <c r="Y368" s="397" t="s">
        <v>1948</v>
      </c>
      <c r="Z368" s="390"/>
      <c r="AA368" s="434"/>
      <c r="AB368" s="341" t="s">
        <v>316</v>
      </c>
      <c r="AC368" s="387"/>
      <c r="AD368" s="387"/>
      <c r="AE368" s="387"/>
      <c r="AF368" s="387"/>
      <c r="AG368" s="387"/>
      <c r="AH368" s="387"/>
      <c r="AI368" s="387"/>
      <c r="AJ368" s="387"/>
      <c r="AK368" s="387"/>
      <c r="AL368" s="387"/>
      <c r="AM368" s="387"/>
      <c r="AN368" s="387"/>
      <c r="AO368" s="387"/>
      <c r="AP368" s="387"/>
      <c r="AQ368" s="387"/>
      <c r="AR368" s="387"/>
      <c r="AS368" s="387"/>
      <c r="AT368" s="387"/>
    </row>
    <row r="369">
      <c r="A369" s="385">
        <v>2018.0</v>
      </c>
      <c r="B369" s="395">
        <v>45439.355840856486</v>
      </c>
      <c r="C369" s="387" t="s">
        <v>1819</v>
      </c>
      <c r="D369" s="385">
        <v>1.800016127E9</v>
      </c>
      <c r="E369" s="387" t="s">
        <v>1820</v>
      </c>
      <c r="F369" s="387" t="s">
        <v>1821</v>
      </c>
      <c r="G369" s="387" t="s">
        <v>3954</v>
      </c>
      <c r="H369" s="389">
        <v>44890.0</v>
      </c>
      <c r="I369" s="389">
        <v>45250.0</v>
      </c>
      <c r="J369" s="387" t="s">
        <v>399</v>
      </c>
      <c r="K369" s="387" t="s">
        <v>3013</v>
      </c>
      <c r="L369" s="387" t="s">
        <v>2922</v>
      </c>
      <c r="M369" s="390"/>
      <c r="N369" s="390"/>
      <c r="O369" s="390"/>
      <c r="P369" s="390"/>
      <c r="Q369" s="390"/>
      <c r="R369" s="390"/>
      <c r="S369" s="387" t="s">
        <v>3955</v>
      </c>
      <c r="T369" s="387" t="s">
        <v>3013</v>
      </c>
      <c r="U369" s="387" t="s">
        <v>2922</v>
      </c>
      <c r="V369" s="387" t="s">
        <v>2951</v>
      </c>
      <c r="W369" s="394">
        <v>45448.0</v>
      </c>
      <c r="X369" s="387" t="s">
        <v>3345</v>
      </c>
      <c r="Y369" s="397" t="s">
        <v>1948</v>
      </c>
      <c r="Z369" s="390"/>
      <c r="AA369" s="387"/>
      <c r="AB369" s="341" t="s">
        <v>316</v>
      </c>
      <c r="AC369" s="387"/>
      <c r="AD369" s="387"/>
      <c r="AE369" s="387"/>
      <c r="AF369" s="387"/>
      <c r="AG369" s="387"/>
      <c r="AH369" s="387"/>
      <c r="AI369" s="387"/>
      <c r="AJ369" s="387"/>
      <c r="AK369" s="387"/>
      <c r="AL369" s="387"/>
      <c r="AM369" s="387"/>
      <c r="AN369" s="387"/>
      <c r="AO369" s="387"/>
      <c r="AP369" s="387"/>
      <c r="AQ369" s="387"/>
      <c r="AR369" s="387"/>
      <c r="AS369" s="387"/>
      <c r="AT369" s="387"/>
    </row>
    <row r="370">
      <c r="A370" s="419">
        <v>2019.0</v>
      </c>
      <c r="B370" s="435">
        <v>45446.91652333333</v>
      </c>
      <c r="C370" s="408" t="s">
        <v>3956</v>
      </c>
      <c r="D370" s="419">
        <v>1.900016134E9</v>
      </c>
      <c r="E370" s="408" t="s">
        <v>3957</v>
      </c>
      <c r="F370" s="408" t="s">
        <v>3958</v>
      </c>
      <c r="G370" s="408" t="s">
        <v>3959</v>
      </c>
      <c r="H370" s="421">
        <v>45196.0</v>
      </c>
      <c r="I370" s="421">
        <v>45180.0</v>
      </c>
      <c r="J370" s="408" t="s">
        <v>399</v>
      </c>
      <c r="K370" s="408" t="s">
        <v>230</v>
      </c>
      <c r="L370" s="408" t="s">
        <v>1900</v>
      </c>
      <c r="M370" s="422"/>
      <c r="N370" s="422"/>
      <c r="O370" s="422"/>
      <c r="P370" s="422"/>
      <c r="Q370" s="422"/>
      <c r="R370" s="422"/>
      <c r="S370" s="408" t="s">
        <v>3960</v>
      </c>
      <c r="T370" s="408" t="s">
        <v>230</v>
      </c>
      <c r="U370" s="408" t="s">
        <v>1900</v>
      </c>
      <c r="V370" s="408" t="s">
        <v>3802</v>
      </c>
      <c r="W370" s="443">
        <v>45453.0</v>
      </c>
      <c r="X370" s="408" t="s">
        <v>3415</v>
      </c>
      <c r="Y370" s="397" t="s">
        <v>1948</v>
      </c>
      <c r="Z370" s="422"/>
      <c r="AA370" s="408"/>
      <c r="AB370" s="341" t="s">
        <v>316</v>
      </c>
      <c r="AC370" s="408"/>
      <c r="AD370" s="408"/>
      <c r="AE370" s="408"/>
      <c r="AF370" s="408"/>
      <c r="AG370" s="408"/>
      <c r="AH370" s="408"/>
      <c r="AI370" s="408"/>
      <c r="AJ370" s="408"/>
      <c r="AK370" s="408"/>
      <c r="AL370" s="408"/>
      <c r="AM370" s="408"/>
      <c r="AN370" s="408"/>
      <c r="AO370" s="408"/>
      <c r="AP370" s="408"/>
      <c r="AQ370" s="408"/>
      <c r="AR370" s="408"/>
      <c r="AS370" s="408"/>
      <c r="AT370" s="408"/>
    </row>
    <row r="371">
      <c r="A371" s="419">
        <v>2019.0</v>
      </c>
      <c r="B371" s="435">
        <v>45446.91753923611</v>
      </c>
      <c r="C371" s="408" t="s">
        <v>1698</v>
      </c>
      <c r="D371" s="419">
        <v>1.900016125E9</v>
      </c>
      <c r="E371" s="408" t="s">
        <v>3961</v>
      </c>
      <c r="F371" s="408" t="s">
        <v>3962</v>
      </c>
      <c r="G371" s="408" t="s">
        <v>3963</v>
      </c>
      <c r="H371" s="421">
        <v>45187.0</v>
      </c>
      <c r="I371" s="421">
        <v>45180.0</v>
      </c>
      <c r="J371" s="408" t="s">
        <v>399</v>
      </c>
      <c r="K371" s="408" t="s">
        <v>230</v>
      </c>
      <c r="L371" s="408" t="s">
        <v>1900</v>
      </c>
      <c r="M371" s="422"/>
      <c r="N371" s="422"/>
      <c r="O371" s="422"/>
      <c r="P371" s="422"/>
      <c r="Q371" s="422"/>
      <c r="R371" s="422"/>
      <c r="S371" s="408" t="s">
        <v>3964</v>
      </c>
      <c r="T371" s="408" t="s">
        <v>230</v>
      </c>
      <c r="U371" s="408" t="s">
        <v>1900</v>
      </c>
      <c r="V371" s="408" t="s">
        <v>3802</v>
      </c>
      <c r="W371" s="443">
        <v>45455.0</v>
      </c>
      <c r="X371" s="408" t="s">
        <v>3415</v>
      </c>
      <c r="Y371" s="397" t="s">
        <v>1948</v>
      </c>
      <c r="Z371" s="422"/>
      <c r="AA371" s="408"/>
      <c r="AB371" s="341" t="s">
        <v>316</v>
      </c>
      <c r="AC371" s="408"/>
      <c r="AD371" s="408"/>
      <c r="AE371" s="408"/>
      <c r="AF371" s="408"/>
      <c r="AG371" s="408"/>
      <c r="AH371" s="408"/>
      <c r="AI371" s="408"/>
      <c r="AJ371" s="408"/>
      <c r="AK371" s="408"/>
      <c r="AL371" s="408"/>
      <c r="AM371" s="408"/>
      <c r="AN371" s="408"/>
      <c r="AO371" s="408"/>
      <c r="AP371" s="408"/>
      <c r="AQ371" s="408"/>
      <c r="AR371" s="408"/>
      <c r="AS371" s="408"/>
      <c r="AT371" s="408"/>
    </row>
    <row r="372">
      <c r="A372" s="385">
        <v>2019.0</v>
      </c>
      <c r="B372" s="395">
        <v>45448.61336769676</v>
      </c>
      <c r="C372" s="387" t="s">
        <v>3965</v>
      </c>
      <c r="D372" s="385">
        <v>1.900016165E9</v>
      </c>
      <c r="E372" s="387" t="s">
        <v>1717</v>
      </c>
      <c r="F372" s="387" t="s">
        <v>1705</v>
      </c>
      <c r="G372" s="387" t="s">
        <v>3966</v>
      </c>
      <c r="H372" s="389">
        <v>45079.0</v>
      </c>
      <c r="I372" s="389">
        <v>45183.0</v>
      </c>
      <c r="J372" s="387" t="s">
        <v>399</v>
      </c>
      <c r="K372" s="387" t="s">
        <v>117</v>
      </c>
      <c r="L372" s="387" t="s">
        <v>1900</v>
      </c>
      <c r="M372" s="390"/>
      <c r="N372" s="390"/>
      <c r="O372" s="390"/>
      <c r="P372" s="390"/>
      <c r="Q372" s="390"/>
      <c r="R372" s="390"/>
      <c r="S372" s="387" t="s">
        <v>3967</v>
      </c>
      <c r="T372" s="387" t="s">
        <v>117</v>
      </c>
      <c r="U372" s="387" t="s">
        <v>1900</v>
      </c>
      <c r="V372" s="387" t="s">
        <v>241</v>
      </c>
      <c r="W372" s="452">
        <v>45454.0</v>
      </c>
      <c r="X372" s="453" t="s">
        <v>3953</v>
      </c>
      <c r="Y372" s="454" t="s">
        <v>1948</v>
      </c>
      <c r="Z372" s="390"/>
      <c r="AA372" s="387"/>
      <c r="AB372" s="341" t="s">
        <v>316</v>
      </c>
      <c r="AC372" s="387"/>
      <c r="AD372" s="387"/>
      <c r="AE372" s="387"/>
      <c r="AF372" s="387"/>
      <c r="AG372" s="387"/>
      <c r="AH372" s="387"/>
      <c r="AI372" s="387"/>
      <c r="AJ372" s="387"/>
      <c r="AK372" s="387"/>
      <c r="AL372" s="387"/>
      <c r="AM372" s="387"/>
      <c r="AN372" s="387"/>
      <c r="AO372" s="387"/>
      <c r="AP372" s="387"/>
      <c r="AQ372" s="387"/>
      <c r="AR372" s="387"/>
      <c r="AS372" s="387"/>
      <c r="AT372" s="387"/>
    </row>
    <row r="373">
      <c r="A373" s="385">
        <v>2017.0</v>
      </c>
      <c r="B373" s="395">
        <v>45448.63001390046</v>
      </c>
      <c r="C373" s="387" t="s">
        <v>1886</v>
      </c>
      <c r="D373" s="385">
        <v>1.700016118E9</v>
      </c>
      <c r="E373" s="387" t="s">
        <v>1887</v>
      </c>
      <c r="F373" s="387" t="s">
        <v>1888</v>
      </c>
      <c r="G373" s="387" t="s">
        <v>1889</v>
      </c>
      <c r="H373" s="389">
        <v>45204.0</v>
      </c>
      <c r="I373" s="389">
        <v>45271.0</v>
      </c>
      <c r="J373" s="387" t="s">
        <v>399</v>
      </c>
      <c r="K373" s="387" t="s">
        <v>3013</v>
      </c>
      <c r="L373" s="387" t="s">
        <v>1900</v>
      </c>
      <c r="M373" s="390"/>
      <c r="N373" s="390"/>
      <c r="O373" s="390"/>
      <c r="P373" s="390"/>
      <c r="Q373" s="390"/>
      <c r="R373" s="390"/>
      <c r="S373" s="387" t="s">
        <v>3968</v>
      </c>
      <c r="T373" s="387" t="s">
        <v>3013</v>
      </c>
      <c r="U373" s="387" t="s">
        <v>1900</v>
      </c>
      <c r="V373" s="387" t="s">
        <v>230</v>
      </c>
      <c r="W373" s="394">
        <v>45457.0</v>
      </c>
      <c r="X373" s="387" t="s">
        <v>3589</v>
      </c>
      <c r="Y373" s="397" t="s">
        <v>1948</v>
      </c>
      <c r="Z373" s="390"/>
      <c r="AA373" s="387"/>
      <c r="AB373" s="341" t="s">
        <v>316</v>
      </c>
      <c r="AC373" s="387"/>
      <c r="AD373" s="387"/>
      <c r="AE373" s="387"/>
      <c r="AF373" s="387"/>
      <c r="AG373" s="387"/>
      <c r="AH373" s="387"/>
      <c r="AI373" s="387"/>
      <c r="AJ373" s="387"/>
      <c r="AK373" s="387"/>
      <c r="AL373" s="387"/>
      <c r="AM373" s="387"/>
      <c r="AN373" s="387"/>
      <c r="AO373" s="387"/>
      <c r="AP373" s="387"/>
      <c r="AQ373" s="387"/>
      <c r="AR373" s="387"/>
      <c r="AS373" s="387"/>
      <c r="AT373" s="387"/>
    </row>
    <row r="374">
      <c r="A374" s="455">
        <v>2017.0</v>
      </c>
      <c r="B374" s="456">
        <v>45448.85119212963</v>
      </c>
      <c r="C374" s="455" t="s">
        <v>1741</v>
      </c>
      <c r="D374" s="457">
        <v>1.700016047E9</v>
      </c>
      <c r="E374" s="455" t="s">
        <v>1742</v>
      </c>
      <c r="F374" s="455">
        <v>8.2393941213E10</v>
      </c>
      <c r="G374" s="455" t="s">
        <v>1744</v>
      </c>
      <c r="H374" s="458">
        <v>45153.0</v>
      </c>
      <c r="I374" s="459">
        <v>45187.0</v>
      </c>
      <c r="J374" s="455" t="s">
        <v>399</v>
      </c>
      <c r="K374" s="455" t="s">
        <v>3013</v>
      </c>
      <c r="L374" s="455" t="s">
        <v>241</v>
      </c>
      <c r="M374" s="460"/>
      <c r="N374" s="460"/>
      <c r="O374" s="460"/>
      <c r="P374" s="460"/>
      <c r="Q374" s="460"/>
      <c r="R374" s="455" t="s">
        <v>3969</v>
      </c>
      <c r="S374" s="408"/>
      <c r="T374" s="455" t="s">
        <v>3013</v>
      </c>
      <c r="U374" s="455" t="s">
        <v>241</v>
      </c>
      <c r="V374" s="455" t="s">
        <v>183</v>
      </c>
      <c r="W374" s="461">
        <v>45458.0</v>
      </c>
      <c r="X374" s="455" t="s">
        <v>3589</v>
      </c>
      <c r="Y374" s="462" t="s">
        <v>1948</v>
      </c>
      <c r="Z374" s="463"/>
      <c r="AA374" s="408"/>
      <c r="AB374" s="464" t="s">
        <v>316</v>
      </c>
      <c r="AC374" s="408"/>
      <c r="AD374" s="408"/>
      <c r="AE374" s="408"/>
      <c r="AF374" s="408"/>
      <c r="AG374" s="408"/>
      <c r="AH374" s="408"/>
      <c r="AI374" s="408"/>
      <c r="AJ374" s="408"/>
      <c r="AK374" s="408"/>
      <c r="AL374" s="408"/>
      <c r="AM374" s="408"/>
      <c r="AN374" s="408"/>
      <c r="AO374" s="408"/>
      <c r="AP374" s="408"/>
      <c r="AQ374" s="408"/>
      <c r="AR374" s="408"/>
      <c r="AS374" s="408"/>
      <c r="AT374" s="408"/>
    </row>
    <row r="375">
      <c r="A375" s="455">
        <v>2020.0</v>
      </c>
      <c r="B375" s="456">
        <v>45448.8828587963</v>
      </c>
      <c r="C375" s="455" t="s">
        <v>2060</v>
      </c>
      <c r="D375" s="457">
        <v>2.000016001E9</v>
      </c>
      <c r="E375" s="455" t="s">
        <v>2061</v>
      </c>
      <c r="F375" s="455">
        <v>8.1220134103E10</v>
      </c>
      <c r="G375" s="455" t="s">
        <v>3970</v>
      </c>
      <c r="H375" s="458">
        <v>45231.0</v>
      </c>
      <c r="I375" s="459">
        <v>45307.0</v>
      </c>
      <c r="J375" s="455" t="s">
        <v>399</v>
      </c>
      <c r="K375" s="455" t="s">
        <v>2379</v>
      </c>
      <c r="L375" s="455" t="s">
        <v>2617</v>
      </c>
      <c r="M375" s="460"/>
      <c r="N375" s="460"/>
      <c r="O375" s="460"/>
      <c r="P375" s="460"/>
      <c r="Q375" s="460"/>
      <c r="R375" s="455" t="s">
        <v>3971</v>
      </c>
      <c r="S375" s="408"/>
      <c r="T375" s="455" t="s">
        <v>2379</v>
      </c>
      <c r="U375" s="465" t="s">
        <v>2617</v>
      </c>
      <c r="V375" s="455" t="s">
        <v>241</v>
      </c>
      <c r="W375" s="461">
        <v>45453.0</v>
      </c>
      <c r="X375" s="455" t="s">
        <v>3406</v>
      </c>
      <c r="Y375" s="462" t="s">
        <v>1948</v>
      </c>
      <c r="Z375" s="460"/>
      <c r="AA375" s="408"/>
      <c r="AB375" s="464" t="s">
        <v>316</v>
      </c>
      <c r="AC375" s="408"/>
      <c r="AD375" s="408"/>
      <c r="AE375" s="408"/>
      <c r="AF375" s="408"/>
      <c r="AG375" s="408"/>
      <c r="AH375" s="408"/>
      <c r="AI375" s="408"/>
      <c r="AJ375" s="408"/>
      <c r="AK375" s="408"/>
      <c r="AL375" s="408"/>
      <c r="AM375" s="408"/>
      <c r="AN375" s="408"/>
      <c r="AO375" s="408"/>
      <c r="AP375" s="408"/>
      <c r="AQ375" s="408"/>
      <c r="AR375" s="408"/>
      <c r="AS375" s="408"/>
      <c r="AT375" s="408"/>
    </row>
    <row r="376">
      <c r="A376" s="466">
        <v>2019.0</v>
      </c>
      <c r="B376" s="467">
        <v>45450.43537037037</v>
      </c>
      <c r="C376" s="466" t="s">
        <v>1881</v>
      </c>
      <c r="D376" s="468">
        <v>1.900016012E9</v>
      </c>
      <c r="E376" s="466" t="s">
        <v>1882</v>
      </c>
      <c r="F376" s="466">
        <v>8.221322221E10</v>
      </c>
      <c r="G376" s="466" t="s">
        <v>3972</v>
      </c>
      <c r="H376" s="469">
        <v>45017.0</v>
      </c>
      <c r="I376" s="470">
        <v>45280.0</v>
      </c>
      <c r="J376" s="466" t="s">
        <v>399</v>
      </c>
      <c r="K376" s="466" t="s">
        <v>241</v>
      </c>
      <c r="L376" s="466" t="s">
        <v>2379</v>
      </c>
      <c r="M376" s="463"/>
      <c r="N376" s="463"/>
      <c r="O376" s="463"/>
      <c r="P376" s="463"/>
      <c r="Q376" s="463"/>
      <c r="R376" s="466" t="s">
        <v>3973</v>
      </c>
      <c r="S376" s="387"/>
      <c r="T376" s="466" t="s">
        <v>241</v>
      </c>
      <c r="U376" s="466" t="s">
        <v>2379</v>
      </c>
      <c r="V376" s="466" t="s">
        <v>3802</v>
      </c>
      <c r="W376" s="471">
        <v>45462.0</v>
      </c>
      <c r="X376" s="455" t="s">
        <v>3974</v>
      </c>
      <c r="Y376" s="462" t="s">
        <v>1948</v>
      </c>
      <c r="Z376" s="463"/>
      <c r="AA376" s="387"/>
      <c r="AB376" s="464" t="s">
        <v>316</v>
      </c>
      <c r="AC376" s="387"/>
      <c r="AD376" s="387"/>
      <c r="AE376" s="387"/>
      <c r="AF376" s="387"/>
      <c r="AG376" s="387"/>
      <c r="AH376" s="387"/>
      <c r="AI376" s="387"/>
      <c r="AJ376" s="387"/>
      <c r="AK376" s="387"/>
      <c r="AL376" s="387"/>
      <c r="AM376" s="387"/>
      <c r="AN376" s="387"/>
      <c r="AO376" s="387"/>
      <c r="AP376" s="387"/>
      <c r="AQ376" s="387"/>
      <c r="AR376" s="387"/>
      <c r="AS376" s="387"/>
      <c r="AT376" s="387"/>
    </row>
    <row r="377">
      <c r="A377" s="466">
        <v>2019.0</v>
      </c>
      <c r="B377" s="467">
        <v>45452.67076388889</v>
      </c>
      <c r="C377" s="466" t="s">
        <v>3975</v>
      </c>
      <c r="D377" s="468">
        <v>1.900016082E9</v>
      </c>
      <c r="E377" s="466" t="s">
        <v>3976</v>
      </c>
      <c r="F377" s="466">
        <v>8.217776857E10</v>
      </c>
      <c r="G377" s="466" t="s">
        <v>3977</v>
      </c>
      <c r="H377" s="469">
        <v>45272.0</v>
      </c>
      <c r="I377" s="470">
        <v>45494.0</v>
      </c>
      <c r="J377" s="466" t="s">
        <v>399</v>
      </c>
      <c r="K377" s="466" t="s">
        <v>3013</v>
      </c>
      <c r="L377" s="466" t="s">
        <v>2922</v>
      </c>
      <c r="M377" s="463"/>
      <c r="N377" s="463"/>
      <c r="O377" s="463"/>
      <c r="P377" s="463"/>
      <c r="Q377" s="463"/>
      <c r="R377" s="466" t="s">
        <v>3978</v>
      </c>
      <c r="S377" s="387"/>
      <c r="T377" s="466" t="s">
        <v>3013</v>
      </c>
      <c r="U377" s="466" t="s">
        <v>2922</v>
      </c>
      <c r="V377" s="466" t="s">
        <v>2951</v>
      </c>
      <c r="W377" s="471">
        <v>45462.0</v>
      </c>
      <c r="X377" s="466" t="s">
        <v>3415</v>
      </c>
      <c r="Y377" s="462" t="s">
        <v>1948</v>
      </c>
      <c r="Z377" s="463"/>
      <c r="AA377" s="387"/>
      <c r="AB377" s="464" t="s">
        <v>316</v>
      </c>
      <c r="AC377" s="387"/>
      <c r="AD377" s="387"/>
      <c r="AE377" s="387"/>
      <c r="AF377" s="387"/>
      <c r="AG377" s="387"/>
      <c r="AH377" s="387"/>
      <c r="AI377" s="387"/>
      <c r="AJ377" s="387"/>
      <c r="AK377" s="387"/>
      <c r="AL377" s="387"/>
      <c r="AM377" s="387"/>
      <c r="AN377" s="387"/>
      <c r="AO377" s="387"/>
      <c r="AP377" s="387"/>
      <c r="AQ377" s="387"/>
      <c r="AR377" s="387"/>
      <c r="AS377" s="387"/>
      <c r="AT377" s="387"/>
    </row>
    <row r="378">
      <c r="A378" s="466">
        <v>2020.0</v>
      </c>
      <c r="B378" s="467">
        <v>45453.52625</v>
      </c>
      <c r="C378" s="466" t="s">
        <v>1967</v>
      </c>
      <c r="D378" s="468">
        <v>2.000016083E9</v>
      </c>
      <c r="E378" s="466" t="s">
        <v>1968</v>
      </c>
      <c r="F378" s="466">
        <v>8.235317196E10</v>
      </c>
      <c r="G378" s="466" t="s">
        <v>1970</v>
      </c>
      <c r="H378" s="469">
        <v>45570.0</v>
      </c>
      <c r="I378" s="470">
        <v>45309.0</v>
      </c>
      <c r="J378" s="466" t="s">
        <v>399</v>
      </c>
      <c r="K378" s="466" t="s">
        <v>747</v>
      </c>
      <c r="L378" s="466" t="s">
        <v>1900</v>
      </c>
      <c r="M378" s="463"/>
      <c r="N378" s="463"/>
      <c r="O378" s="463"/>
      <c r="P378" s="463"/>
      <c r="Q378" s="463"/>
      <c r="R378" s="466" t="s">
        <v>3979</v>
      </c>
      <c r="S378" s="387"/>
      <c r="T378" s="466" t="s">
        <v>747</v>
      </c>
      <c r="U378" s="466" t="s">
        <v>1900</v>
      </c>
      <c r="V378" s="466" t="s">
        <v>117</v>
      </c>
      <c r="W378" s="471">
        <v>45465.0</v>
      </c>
      <c r="X378" s="472" t="s">
        <v>3791</v>
      </c>
      <c r="Y378" s="462" t="s">
        <v>1948</v>
      </c>
      <c r="Z378" s="463"/>
      <c r="AA378" s="387"/>
      <c r="AB378" s="464" t="s">
        <v>316</v>
      </c>
      <c r="AC378" s="387"/>
      <c r="AD378" s="387"/>
      <c r="AE378" s="387"/>
      <c r="AF378" s="387"/>
      <c r="AG378" s="387"/>
      <c r="AH378" s="387"/>
      <c r="AI378" s="387"/>
      <c r="AJ378" s="387"/>
      <c r="AK378" s="387"/>
      <c r="AL378" s="387"/>
      <c r="AM378" s="387"/>
      <c r="AN378" s="387"/>
      <c r="AO378" s="387"/>
      <c r="AP378" s="387"/>
      <c r="AQ378" s="387"/>
      <c r="AR378" s="387"/>
      <c r="AS378" s="387"/>
      <c r="AT378" s="387"/>
    </row>
    <row r="379">
      <c r="A379" s="466">
        <v>2017.0</v>
      </c>
      <c r="B379" s="467">
        <v>45455.441203703704</v>
      </c>
      <c r="C379" s="466" t="s">
        <v>1843</v>
      </c>
      <c r="D379" s="468">
        <v>1.700016058E9</v>
      </c>
      <c r="E379" s="466" t="s">
        <v>1844</v>
      </c>
      <c r="F379" s="466">
        <v>8.2157408098E10</v>
      </c>
      <c r="G379" s="466" t="s">
        <v>3980</v>
      </c>
      <c r="H379" s="469">
        <v>45108.0</v>
      </c>
      <c r="I379" s="470">
        <v>45260.0</v>
      </c>
      <c r="J379" s="466" t="s">
        <v>399</v>
      </c>
      <c r="K379" s="466" t="s">
        <v>241</v>
      </c>
      <c r="L379" s="466" t="s">
        <v>183</v>
      </c>
      <c r="M379" s="463"/>
      <c r="N379" s="463"/>
      <c r="O379" s="463"/>
      <c r="P379" s="463"/>
      <c r="Q379" s="463"/>
      <c r="R379" s="466" t="s">
        <v>3981</v>
      </c>
      <c r="S379" s="387"/>
      <c r="T379" s="466" t="s">
        <v>241</v>
      </c>
      <c r="U379" s="466" t="s">
        <v>183</v>
      </c>
      <c r="V379" s="466" t="s">
        <v>703</v>
      </c>
      <c r="W379" s="471">
        <v>45464.0</v>
      </c>
      <c r="X379" s="466" t="s">
        <v>3418</v>
      </c>
      <c r="Y379" s="462" t="s">
        <v>1948</v>
      </c>
      <c r="Z379" s="463"/>
      <c r="AA379" s="387"/>
      <c r="AB379" s="464" t="s">
        <v>316</v>
      </c>
      <c r="AC379" s="387"/>
      <c r="AD379" s="387"/>
      <c r="AE379" s="387"/>
      <c r="AF379" s="387"/>
      <c r="AG379" s="387"/>
      <c r="AH379" s="387"/>
      <c r="AI379" s="387"/>
      <c r="AJ379" s="387"/>
      <c r="AK379" s="387"/>
      <c r="AL379" s="387"/>
      <c r="AM379" s="387"/>
      <c r="AN379" s="387"/>
      <c r="AO379" s="387"/>
      <c r="AP379" s="387"/>
      <c r="AQ379" s="387"/>
      <c r="AR379" s="387"/>
      <c r="AS379" s="387"/>
      <c r="AT379" s="387"/>
    </row>
    <row r="380">
      <c r="A380" s="466">
        <v>2019.0</v>
      </c>
      <c r="B380" s="467">
        <v>45455.59923611111</v>
      </c>
      <c r="C380" s="466" t="s">
        <v>1710</v>
      </c>
      <c r="D380" s="468">
        <v>1.900016017E9</v>
      </c>
      <c r="E380" s="466" t="s">
        <v>3982</v>
      </c>
      <c r="F380" s="466">
        <v>8.95806402737E11</v>
      </c>
      <c r="G380" s="466" t="s">
        <v>1700</v>
      </c>
      <c r="H380" s="469">
        <v>45028.0</v>
      </c>
      <c r="I380" s="470">
        <v>45181.0</v>
      </c>
      <c r="J380" s="466" t="s">
        <v>399</v>
      </c>
      <c r="K380" s="466" t="s">
        <v>1900</v>
      </c>
      <c r="L380" s="466" t="s">
        <v>2922</v>
      </c>
      <c r="M380" s="463"/>
      <c r="N380" s="463"/>
      <c r="O380" s="463"/>
      <c r="P380" s="463"/>
      <c r="Q380" s="463"/>
      <c r="R380" s="466" t="s">
        <v>3983</v>
      </c>
      <c r="S380" s="387"/>
      <c r="T380" s="466" t="s">
        <v>1900</v>
      </c>
      <c r="U380" s="466" t="s">
        <v>2922</v>
      </c>
      <c r="V380" s="466" t="s">
        <v>230</v>
      </c>
      <c r="W380" s="471">
        <v>45465.0</v>
      </c>
      <c r="X380" s="472" t="s">
        <v>3791</v>
      </c>
      <c r="Y380" s="462" t="s">
        <v>1948</v>
      </c>
      <c r="Z380" s="463"/>
      <c r="AA380" s="387"/>
      <c r="AB380" s="464" t="s">
        <v>316</v>
      </c>
      <c r="AC380" s="387"/>
      <c r="AD380" s="387"/>
      <c r="AE380" s="387"/>
      <c r="AF380" s="387"/>
      <c r="AG380" s="387"/>
      <c r="AH380" s="387"/>
      <c r="AI380" s="387"/>
      <c r="AJ380" s="387"/>
      <c r="AK380" s="387"/>
      <c r="AL380" s="387"/>
      <c r="AM380" s="387"/>
      <c r="AN380" s="387"/>
      <c r="AO380" s="387"/>
      <c r="AP380" s="387"/>
      <c r="AQ380" s="387"/>
      <c r="AR380" s="387"/>
      <c r="AS380" s="387"/>
      <c r="AT380" s="387"/>
    </row>
    <row r="381">
      <c r="A381" s="455">
        <v>2017.0</v>
      </c>
      <c r="B381" s="473">
        <v>45468.670578703706</v>
      </c>
      <c r="C381" s="455" t="s">
        <v>759</v>
      </c>
      <c r="D381" s="455">
        <v>1.700016012E9</v>
      </c>
      <c r="E381" s="455" t="s">
        <v>3984</v>
      </c>
      <c r="F381" s="455">
        <v>8.8216106977E10</v>
      </c>
      <c r="G381" s="455" t="s">
        <v>3985</v>
      </c>
      <c r="H381" s="474">
        <v>44169.0</v>
      </c>
      <c r="I381" s="475">
        <v>44621.0</v>
      </c>
      <c r="J381" s="455" t="s">
        <v>399</v>
      </c>
      <c r="K381" s="455" t="s">
        <v>241</v>
      </c>
      <c r="L381" s="455" t="s">
        <v>183</v>
      </c>
      <c r="M381" s="460"/>
      <c r="N381" s="460"/>
      <c r="O381" s="460"/>
      <c r="P381" s="460"/>
      <c r="Q381" s="460"/>
      <c r="R381" s="455" t="s">
        <v>3986</v>
      </c>
      <c r="S381" s="408"/>
      <c r="T381" s="455" t="s">
        <v>241</v>
      </c>
      <c r="U381" s="455" t="s">
        <v>183</v>
      </c>
      <c r="V381" s="455" t="s">
        <v>230</v>
      </c>
      <c r="W381" s="461">
        <v>45472.0</v>
      </c>
      <c r="X381" s="476" t="s">
        <v>3791</v>
      </c>
      <c r="Y381" s="462" t="s">
        <v>1948</v>
      </c>
      <c r="Z381" s="408"/>
      <c r="AA381" s="408"/>
      <c r="AB381" s="464" t="s">
        <v>316</v>
      </c>
      <c r="AC381" s="408"/>
      <c r="AD381" s="408"/>
      <c r="AE381" s="408"/>
      <c r="AF381" s="408"/>
      <c r="AG381" s="408"/>
      <c r="AH381" s="408"/>
      <c r="AI381" s="408"/>
      <c r="AJ381" s="408"/>
      <c r="AK381" s="408"/>
      <c r="AL381" s="408"/>
      <c r="AM381" s="408"/>
      <c r="AN381" s="408"/>
      <c r="AO381" s="408"/>
      <c r="AP381" s="408"/>
      <c r="AQ381" s="408"/>
      <c r="AR381" s="408"/>
      <c r="AS381" s="408"/>
      <c r="AT381" s="408"/>
    </row>
    <row r="382">
      <c r="A382" s="455">
        <v>2018.0</v>
      </c>
      <c r="B382" s="456">
        <v>45470.40412037037</v>
      </c>
      <c r="C382" s="455" t="s">
        <v>3987</v>
      </c>
      <c r="D382" s="457">
        <v>1.800016092E9</v>
      </c>
      <c r="E382" s="455" t="s">
        <v>1227</v>
      </c>
      <c r="F382" s="455">
        <v>8.5163571345E10</v>
      </c>
      <c r="G382" s="455" t="s">
        <v>3988</v>
      </c>
      <c r="H382" s="458">
        <v>44859.0</v>
      </c>
      <c r="I382" s="459">
        <v>44987.0</v>
      </c>
      <c r="J382" s="455" t="s">
        <v>399</v>
      </c>
      <c r="K382" s="455" t="s">
        <v>230</v>
      </c>
      <c r="L382" s="455" t="s">
        <v>2922</v>
      </c>
      <c r="M382" s="460"/>
      <c r="N382" s="460"/>
      <c r="O382" s="460"/>
      <c r="P382" s="460"/>
      <c r="Q382" s="460"/>
      <c r="R382" s="455" t="s">
        <v>3989</v>
      </c>
      <c r="S382" s="408"/>
      <c r="T382" s="455" t="s">
        <v>230</v>
      </c>
      <c r="U382" s="455" t="s">
        <v>2922</v>
      </c>
      <c r="V382" s="455" t="s">
        <v>117</v>
      </c>
      <c r="W382" s="461">
        <v>45474.0</v>
      </c>
      <c r="X382" s="455" t="s">
        <v>3418</v>
      </c>
      <c r="Y382" s="462" t="s">
        <v>1948</v>
      </c>
      <c r="Z382" s="408"/>
      <c r="AA382" s="408"/>
      <c r="AB382" s="464" t="s">
        <v>316</v>
      </c>
      <c r="AC382" s="408"/>
      <c r="AD382" s="408"/>
      <c r="AE382" s="408"/>
      <c r="AF382" s="408"/>
      <c r="AG382" s="408"/>
      <c r="AH382" s="408"/>
      <c r="AI382" s="408"/>
      <c r="AJ382" s="408"/>
      <c r="AK382" s="408"/>
      <c r="AL382" s="408"/>
      <c r="AM382" s="408"/>
      <c r="AN382" s="408"/>
      <c r="AO382" s="408"/>
      <c r="AP382" s="408"/>
      <c r="AQ382" s="408"/>
      <c r="AR382" s="408"/>
      <c r="AS382" s="408"/>
      <c r="AT382" s="408"/>
    </row>
    <row r="383">
      <c r="A383" s="455">
        <v>2017.0</v>
      </c>
      <c r="B383" s="456">
        <v>45470.40615740741</v>
      </c>
      <c r="C383" s="455" t="s">
        <v>3990</v>
      </c>
      <c r="D383" s="457">
        <v>1.70001612E9</v>
      </c>
      <c r="E383" s="455" t="s">
        <v>2418</v>
      </c>
      <c r="F383" s="455">
        <v>8.228833968E10</v>
      </c>
      <c r="G383" s="455" t="s">
        <v>2420</v>
      </c>
      <c r="H383" s="458">
        <v>45444.0</v>
      </c>
      <c r="I383" s="459">
        <v>45462.0</v>
      </c>
      <c r="J383" s="455" t="s">
        <v>399</v>
      </c>
      <c r="K383" s="455" t="s">
        <v>747</v>
      </c>
      <c r="L383" s="455" t="s">
        <v>230</v>
      </c>
      <c r="M383" s="460"/>
      <c r="N383" s="460"/>
      <c r="O383" s="460"/>
      <c r="P383" s="460"/>
      <c r="Q383" s="460"/>
      <c r="R383" s="455" t="s">
        <v>3991</v>
      </c>
      <c r="S383" s="408"/>
      <c r="T383" s="455" t="s">
        <v>747</v>
      </c>
      <c r="U383" s="455" t="s">
        <v>230</v>
      </c>
      <c r="V383" s="455" t="s">
        <v>241</v>
      </c>
      <c r="W383" s="461">
        <v>45474.0</v>
      </c>
      <c r="X383" s="455" t="s">
        <v>3992</v>
      </c>
      <c r="Y383" s="462" t="s">
        <v>1948</v>
      </c>
      <c r="Z383" s="408"/>
      <c r="AA383" s="408"/>
      <c r="AB383" s="464" t="s">
        <v>316</v>
      </c>
      <c r="AC383" s="408"/>
      <c r="AD383" s="408"/>
      <c r="AE383" s="408"/>
      <c r="AF383" s="408"/>
      <c r="AG383" s="408"/>
      <c r="AH383" s="408"/>
      <c r="AI383" s="408"/>
      <c r="AJ383" s="408"/>
      <c r="AK383" s="408"/>
      <c r="AL383" s="408"/>
      <c r="AM383" s="408"/>
      <c r="AN383" s="408"/>
      <c r="AO383" s="408"/>
      <c r="AP383" s="408"/>
      <c r="AQ383" s="408"/>
      <c r="AR383" s="408"/>
      <c r="AS383" s="408"/>
      <c r="AT383" s="408"/>
    </row>
    <row r="384">
      <c r="A384" s="466">
        <v>2017.0</v>
      </c>
      <c r="B384" s="467">
        <v>45470.56787037037</v>
      </c>
      <c r="C384" s="466" t="s">
        <v>521</v>
      </c>
      <c r="D384" s="468">
        <v>1.700016023E9</v>
      </c>
      <c r="E384" s="466" t="s">
        <v>522</v>
      </c>
      <c r="F384" s="466">
        <v>8.2142599044E10</v>
      </c>
      <c r="G384" s="466" t="s">
        <v>3993</v>
      </c>
      <c r="H384" s="469">
        <v>45174.0</v>
      </c>
      <c r="I384" s="470">
        <v>45274.0</v>
      </c>
      <c r="J384" s="466" t="s">
        <v>399</v>
      </c>
      <c r="K384" s="466" t="s">
        <v>117</v>
      </c>
      <c r="L384" s="466" t="s">
        <v>2379</v>
      </c>
      <c r="M384" s="463"/>
      <c r="N384" s="463"/>
      <c r="O384" s="463"/>
      <c r="P384" s="463"/>
      <c r="Q384" s="463"/>
      <c r="R384" s="466" t="s">
        <v>3994</v>
      </c>
      <c r="S384" s="387"/>
      <c r="T384" s="466" t="s">
        <v>117</v>
      </c>
      <c r="U384" s="466" t="s">
        <v>2379</v>
      </c>
      <c r="V384" s="466" t="s">
        <v>703</v>
      </c>
      <c r="W384" s="461">
        <v>45474.0</v>
      </c>
      <c r="X384" s="455" t="s">
        <v>3992</v>
      </c>
      <c r="Y384" s="462" t="s">
        <v>1165</v>
      </c>
      <c r="Z384" s="387"/>
      <c r="AA384" s="387"/>
      <c r="AB384" s="464" t="s">
        <v>316</v>
      </c>
      <c r="AC384" s="387"/>
      <c r="AD384" s="387"/>
      <c r="AE384" s="387"/>
      <c r="AF384" s="387"/>
      <c r="AG384" s="387"/>
      <c r="AH384" s="387"/>
      <c r="AI384" s="387"/>
      <c r="AJ384" s="387"/>
      <c r="AK384" s="387"/>
      <c r="AL384" s="387"/>
      <c r="AM384" s="387"/>
      <c r="AN384" s="387"/>
      <c r="AO384" s="387"/>
      <c r="AP384" s="387"/>
      <c r="AQ384" s="387"/>
      <c r="AR384" s="387"/>
      <c r="AS384" s="387"/>
      <c r="AT384" s="387"/>
    </row>
    <row r="385">
      <c r="A385" s="466">
        <v>2017.0</v>
      </c>
      <c r="B385" s="467">
        <v>45471.81253472222</v>
      </c>
      <c r="C385" s="466" t="s">
        <v>3995</v>
      </c>
      <c r="D385" s="468">
        <v>1.700016055E9</v>
      </c>
      <c r="E385" s="466" t="s">
        <v>1746</v>
      </c>
      <c r="F385" s="466">
        <v>8.9519101691E10</v>
      </c>
      <c r="G385" s="466" t="s">
        <v>3996</v>
      </c>
      <c r="H385" s="469">
        <v>45188.0</v>
      </c>
      <c r="I385" s="470">
        <v>45187.0</v>
      </c>
      <c r="J385" s="466" t="s">
        <v>399</v>
      </c>
      <c r="K385" s="466" t="s">
        <v>747</v>
      </c>
      <c r="L385" s="466" t="s">
        <v>241</v>
      </c>
      <c r="M385" s="463"/>
      <c r="N385" s="463"/>
      <c r="O385" s="463"/>
      <c r="P385" s="463"/>
      <c r="Q385" s="463"/>
      <c r="R385" s="466" t="s">
        <v>3997</v>
      </c>
      <c r="S385" s="387"/>
      <c r="T385" s="466" t="s">
        <v>747</v>
      </c>
      <c r="U385" s="466" t="s">
        <v>241</v>
      </c>
      <c r="V385" s="466" t="s">
        <v>230</v>
      </c>
      <c r="W385" s="471">
        <v>45476.0</v>
      </c>
      <c r="X385" s="466" t="s">
        <v>3418</v>
      </c>
      <c r="Y385" s="462" t="s">
        <v>1948</v>
      </c>
      <c r="Z385" s="387"/>
      <c r="AA385" s="387"/>
      <c r="AB385" s="464" t="s">
        <v>316</v>
      </c>
      <c r="AC385" s="387"/>
      <c r="AD385" s="387"/>
      <c r="AE385" s="387"/>
      <c r="AF385" s="387"/>
      <c r="AG385" s="387"/>
      <c r="AH385" s="387"/>
      <c r="AI385" s="387"/>
      <c r="AJ385" s="387"/>
      <c r="AK385" s="387"/>
      <c r="AL385" s="387"/>
      <c r="AM385" s="387"/>
      <c r="AN385" s="387"/>
      <c r="AO385" s="387"/>
      <c r="AP385" s="387"/>
      <c r="AQ385" s="387"/>
      <c r="AR385" s="387"/>
      <c r="AS385" s="387"/>
      <c r="AT385" s="387"/>
    </row>
    <row r="386">
      <c r="A386" s="466">
        <v>2018.0</v>
      </c>
      <c r="B386" s="467">
        <v>45472.59079861111</v>
      </c>
      <c r="C386" s="466" t="s">
        <v>1823</v>
      </c>
      <c r="D386" s="468">
        <v>1.800016031E9</v>
      </c>
      <c r="E386" s="466" t="s">
        <v>1824</v>
      </c>
      <c r="F386" s="466">
        <v>8.9665533997E10</v>
      </c>
      <c r="G386" s="466" t="s">
        <v>3998</v>
      </c>
      <c r="H386" s="469">
        <v>45084.0</v>
      </c>
      <c r="I386" s="470">
        <v>45251.0</v>
      </c>
      <c r="J386" s="466" t="s">
        <v>399</v>
      </c>
      <c r="K386" s="466" t="s">
        <v>241</v>
      </c>
      <c r="L386" s="466" t="s">
        <v>117</v>
      </c>
      <c r="M386" s="463"/>
      <c r="N386" s="463"/>
      <c r="O386" s="463"/>
      <c r="P386" s="463"/>
      <c r="Q386" s="463"/>
      <c r="R386" s="466" t="s">
        <v>3999</v>
      </c>
      <c r="S386" s="387"/>
      <c r="T386" s="466" t="s">
        <v>241</v>
      </c>
      <c r="U386" s="466" t="s">
        <v>117</v>
      </c>
      <c r="V386" s="466" t="s">
        <v>703</v>
      </c>
      <c r="W386" s="471">
        <v>45477.0</v>
      </c>
      <c r="X386" s="455" t="s">
        <v>3992</v>
      </c>
      <c r="Y386" s="462" t="s">
        <v>1948</v>
      </c>
      <c r="Z386" s="387"/>
      <c r="AA386" s="387"/>
      <c r="AB386" s="464" t="s">
        <v>316</v>
      </c>
      <c r="AC386" s="387"/>
      <c r="AD386" s="387"/>
      <c r="AE386" s="387"/>
      <c r="AF386" s="387"/>
      <c r="AG386" s="387"/>
      <c r="AH386" s="387"/>
      <c r="AI386" s="387"/>
      <c r="AJ386" s="387"/>
      <c r="AK386" s="387"/>
      <c r="AL386" s="387"/>
      <c r="AM386" s="387"/>
      <c r="AN386" s="387"/>
      <c r="AO386" s="387"/>
      <c r="AP386" s="387"/>
      <c r="AQ386" s="387"/>
      <c r="AR386" s="387"/>
      <c r="AS386" s="387"/>
      <c r="AT386" s="387"/>
    </row>
    <row r="387">
      <c r="A387" s="466">
        <v>2017.0</v>
      </c>
      <c r="B387" s="467">
        <v>45472.62168981481</v>
      </c>
      <c r="C387" s="466" t="s">
        <v>4000</v>
      </c>
      <c r="D387" s="468">
        <v>1.700016091E9</v>
      </c>
      <c r="E387" s="466" t="s">
        <v>672</v>
      </c>
      <c r="F387" s="466">
        <v>8.386909842E10</v>
      </c>
      <c r="G387" s="466" t="s">
        <v>4001</v>
      </c>
      <c r="H387" s="469">
        <v>45189.0</v>
      </c>
      <c r="I387" s="470">
        <v>44453.0</v>
      </c>
      <c r="J387" s="466" t="s">
        <v>399</v>
      </c>
      <c r="K387" s="466" t="s">
        <v>2916</v>
      </c>
      <c r="L387" s="466" t="s">
        <v>241</v>
      </c>
      <c r="M387" s="463"/>
      <c r="N387" s="463"/>
      <c r="O387" s="463"/>
      <c r="P387" s="463"/>
      <c r="Q387" s="463"/>
      <c r="R387" s="466" t="s">
        <v>4002</v>
      </c>
      <c r="S387" s="387"/>
      <c r="T387" s="466" t="s">
        <v>2916</v>
      </c>
      <c r="U387" s="466" t="s">
        <v>241</v>
      </c>
      <c r="V387" s="466" t="s">
        <v>230</v>
      </c>
      <c r="W387" s="471">
        <v>45476.0</v>
      </c>
      <c r="X387" s="466" t="s">
        <v>895</v>
      </c>
      <c r="Y387" s="462" t="s">
        <v>1948</v>
      </c>
      <c r="Z387" s="387"/>
      <c r="AA387" s="387"/>
      <c r="AB387" s="464" t="s">
        <v>316</v>
      </c>
      <c r="AC387" s="387"/>
      <c r="AD387" s="387"/>
      <c r="AE387" s="387"/>
      <c r="AF387" s="387"/>
      <c r="AG387" s="387"/>
      <c r="AH387" s="387"/>
      <c r="AI387" s="387"/>
      <c r="AJ387" s="387"/>
      <c r="AK387" s="387"/>
      <c r="AL387" s="387"/>
      <c r="AM387" s="387"/>
      <c r="AN387" s="387"/>
      <c r="AO387" s="387"/>
      <c r="AP387" s="387"/>
      <c r="AQ387" s="387"/>
      <c r="AR387" s="387"/>
      <c r="AS387" s="387"/>
      <c r="AT387" s="387"/>
    </row>
    <row r="388">
      <c r="A388" s="466">
        <v>2018.0</v>
      </c>
      <c r="B388" s="467">
        <v>45477.6028125</v>
      </c>
      <c r="C388" s="466" t="s">
        <v>847</v>
      </c>
      <c r="D388" s="468">
        <v>1.800016086E9</v>
      </c>
      <c r="E388" s="466" t="s">
        <v>848</v>
      </c>
      <c r="F388" s="387">
        <f>+6287828708395</f>
        <v>6287828708395</v>
      </c>
      <c r="G388" s="466" t="s">
        <v>4003</v>
      </c>
      <c r="H388" s="469">
        <v>44482.0</v>
      </c>
      <c r="I388" s="470">
        <v>44657.0</v>
      </c>
      <c r="J388" s="466" t="s">
        <v>399</v>
      </c>
      <c r="K388" s="466" t="s">
        <v>2916</v>
      </c>
      <c r="L388" s="466" t="s">
        <v>3013</v>
      </c>
      <c r="M388" s="463"/>
      <c r="N388" s="463"/>
      <c r="O388" s="463"/>
      <c r="P388" s="463"/>
      <c r="Q388" s="463"/>
      <c r="R388" s="466" t="s">
        <v>4004</v>
      </c>
      <c r="S388" s="387"/>
      <c r="T388" s="466" t="s">
        <v>2916</v>
      </c>
      <c r="U388" s="466" t="s">
        <v>3013</v>
      </c>
      <c r="V388" s="466" t="s">
        <v>183</v>
      </c>
      <c r="W388" s="471">
        <v>45481.0</v>
      </c>
      <c r="X388" s="466" t="s">
        <v>3592</v>
      </c>
      <c r="Y388" s="462" t="s">
        <v>1948</v>
      </c>
      <c r="Z388" s="387"/>
      <c r="AA388" s="387"/>
      <c r="AB388" s="464" t="s">
        <v>316</v>
      </c>
      <c r="AC388" s="387"/>
      <c r="AD388" s="387"/>
      <c r="AE388" s="387"/>
      <c r="AF388" s="387"/>
      <c r="AG388" s="387"/>
      <c r="AH388" s="387"/>
      <c r="AI388" s="387"/>
      <c r="AJ388" s="387"/>
      <c r="AK388" s="387"/>
      <c r="AL388" s="387"/>
      <c r="AM388" s="387"/>
      <c r="AN388" s="387"/>
      <c r="AO388" s="387"/>
      <c r="AP388" s="387"/>
      <c r="AQ388" s="387"/>
      <c r="AR388" s="387"/>
      <c r="AS388" s="387"/>
      <c r="AT388" s="387"/>
    </row>
    <row r="389">
      <c r="A389" s="466">
        <v>2019.0</v>
      </c>
      <c r="B389" s="467">
        <v>45477.60736111111</v>
      </c>
      <c r="C389" s="466" t="s">
        <v>1896</v>
      </c>
      <c r="D389" s="468">
        <v>1.900016099E9</v>
      </c>
      <c r="E389" s="466" t="s">
        <v>1897</v>
      </c>
      <c r="F389" s="466">
        <v>8.2135446046E10</v>
      </c>
      <c r="G389" s="466" t="s">
        <v>4005</v>
      </c>
      <c r="H389" s="469">
        <v>45188.0</v>
      </c>
      <c r="I389" s="470">
        <v>45278.0</v>
      </c>
      <c r="J389" s="466" t="s">
        <v>399</v>
      </c>
      <c r="K389" s="466" t="s">
        <v>1900</v>
      </c>
      <c r="L389" s="466" t="s">
        <v>2922</v>
      </c>
      <c r="M389" s="463"/>
      <c r="N389" s="463"/>
      <c r="O389" s="463"/>
      <c r="P389" s="463"/>
      <c r="Q389" s="463"/>
      <c r="R389" s="466" t="s">
        <v>4006</v>
      </c>
      <c r="S389" s="387"/>
      <c r="T389" s="466" t="s">
        <v>1900</v>
      </c>
      <c r="U389" s="466" t="s">
        <v>2922</v>
      </c>
      <c r="V389" s="466" t="s">
        <v>117</v>
      </c>
      <c r="W389" s="471">
        <v>45481.0</v>
      </c>
      <c r="X389" s="466" t="s">
        <v>3592</v>
      </c>
      <c r="Y389" s="462" t="s">
        <v>4007</v>
      </c>
      <c r="Z389" s="387"/>
      <c r="AA389" s="387"/>
      <c r="AB389" s="464" t="s">
        <v>316</v>
      </c>
      <c r="AC389" s="387"/>
      <c r="AD389" s="387"/>
      <c r="AE389" s="387"/>
      <c r="AF389" s="387"/>
      <c r="AG389" s="387"/>
      <c r="AH389" s="387"/>
      <c r="AI389" s="387"/>
      <c r="AJ389" s="387"/>
      <c r="AK389" s="387"/>
      <c r="AL389" s="387"/>
      <c r="AM389" s="387"/>
      <c r="AN389" s="387"/>
      <c r="AO389" s="387"/>
      <c r="AP389" s="387"/>
      <c r="AQ389" s="387"/>
      <c r="AR389" s="387"/>
      <c r="AS389" s="387"/>
      <c r="AT389" s="387"/>
    </row>
    <row r="390">
      <c r="A390" s="466">
        <v>2017.0</v>
      </c>
      <c r="B390" s="467">
        <v>45478.48486111111</v>
      </c>
      <c r="C390" s="466" t="s">
        <v>2429</v>
      </c>
      <c r="D390" s="468">
        <v>1.700016083E9</v>
      </c>
      <c r="E390" s="466" t="s">
        <v>2430</v>
      </c>
      <c r="F390" s="466">
        <v>8.122570975E10</v>
      </c>
      <c r="G390" s="466" t="s">
        <v>4008</v>
      </c>
      <c r="H390" s="469">
        <v>45456.0</v>
      </c>
      <c r="I390" s="470">
        <v>45464.0</v>
      </c>
      <c r="J390" s="466" t="s">
        <v>399</v>
      </c>
      <c r="K390" s="466" t="s">
        <v>2916</v>
      </c>
      <c r="L390" s="466" t="s">
        <v>230</v>
      </c>
      <c r="M390" s="463"/>
      <c r="N390" s="463"/>
      <c r="O390" s="463"/>
      <c r="P390" s="463"/>
      <c r="Q390" s="463"/>
      <c r="R390" s="466" t="s">
        <v>4009</v>
      </c>
      <c r="S390" s="387"/>
      <c r="T390" s="466" t="s">
        <v>2916</v>
      </c>
      <c r="U390" s="466" t="s">
        <v>230</v>
      </c>
      <c r="V390" s="466" t="s">
        <v>117</v>
      </c>
      <c r="W390" s="477">
        <v>45481.0</v>
      </c>
      <c r="X390" s="466" t="s">
        <v>3418</v>
      </c>
      <c r="Y390" s="462" t="s">
        <v>1948</v>
      </c>
      <c r="Z390" s="387"/>
      <c r="AA390" s="387"/>
      <c r="AB390" s="464" t="s">
        <v>316</v>
      </c>
      <c r="AC390" s="387"/>
      <c r="AD390" s="387"/>
      <c r="AE390" s="387"/>
      <c r="AF390" s="387"/>
      <c r="AG390" s="387"/>
      <c r="AH390" s="387"/>
      <c r="AI390" s="387"/>
      <c r="AJ390" s="387"/>
      <c r="AK390" s="387"/>
      <c r="AL390" s="387"/>
      <c r="AM390" s="387"/>
      <c r="AN390" s="387"/>
      <c r="AO390" s="387"/>
      <c r="AP390" s="387"/>
      <c r="AQ390" s="387"/>
      <c r="AR390" s="387"/>
      <c r="AS390" s="387"/>
      <c r="AT390" s="387"/>
    </row>
    <row r="391">
      <c r="A391" s="466">
        <v>2020.0</v>
      </c>
      <c r="B391" s="467">
        <v>45479.53204861111</v>
      </c>
      <c r="C391" s="466" t="s">
        <v>1949</v>
      </c>
      <c r="D391" s="468">
        <v>2.000016082E9</v>
      </c>
      <c r="E391" s="466" t="s">
        <v>1950</v>
      </c>
      <c r="F391" s="466">
        <v>8.1238295816E10</v>
      </c>
      <c r="G391" s="466" t="s">
        <v>1952</v>
      </c>
      <c r="H391" s="469">
        <v>45219.0</v>
      </c>
      <c r="I391" s="470">
        <v>45308.0</v>
      </c>
      <c r="J391" s="466" t="s">
        <v>399</v>
      </c>
      <c r="K391" s="466" t="s">
        <v>183</v>
      </c>
      <c r="L391" s="466" t="s">
        <v>2922</v>
      </c>
      <c r="M391" s="463"/>
      <c r="N391" s="463"/>
      <c r="O391" s="463"/>
      <c r="P391" s="463"/>
      <c r="Q391" s="463"/>
      <c r="R391" s="466" t="s">
        <v>4010</v>
      </c>
      <c r="S391" s="387"/>
      <c r="T391" s="466" t="s">
        <v>183</v>
      </c>
      <c r="U391" s="466" t="s">
        <v>2922</v>
      </c>
      <c r="V391" s="466" t="s">
        <v>241</v>
      </c>
      <c r="W391" s="471">
        <v>45484.0</v>
      </c>
      <c r="X391" s="466" t="s">
        <v>3418</v>
      </c>
      <c r="Y391" s="462" t="s">
        <v>1948</v>
      </c>
      <c r="Z391" s="387"/>
      <c r="AA391" s="387"/>
      <c r="AB391" s="464" t="s">
        <v>316</v>
      </c>
      <c r="AC391" s="387"/>
      <c r="AD391" s="387"/>
      <c r="AE391" s="387"/>
      <c r="AF391" s="387"/>
      <c r="AG391" s="387"/>
      <c r="AH391" s="387"/>
      <c r="AI391" s="387"/>
      <c r="AJ391" s="387"/>
      <c r="AK391" s="387"/>
      <c r="AL391" s="387"/>
      <c r="AM391" s="387"/>
      <c r="AN391" s="387"/>
      <c r="AO391" s="387"/>
      <c r="AP391" s="387"/>
      <c r="AQ391" s="387"/>
      <c r="AR391" s="387"/>
      <c r="AS391" s="387"/>
      <c r="AT391" s="387"/>
    </row>
    <row r="392">
      <c r="A392" s="466">
        <v>2017.0</v>
      </c>
      <c r="B392" s="467">
        <v>45479.6841087963</v>
      </c>
      <c r="C392" s="466" t="s">
        <v>525</v>
      </c>
      <c r="D392" s="468">
        <v>1.700016085E9</v>
      </c>
      <c r="E392" s="466" t="s">
        <v>526</v>
      </c>
      <c r="F392" s="466">
        <v>8.59131332242E11</v>
      </c>
      <c r="G392" s="466" t="s">
        <v>4011</v>
      </c>
      <c r="H392" s="469">
        <v>44230.0</v>
      </c>
      <c r="I392" s="470">
        <v>44354.0</v>
      </c>
      <c r="J392" s="466" t="s">
        <v>399</v>
      </c>
      <c r="K392" s="466" t="s">
        <v>2916</v>
      </c>
      <c r="L392" s="466" t="s">
        <v>2617</v>
      </c>
      <c r="M392" s="463"/>
      <c r="N392" s="463"/>
      <c r="O392" s="463"/>
      <c r="P392" s="463"/>
      <c r="Q392" s="463"/>
      <c r="R392" s="466" t="s">
        <v>4012</v>
      </c>
      <c r="S392" s="387"/>
      <c r="T392" s="466" t="s">
        <v>2916</v>
      </c>
      <c r="U392" s="466" t="s">
        <v>1900</v>
      </c>
      <c r="V392" s="466" t="s">
        <v>230</v>
      </c>
      <c r="W392" s="471">
        <v>45481.0</v>
      </c>
      <c r="X392" s="466" t="s">
        <v>3592</v>
      </c>
      <c r="Y392" s="462" t="s">
        <v>1948</v>
      </c>
      <c r="Z392" s="387"/>
      <c r="AA392" s="387"/>
      <c r="AB392" s="464" t="s">
        <v>316</v>
      </c>
      <c r="AC392" s="387"/>
      <c r="AD392" s="387"/>
      <c r="AE392" s="387"/>
      <c r="AF392" s="387"/>
      <c r="AG392" s="387"/>
      <c r="AH392" s="387"/>
      <c r="AI392" s="387"/>
      <c r="AJ392" s="387"/>
      <c r="AK392" s="387"/>
      <c r="AL392" s="387"/>
      <c r="AM392" s="387"/>
      <c r="AN392" s="387"/>
      <c r="AO392" s="387"/>
      <c r="AP392" s="387"/>
      <c r="AQ392" s="387"/>
      <c r="AR392" s="387"/>
      <c r="AS392" s="387"/>
      <c r="AT392" s="387"/>
    </row>
    <row r="393">
      <c r="A393" s="466">
        <v>2019.0</v>
      </c>
      <c r="B393" s="467">
        <v>45480.93369212963</v>
      </c>
      <c r="C393" s="466" t="s">
        <v>1854</v>
      </c>
      <c r="D393" s="468">
        <v>1.915016132E9</v>
      </c>
      <c r="E393" s="466" t="s">
        <v>1855</v>
      </c>
      <c r="F393" s="466">
        <v>8.9636465453E10</v>
      </c>
      <c r="G393" s="466" t="s">
        <v>1857</v>
      </c>
      <c r="H393" s="469">
        <v>45085.0</v>
      </c>
      <c r="I393" s="470">
        <v>45264.0</v>
      </c>
      <c r="J393" s="466" t="s">
        <v>399</v>
      </c>
      <c r="K393" s="466" t="s">
        <v>117</v>
      </c>
      <c r="L393" s="466" t="s">
        <v>1900</v>
      </c>
      <c r="M393" s="463"/>
      <c r="N393" s="463"/>
      <c r="O393" s="463"/>
      <c r="P393" s="463"/>
      <c r="Q393" s="463"/>
      <c r="R393" s="466" t="s">
        <v>4013</v>
      </c>
      <c r="S393" s="387"/>
      <c r="T393" s="466" t="s">
        <v>117</v>
      </c>
      <c r="U393" s="466" t="s">
        <v>1900</v>
      </c>
      <c r="V393" s="466" t="s">
        <v>183</v>
      </c>
      <c r="W393" s="471">
        <v>45484.0</v>
      </c>
      <c r="X393" s="466" t="s">
        <v>987</v>
      </c>
      <c r="Y393" s="462" t="s">
        <v>1948</v>
      </c>
      <c r="Z393" s="387"/>
      <c r="AA393" s="387"/>
      <c r="AB393" s="464" t="s">
        <v>316</v>
      </c>
      <c r="AC393" s="387"/>
      <c r="AD393" s="387"/>
      <c r="AE393" s="387"/>
      <c r="AF393" s="387"/>
      <c r="AG393" s="387"/>
      <c r="AH393" s="387"/>
      <c r="AI393" s="387"/>
      <c r="AJ393" s="387"/>
      <c r="AK393" s="387"/>
      <c r="AL393" s="387"/>
      <c r="AM393" s="387"/>
      <c r="AN393" s="387"/>
      <c r="AO393" s="387"/>
      <c r="AP393" s="387"/>
      <c r="AQ393" s="387"/>
      <c r="AR393" s="387"/>
      <c r="AS393" s="387"/>
      <c r="AT393" s="387"/>
    </row>
    <row r="394">
      <c r="A394" s="466">
        <v>2019.0</v>
      </c>
      <c r="B394" s="467">
        <v>45483.52071759259</v>
      </c>
      <c r="C394" s="466" t="s">
        <v>1784</v>
      </c>
      <c r="D394" s="468">
        <v>1.900016131E9</v>
      </c>
      <c r="E394" s="466" t="s">
        <v>1785</v>
      </c>
      <c r="F394" s="466">
        <v>8.1273207517E10</v>
      </c>
      <c r="G394" s="466" t="s">
        <v>4014</v>
      </c>
      <c r="H394" s="469">
        <v>45208.0</v>
      </c>
      <c r="I394" s="470">
        <v>45204.0</v>
      </c>
      <c r="J394" s="466" t="s">
        <v>399</v>
      </c>
      <c r="K394" s="466" t="s">
        <v>183</v>
      </c>
      <c r="L394" s="466" t="s">
        <v>241</v>
      </c>
      <c r="M394" s="463"/>
      <c r="N394" s="463"/>
      <c r="O394" s="463"/>
      <c r="P394" s="463"/>
      <c r="Q394" s="463"/>
      <c r="R394" s="466" t="s">
        <v>4015</v>
      </c>
      <c r="S394" s="387"/>
      <c r="T394" s="466" t="s">
        <v>183</v>
      </c>
      <c r="U394" s="466" t="s">
        <v>241</v>
      </c>
      <c r="V394" s="466" t="s">
        <v>703</v>
      </c>
      <c r="W394" s="471">
        <v>45488.0</v>
      </c>
      <c r="X394" s="466" t="s">
        <v>3592</v>
      </c>
      <c r="Y394" s="462" t="s">
        <v>1948</v>
      </c>
      <c r="Z394" s="387"/>
      <c r="AA394" s="387"/>
      <c r="AB394" s="464" t="s">
        <v>316</v>
      </c>
      <c r="AC394" s="387"/>
      <c r="AD394" s="387"/>
      <c r="AE394" s="387"/>
      <c r="AF394" s="387"/>
      <c r="AG394" s="387"/>
      <c r="AH394" s="387"/>
      <c r="AI394" s="387"/>
      <c r="AJ394" s="387"/>
      <c r="AK394" s="387"/>
      <c r="AL394" s="387"/>
      <c r="AM394" s="387"/>
      <c r="AN394" s="387"/>
      <c r="AO394" s="387"/>
      <c r="AP394" s="387"/>
      <c r="AQ394" s="387"/>
      <c r="AR394" s="387"/>
      <c r="AS394" s="387"/>
      <c r="AT394" s="387"/>
    </row>
    <row r="395">
      <c r="A395" s="466">
        <v>2020.0</v>
      </c>
      <c r="B395" s="467">
        <v>45486.470347222225</v>
      </c>
      <c r="C395" s="466" t="s">
        <v>2114</v>
      </c>
      <c r="D395" s="468">
        <v>2.000016007E9</v>
      </c>
      <c r="E395" s="466" t="s">
        <v>2115</v>
      </c>
      <c r="F395" s="466">
        <v>8.2338327419E10</v>
      </c>
      <c r="G395" s="466" t="s">
        <v>2117</v>
      </c>
      <c r="H395" s="469">
        <v>45194.0</v>
      </c>
      <c r="I395" s="470">
        <v>45306.0</v>
      </c>
      <c r="J395" s="466" t="s">
        <v>399</v>
      </c>
      <c r="K395" s="466" t="s">
        <v>183</v>
      </c>
      <c r="L395" s="466" t="s">
        <v>117</v>
      </c>
      <c r="M395" s="463"/>
      <c r="N395" s="463"/>
      <c r="O395" s="463"/>
      <c r="P395" s="463"/>
      <c r="Q395" s="463"/>
      <c r="R395" s="466" t="s">
        <v>4016</v>
      </c>
      <c r="S395" s="387"/>
      <c r="T395" s="466" t="s">
        <v>183</v>
      </c>
      <c r="U395" s="466" t="s">
        <v>117</v>
      </c>
      <c r="V395" s="478" t="s">
        <v>703</v>
      </c>
      <c r="W395" s="466" t="s">
        <v>4017</v>
      </c>
      <c r="X395" s="466" t="s">
        <v>987</v>
      </c>
      <c r="Y395" s="462" t="s">
        <v>1948</v>
      </c>
      <c r="Z395" s="387"/>
      <c r="AA395" s="387"/>
      <c r="AB395" s="464" t="s">
        <v>316</v>
      </c>
      <c r="AC395" s="387"/>
      <c r="AD395" s="387"/>
      <c r="AE395" s="387"/>
      <c r="AF395" s="387"/>
      <c r="AG395" s="387"/>
      <c r="AH395" s="387"/>
      <c r="AI395" s="387"/>
      <c r="AJ395" s="387"/>
      <c r="AK395" s="387"/>
      <c r="AL395" s="387"/>
      <c r="AM395" s="387"/>
      <c r="AN395" s="387"/>
      <c r="AO395" s="387"/>
      <c r="AP395" s="387"/>
      <c r="AQ395" s="387"/>
      <c r="AR395" s="387"/>
      <c r="AS395" s="387"/>
      <c r="AT395" s="387"/>
    </row>
    <row r="396">
      <c r="A396" s="455">
        <v>2020.0</v>
      </c>
      <c r="B396" s="456">
        <v>45488.67104166667</v>
      </c>
      <c r="C396" s="455" t="s">
        <v>1942</v>
      </c>
      <c r="D396" s="457">
        <v>2.000016093E9</v>
      </c>
      <c r="E396" s="455" t="s">
        <v>1943</v>
      </c>
      <c r="F396" s="455">
        <v>8.7867321171E10</v>
      </c>
      <c r="G396" s="455" t="s">
        <v>1945</v>
      </c>
      <c r="H396" s="458">
        <v>45231.0</v>
      </c>
      <c r="I396" s="459">
        <v>45308.0</v>
      </c>
      <c r="J396" s="455" t="s">
        <v>399</v>
      </c>
      <c r="K396" s="455" t="s">
        <v>183</v>
      </c>
      <c r="L396" s="455" t="s">
        <v>2922</v>
      </c>
      <c r="M396" s="460"/>
      <c r="N396" s="460"/>
      <c r="O396" s="460"/>
      <c r="P396" s="460"/>
      <c r="Q396" s="460"/>
      <c r="R396" s="455" t="s">
        <v>4018</v>
      </c>
      <c r="S396" s="408"/>
      <c r="T396" s="455" t="s">
        <v>183</v>
      </c>
      <c r="U396" s="455" t="s">
        <v>2922</v>
      </c>
      <c r="V396" s="455" t="s">
        <v>241</v>
      </c>
      <c r="W396" s="461">
        <v>45491.0</v>
      </c>
      <c r="X396" s="455" t="s">
        <v>3592</v>
      </c>
      <c r="Y396" s="462" t="s">
        <v>1948</v>
      </c>
      <c r="Z396" s="408"/>
      <c r="AA396" s="408"/>
      <c r="AB396" s="464" t="s">
        <v>316</v>
      </c>
      <c r="AC396" s="408"/>
      <c r="AD396" s="408"/>
      <c r="AE396" s="408"/>
      <c r="AF396" s="408"/>
      <c r="AG396" s="408"/>
      <c r="AH396" s="408"/>
      <c r="AI396" s="408"/>
      <c r="AJ396" s="408"/>
      <c r="AK396" s="408"/>
      <c r="AL396" s="408"/>
      <c r="AM396" s="408"/>
      <c r="AN396" s="408"/>
      <c r="AO396" s="408"/>
      <c r="AP396" s="408"/>
      <c r="AQ396" s="408"/>
      <c r="AR396" s="408"/>
      <c r="AS396" s="408"/>
      <c r="AT396" s="408"/>
    </row>
    <row r="397">
      <c r="A397" s="455">
        <v>2020.0</v>
      </c>
      <c r="B397" s="456">
        <v>45489.60907407408</v>
      </c>
      <c r="C397" s="455" t="s">
        <v>2030</v>
      </c>
      <c r="D397" s="457">
        <v>2.000016045E9</v>
      </c>
      <c r="E397" s="455" t="s">
        <v>2031</v>
      </c>
      <c r="F397" s="455">
        <v>8.1387206453E10</v>
      </c>
      <c r="G397" s="455" t="s">
        <v>4019</v>
      </c>
      <c r="H397" s="458">
        <v>45170.0</v>
      </c>
      <c r="I397" s="459">
        <v>45307.0</v>
      </c>
      <c r="J397" s="455" t="s">
        <v>399</v>
      </c>
      <c r="K397" s="455" t="s">
        <v>1900</v>
      </c>
      <c r="L397" s="455" t="s">
        <v>2922</v>
      </c>
      <c r="M397" s="460"/>
      <c r="N397" s="460"/>
      <c r="O397" s="460"/>
      <c r="P397" s="460"/>
      <c r="Q397" s="460"/>
      <c r="R397" s="455" t="s">
        <v>4020</v>
      </c>
      <c r="S397" s="408"/>
      <c r="T397" s="455" t="s">
        <v>1900</v>
      </c>
      <c r="U397" s="455" t="s">
        <v>2922</v>
      </c>
      <c r="V397" s="455" t="s">
        <v>241</v>
      </c>
      <c r="W397" s="461">
        <v>45493.0</v>
      </c>
      <c r="X397" s="455" t="s">
        <v>3791</v>
      </c>
      <c r="Y397" s="462" t="s">
        <v>1948</v>
      </c>
      <c r="Z397" s="408"/>
      <c r="AA397" s="408"/>
      <c r="AB397" s="464" t="s">
        <v>316</v>
      </c>
      <c r="AC397" s="408"/>
      <c r="AD397" s="408"/>
      <c r="AE397" s="408"/>
      <c r="AF397" s="408"/>
      <c r="AG397" s="408"/>
      <c r="AH397" s="408"/>
      <c r="AI397" s="408"/>
      <c r="AJ397" s="408"/>
      <c r="AK397" s="408"/>
      <c r="AL397" s="408"/>
      <c r="AM397" s="408"/>
      <c r="AN397" s="408"/>
      <c r="AO397" s="408"/>
      <c r="AP397" s="408"/>
      <c r="AQ397" s="408"/>
      <c r="AR397" s="408"/>
      <c r="AS397" s="408"/>
      <c r="AT397" s="408"/>
    </row>
    <row r="398">
      <c r="A398" s="466">
        <v>2017.0</v>
      </c>
      <c r="B398" s="467">
        <v>45492.43346064815</v>
      </c>
      <c r="C398" s="466" t="s">
        <v>2381</v>
      </c>
      <c r="D398" s="468">
        <v>1.700016054E9</v>
      </c>
      <c r="E398" s="466" t="s">
        <v>2382</v>
      </c>
      <c r="F398" s="466">
        <v>8.1327112447E10</v>
      </c>
      <c r="G398" s="466" t="s">
        <v>2384</v>
      </c>
      <c r="H398" s="469">
        <v>45386.0</v>
      </c>
      <c r="I398" s="470">
        <v>45399.0</v>
      </c>
      <c r="J398" s="466" t="s">
        <v>399</v>
      </c>
      <c r="K398" s="466" t="s">
        <v>2916</v>
      </c>
      <c r="L398" s="466" t="s">
        <v>230</v>
      </c>
      <c r="M398" s="463"/>
      <c r="N398" s="463"/>
      <c r="O398" s="463"/>
      <c r="P398" s="463"/>
      <c r="Q398" s="463"/>
      <c r="R398" s="466" t="s">
        <v>4021</v>
      </c>
      <c r="S398" s="387"/>
      <c r="T398" s="466" t="s">
        <v>2916</v>
      </c>
      <c r="U398" s="466" t="s">
        <v>230</v>
      </c>
      <c r="V398" s="466" t="s">
        <v>117</v>
      </c>
      <c r="W398" s="461">
        <v>45493.0</v>
      </c>
      <c r="X398" s="466" t="s">
        <v>4022</v>
      </c>
      <c r="Y398" s="462" t="s">
        <v>1948</v>
      </c>
      <c r="Z398" s="387"/>
      <c r="AA398" s="387"/>
      <c r="AB398" s="464" t="s">
        <v>316</v>
      </c>
      <c r="AC398" s="387"/>
      <c r="AD398" s="387"/>
      <c r="AE398" s="387"/>
      <c r="AF398" s="387"/>
      <c r="AG398" s="387"/>
      <c r="AH398" s="387"/>
      <c r="AI398" s="387"/>
      <c r="AJ398" s="387"/>
      <c r="AK398" s="387"/>
      <c r="AL398" s="387"/>
      <c r="AM398" s="387"/>
      <c r="AN398" s="387"/>
      <c r="AO398" s="387"/>
      <c r="AP398" s="387"/>
      <c r="AQ398" s="387"/>
      <c r="AR398" s="387"/>
      <c r="AS398" s="387"/>
      <c r="AT398" s="387"/>
    </row>
    <row r="399">
      <c r="A399" s="455">
        <v>2019.0</v>
      </c>
      <c r="B399" s="473">
        <v>45492.608923611115</v>
      </c>
      <c r="C399" s="455" t="s">
        <v>1860</v>
      </c>
      <c r="D399" s="455">
        <v>1.900016118E9</v>
      </c>
      <c r="E399" s="455" t="s">
        <v>1861</v>
      </c>
      <c r="F399" s="455">
        <v>8.5244005724E10</v>
      </c>
      <c r="G399" s="455" t="s">
        <v>4023</v>
      </c>
      <c r="H399" s="474">
        <v>45267.0</v>
      </c>
      <c r="I399" s="475">
        <v>45281.0</v>
      </c>
      <c r="J399" s="455" t="s">
        <v>399</v>
      </c>
      <c r="K399" s="455" t="s">
        <v>183</v>
      </c>
      <c r="L399" s="455" t="s">
        <v>241</v>
      </c>
      <c r="M399" s="460"/>
      <c r="N399" s="460"/>
      <c r="O399" s="460"/>
      <c r="P399" s="460"/>
      <c r="Q399" s="460"/>
      <c r="R399" s="455" t="s">
        <v>4024</v>
      </c>
      <c r="S399" s="408"/>
      <c r="T399" s="455" t="s">
        <v>183</v>
      </c>
      <c r="U399" s="455" t="s">
        <v>241</v>
      </c>
      <c r="V399" s="455" t="s">
        <v>2916</v>
      </c>
      <c r="W399" s="479">
        <v>45498.0</v>
      </c>
      <c r="X399" s="455" t="s">
        <v>3406</v>
      </c>
      <c r="Y399" s="462" t="s">
        <v>1948</v>
      </c>
      <c r="Z399" s="408"/>
      <c r="AA399" s="408"/>
      <c r="AB399" s="464" t="s">
        <v>316</v>
      </c>
      <c r="AC399" s="408"/>
      <c r="AD399" s="408"/>
      <c r="AE399" s="408"/>
      <c r="AF399" s="408"/>
      <c r="AG399" s="408"/>
      <c r="AH399" s="408"/>
      <c r="AI399" s="408"/>
      <c r="AJ399" s="408"/>
      <c r="AK399" s="408"/>
      <c r="AL399" s="408"/>
      <c r="AM399" s="408"/>
      <c r="AN399" s="408"/>
      <c r="AO399" s="408"/>
      <c r="AP399" s="408"/>
      <c r="AQ399" s="408"/>
      <c r="AR399" s="408"/>
      <c r="AS399" s="408"/>
      <c r="AT399" s="408"/>
    </row>
    <row r="400">
      <c r="A400" s="466">
        <v>2019.0</v>
      </c>
      <c r="B400" s="467">
        <v>45494.11275462963</v>
      </c>
      <c r="C400" s="466" t="s">
        <v>1936</v>
      </c>
      <c r="D400" s="468">
        <v>1.900016067E9</v>
      </c>
      <c r="E400" s="466" t="s">
        <v>1937</v>
      </c>
      <c r="F400" s="466">
        <v>8.133725907E10</v>
      </c>
      <c r="G400" s="466" t="s">
        <v>4025</v>
      </c>
      <c r="H400" s="469">
        <v>45217.0</v>
      </c>
      <c r="I400" s="470">
        <v>45299.0</v>
      </c>
      <c r="J400" s="466" t="s">
        <v>399</v>
      </c>
      <c r="K400" s="466" t="s">
        <v>241</v>
      </c>
      <c r="L400" s="466" t="s">
        <v>2617</v>
      </c>
      <c r="M400" s="463"/>
      <c r="N400" s="463"/>
      <c r="O400" s="463"/>
      <c r="P400" s="463"/>
      <c r="Q400" s="463"/>
      <c r="R400" s="466" t="s">
        <v>4026</v>
      </c>
      <c r="S400" s="387"/>
      <c r="T400" s="387"/>
      <c r="U400" s="466" t="s">
        <v>2916</v>
      </c>
      <c r="V400" s="466" t="s">
        <v>703</v>
      </c>
      <c r="W400" s="479">
        <v>45498.0</v>
      </c>
      <c r="X400" s="466" t="s">
        <v>4027</v>
      </c>
      <c r="Y400" s="462" t="s">
        <v>1948</v>
      </c>
      <c r="Z400" s="387"/>
      <c r="AA400" s="387"/>
      <c r="AB400" s="464" t="s">
        <v>316</v>
      </c>
      <c r="AC400" s="387"/>
      <c r="AD400" s="387"/>
      <c r="AE400" s="387"/>
      <c r="AF400" s="387"/>
      <c r="AG400" s="387"/>
      <c r="AH400" s="387"/>
      <c r="AI400" s="387"/>
      <c r="AJ400" s="387"/>
      <c r="AK400" s="387"/>
      <c r="AL400" s="387"/>
      <c r="AM400" s="387"/>
      <c r="AN400" s="387"/>
      <c r="AO400" s="387"/>
      <c r="AP400" s="387"/>
      <c r="AQ400" s="387"/>
      <c r="AR400" s="387"/>
      <c r="AS400" s="387"/>
      <c r="AT400" s="387"/>
    </row>
    <row r="401">
      <c r="A401" s="455">
        <v>2020.0</v>
      </c>
      <c r="B401" s="456">
        <v>45495.604675925926</v>
      </c>
      <c r="C401" s="455" t="s">
        <v>4028</v>
      </c>
      <c r="D401" s="457">
        <v>2.015016056E9</v>
      </c>
      <c r="E401" s="455" t="s">
        <v>1987</v>
      </c>
      <c r="F401" s="455">
        <v>8.1548692036E10</v>
      </c>
      <c r="G401" s="455" t="s">
        <v>4029</v>
      </c>
      <c r="H401" s="458">
        <v>45323.0</v>
      </c>
      <c r="I401" s="459">
        <v>45308.0</v>
      </c>
      <c r="J401" s="455" t="s">
        <v>399</v>
      </c>
      <c r="K401" s="455" t="s">
        <v>183</v>
      </c>
      <c r="L401" s="455" t="s">
        <v>241</v>
      </c>
      <c r="M401" s="460"/>
      <c r="N401" s="460"/>
      <c r="O401" s="460"/>
      <c r="P401" s="460"/>
      <c r="Q401" s="460"/>
      <c r="R401" s="455" t="s">
        <v>4030</v>
      </c>
      <c r="S401" s="408"/>
      <c r="T401" s="455" t="s">
        <v>183</v>
      </c>
      <c r="U401" s="455" t="s">
        <v>241</v>
      </c>
      <c r="V401" s="455" t="s">
        <v>703</v>
      </c>
      <c r="W401" s="479">
        <v>45499.0</v>
      </c>
      <c r="X401" s="455" t="s">
        <v>3406</v>
      </c>
      <c r="Y401" s="462" t="s">
        <v>1948</v>
      </c>
      <c r="Z401" s="408"/>
      <c r="AA401" s="408"/>
      <c r="AB401" s="464" t="s">
        <v>316</v>
      </c>
      <c r="AC401" s="408"/>
      <c r="AD401" s="408"/>
      <c r="AE401" s="408"/>
      <c r="AF401" s="408"/>
      <c r="AG401" s="408"/>
      <c r="AH401" s="408"/>
      <c r="AI401" s="408"/>
      <c r="AJ401" s="408"/>
      <c r="AK401" s="408"/>
      <c r="AL401" s="408"/>
      <c r="AM401" s="408"/>
      <c r="AN401" s="408"/>
      <c r="AO401" s="408"/>
      <c r="AP401" s="408"/>
      <c r="AQ401" s="408"/>
      <c r="AR401" s="408"/>
      <c r="AS401" s="408"/>
      <c r="AT401" s="408"/>
    </row>
    <row r="402">
      <c r="A402" s="455">
        <v>2020.0</v>
      </c>
      <c r="B402" s="456">
        <v>45499.98023148148</v>
      </c>
      <c r="C402" s="455" t="s">
        <v>2108</v>
      </c>
      <c r="D402" s="457">
        <v>2.000016002E9</v>
      </c>
      <c r="E402" s="455" t="s">
        <v>2109</v>
      </c>
      <c r="F402" s="455">
        <v>6.2895394477132E13</v>
      </c>
      <c r="G402" s="455" t="s">
        <v>4031</v>
      </c>
      <c r="H402" s="458">
        <v>45248.0</v>
      </c>
      <c r="I402" s="459">
        <v>45307.0</v>
      </c>
      <c r="J402" s="455" t="s">
        <v>399</v>
      </c>
      <c r="K402" s="455" t="s">
        <v>1900</v>
      </c>
      <c r="L402" s="455" t="s">
        <v>2922</v>
      </c>
      <c r="M402" s="460"/>
      <c r="N402" s="460"/>
      <c r="O402" s="460"/>
      <c r="P402" s="460"/>
      <c r="Q402" s="460"/>
      <c r="R402" s="455" t="s">
        <v>4032</v>
      </c>
      <c r="S402" s="408"/>
      <c r="T402" s="455" t="s">
        <v>1900</v>
      </c>
      <c r="U402" s="455" t="s">
        <v>2922</v>
      </c>
      <c r="V402" s="455" t="s">
        <v>3013</v>
      </c>
      <c r="W402" s="480">
        <v>45505.0</v>
      </c>
      <c r="X402" s="455" t="s">
        <v>3406</v>
      </c>
      <c r="Y402" s="462" t="s">
        <v>1948</v>
      </c>
      <c r="Z402" s="408"/>
      <c r="AA402" s="408"/>
      <c r="AB402" s="464" t="s">
        <v>316</v>
      </c>
      <c r="AC402" s="408"/>
      <c r="AD402" s="408"/>
      <c r="AE402" s="408"/>
      <c r="AF402" s="408"/>
      <c r="AG402" s="408"/>
      <c r="AH402" s="408"/>
      <c r="AI402" s="408"/>
      <c r="AJ402" s="408"/>
      <c r="AK402" s="408"/>
      <c r="AL402" s="408"/>
      <c r="AM402" s="408"/>
      <c r="AN402" s="408"/>
      <c r="AO402" s="408"/>
      <c r="AP402" s="408"/>
      <c r="AQ402" s="408"/>
      <c r="AR402" s="408"/>
      <c r="AS402" s="408"/>
      <c r="AT402" s="408"/>
    </row>
    <row r="403">
      <c r="A403" s="466">
        <v>2020.0</v>
      </c>
      <c r="B403" s="467">
        <v>45500.791342592594</v>
      </c>
      <c r="C403" s="466" t="s">
        <v>4033</v>
      </c>
      <c r="D403" s="468">
        <v>2.000016116E9</v>
      </c>
      <c r="E403" s="466" t="s">
        <v>2125</v>
      </c>
      <c r="F403" s="466">
        <v>8.2325412481E10</v>
      </c>
      <c r="G403" s="466" t="s">
        <v>4034</v>
      </c>
      <c r="H403" s="469">
        <v>45357.0</v>
      </c>
      <c r="I403" s="470">
        <v>45306.0</v>
      </c>
      <c r="J403" s="466" t="s">
        <v>399</v>
      </c>
      <c r="K403" s="466" t="s">
        <v>1900</v>
      </c>
      <c r="L403" s="466" t="s">
        <v>117</v>
      </c>
      <c r="M403" s="463"/>
      <c r="N403" s="463"/>
      <c r="O403" s="463"/>
      <c r="P403" s="463"/>
      <c r="Q403" s="463"/>
      <c r="R403" s="466" t="s">
        <v>4035</v>
      </c>
      <c r="S403" s="387"/>
      <c r="T403" s="466" t="s">
        <v>1900</v>
      </c>
      <c r="U403" s="466" t="s">
        <v>117</v>
      </c>
      <c r="V403" s="466" t="s">
        <v>703</v>
      </c>
      <c r="W403" s="477">
        <v>45506.0</v>
      </c>
      <c r="X403" s="455" t="s">
        <v>3406</v>
      </c>
      <c r="Y403" s="462" t="s">
        <v>1948</v>
      </c>
      <c r="Z403" s="387"/>
      <c r="AA403" s="387"/>
      <c r="AB403" s="464" t="s">
        <v>316</v>
      </c>
      <c r="AC403" s="387"/>
      <c r="AD403" s="387"/>
      <c r="AE403" s="387"/>
      <c r="AF403" s="387"/>
      <c r="AG403" s="387"/>
      <c r="AH403" s="387"/>
      <c r="AI403" s="387"/>
      <c r="AJ403" s="387"/>
      <c r="AK403" s="387"/>
      <c r="AL403" s="387"/>
      <c r="AM403" s="387"/>
      <c r="AN403" s="387"/>
      <c r="AO403" s="387"/>
      <c r="AP403" s="387"/>
      <c r="AQ403" s="387"/>
      <c r="AR403" s="387"/>
      <c r="AS403" s="387"/>
      <c r="AT403" s="387"/>
    </row>
    <row r="404">
      <c r="A404" s="466">
        <v>2019.0</v>
      </c>
      <c r="B404" s="467">
        <v>45500.817465277774</v>
      </c>
      <c r="C404" s="466" t="s">
        <v>1780</v>
      </c>
      <c r="D404" s="468">
        <v>1.900016112E9</v>
      </c>
      <c r="E404" s="466" t="s">
        <v>1851</v>
      </c>
      <c r="F404" s="466">
        <v>8.2199255314E10</v>
      </c>
      <c r="G404" s="466" t="s">
        <v>4036</v>
      </c>
      <c r="H404" s="469">
        <v>45118.0</v>
      </c>
      <c r="I404" s="470">
        <v>45260.0</v>
      </c>
      <c r="J404" s="466" t="s">
        <v>399</v>
      </c>
      <c r="K404" s="466" t="s">
        <v>2916</v>
      </c>
      <c r="L404" s="466" t="s">
        <v>241</v>
      </c>
      <c r="M404" s="463"/>
      <c r="N404" s="463"/>
      <c r="O404" s="463"/>
      <c r="P404" s="463"/>
      <c r="Q404" s="463"/>
      <c r="R404" s="466" t="s">
        <v>4037</v>
      </c>
      <c r="S404" s="387"/>
      <c r="T404" s="466" t="s">
        <v>2916</v>
      </c>
      <c r="U404" s="466" t="s">
        <v>241</v>
      </c>
      <c r="V404" s="466" t="s">
        <v>183</v>
      </c>
      <c r="W404" s="471">
        <v>45510.0</v>
      </c>
      <c r="X404" s="455" t="s">
        <v>3406</v>
      </c>
      <c r="Y404" s="462" t="s">
        <v>1948</v>
      </c>
      <c r="Z404" s="387"/>
      <c r="AA404" s="387"/>
      <c r="AB404" s="464" t="s">
        <v>316</v>
      </c>
      <c r="AC404" s="387"/>
      <c r="AD404" s="387"/>
      <c r="AE404" s="387"/>
      <c r="AF404" s="387"/>
      <c r="AG404" s="387"/>
      <c r="AH404" s="387"/>
      <c r="AI404" s="387"/>
      <c r="AJ404" s="387"/>
      <c r="AK404" s="387"/>
      <c r="AL404" s="387"/>
      <c r="AM404" s="387"/>
      <c r="AN404" s="387"/>
      <c r="AO404" s="387"/>
      <c r="AP404" s="387"/>
      <c r="AQ404" s="387"/>
      <c r="AR404" s="387"/>
      <c r="AS404" s="387"/>
      <c r="AT404" s="387"/>
    </row>
    <row r="405">
      <c r="A405" s="466">
        <v>2019.0</v>
      </c>
      <c r="B405" s="467">
        <v>45500.81778935185</v>
      </c>
      <c r="C405" s="466" t="s">
        <v>1847</v>
      </c>
      <c r="D405" s="468">
        <v>1.900016147E9</v>
      </c>
      <c r="E405" s="466" t="s">
        <v>1617</v>
      </c>
      <c r="F405" s="466">
        <v>8.5260029954E10</v>
      </c>
      <c r="G405" s="466" t="s">
        <v>1849</v>
      </c>
      <c r="H405" s="469">
        <v>45118.0</v>
      </c>
      <c r="I405" s="470">
        <v>45260.0</v>
      </c>
      <c r="J405" s="466" t="s">
        <v>399</v>
      </c>
      <c r="K405" s="466" t="s">
        <v>2916</v>
      </c>
      <c r="L405" s="466" t="s">
        <v>241</v>
      </c>
      <c r="M405" s="463"/>
      <c r="N405" s="463"/>
      <c r="O405" s="463"/>
      <c r="P405" s="463"/>
      <c r="Q405" s="463"/>
      <c r="R405" s="466" t="s">
        <v>4038</v>
      </c>
      <c r="S405" s="387"/>
      <c r="T405" s="466" t="s">
        <v>2916</v>
      </c>
      <c r="U405" s="466" t="s">
        <v>241</v>
      </c>
      <c r="V405" s="466" t="s">
        <v>3013</v>
      </c>
      <c r="W405" s="471">
        <v>45510.0</v>
      </c>
      <c r="X405" s="466" t="s">
        <v>3592</v>
      </c>
      <c r="Y405" s="462" t="s">
        <v>1948</v>
      </c>
      <c r="Z405" s="387"/>
      <c r="AA405" s="387"/>
      <c r="AB405" s="464" t="s">
        <v>316</v>
      </c>
      <c r="AC405" s="387"/>
      <c r="AD405" s="387"/>
      <c r="AE405" s="387"/>
      <c r="AF405" s="387"/>
      <c r="AG405" s="387"/>
      <c r="AH405" s="387"/>
      <c r="AI405" s="387"/>
      <c r="AJ405" s="387"/>
      <c r="AK405" s="387"/>
      <c r="AL405" s="387"/>
      <c r="AM405" s="387"/>
      <c r="AN405" s="387"/>
      <c r="AO405" s="387"/>
      <c r="AP405" s="387"/>
      <c r="AQ405" s="387"/>
      <c r="AR405" s="387"/>
      <c r="AS405" s="387"/>
      <c r="AT405" s="387"/>
    </row>
    <row r="406">
      <c r="A406" s="466">
        <v>2020.0</v>
      </c>
      <c r="B406" s="467">
        <v>45501.71167824074</v>
      </c>
      <c r="C406" s="466" t="s">
        <v>2019</v>
      </c>
      <c r="D406" s="468">
        <v>2.00001604E9</v>
      </c>
      <c r="E406" s="466" t="s">
        <v>2020</v>
      </c>
      <c r="F406" s="466">
        <v>8.5877140414E10</v>
      </c>
      <c r="G406" s="466" t="s">
        <v>2022</v>
      </c>
      <c r="H406" s="469">
        <v>45200.0</v>
      </c>
      <c r="I406" s="470">
        <v>45306.0</v>
      </c>
      <c r="J406" s="466" t="s">
        <v>399</v>
      </c>
      <c r="K406" s="466" t="s">
        <v>241</v>
      </c>
      <c r="L406" s="466" t="s">
        <v>2617</v>
      </c>
      <c r="M406" s="463"/>
      <c r="N406" s="463"/>
      <c r="O406" s="463"/>
      <c r="P406" s="463"/>
      <c r="Q406" s="463"/>
      <c r="R406" s="466" t="s">
        <v>4039</v>
      </c>
      <c r="S406" s="387"/>
      <c r="T406" s="466" t="s">
        <v>241</v>
      </c>
      <c r="U406" s="466" t="s">
        <v>2617</v>
      </c>
      <c r="V406" s="466" t="s">
        <v>3013</v>
      </c>
      <c r="W406" s="471">
        <v>45506.0</v>
      </c>
      <c r="X406" s="466" t="s">
        <v>4040</v>
      </c>
      <c r="Y406" s="462" t="s">
        <v>1948</v>
      </c>
      <c r="Z406" s="387"/>
      <c r="AA406" s="387"/>
      <c r="AB406" s="464" t="s">
        <v>316</v>
      </c>
      <c r="AC406" s="387"/>
      <c r="AD406" s="387"/>
      <c r="AE406" s="387"/>
      <c r="AF406" s="387"/>
      <c r="AG406" s="387"/>
      <c r="AH406" s="387"/>
      <c r="AI406" s="387"/>
      <c r="AJ406" s="387"/>
      <c r="AK406" s="387"/>
      <c r="AL406" s="387"/>
      <c r="AM406" s="387"/>
      <c r="AN406" s="387"/>
      <c r="AO406" s="387"/>
      <c r="AP406" s="387"/>
      <c r="AQ406" s="387"/>
      <c r="AR406" s="387"/>
      <c r="AS406" s="387"/>
      <c r="AT406" s="387"/>
    </row>
    <row r="407">
      <c r="A407" s="466">
        <v>2020.0</v>
      </c>
      <c r="B407" s="467">
        <v>45501.72430555556</v>
      </c>
      <c r="C407" s="466" t="s">
        <v>2014</v>
      </c>
      <c r="D407" s="468">
        <v>2.000016042E9</v>
      </c>
      <c r="E407" s="466" t="s">
        <v>2015</v>
      </c>
      <c r="F407" s="466">
        <v>8.993837223E9</v>
      </c>
      <c r="G407" s="466" t="s">
        <v>2017</v>
      </c>
      <c r="H407" s="469">
        <v>45200.0</v>
      </c>
      <c r="I407" s="470">
        <v>45306.0</v>
      </c>
      <c r="J407" s="466" t="s">
        <v>399</v>
      </c>
      <c r="K407" s="466" t="s">
        <v>241</v>
      </c>
      <c r="L407" s="466" t="s">
        <v>2617</v>
      </c>
      <c r="M407" s="463"/>
      <c r="N407" s="463"/>
      <c r="O407" s="463"/>
      <c r="P407" s="463"/>
      <c r="Q407" s="463"/>
      <c r="R407" s="466" t="s">
        <v>4041</v>
      </c>
      <c r="S407" s="387"/>
      <c r="T407" s="466" t="s">
        <v>241</v>
      </c>
      <c r="U407" s="466" t="s">
        <v>2617</v>
      </c>
      <c r="V407" s="466" t="s">
        <v>1900</v>
      </c>
      <c r="W407" s="471">
        <v>45507.0</v>
      </c>
      <c r="X407" s="466" t="s">
        <v>3592</v>
      </c>
      <c r="Y407" s="462" t="s">
        <v>1948</v>
      </c>
      <c r="Z407" s="387"/>
      <c r="AA407" s="387"/>
      <c r="AB407" s="464" t="s">
        <v>316</v>
      </c>
      <c r="AC407" s="387"/>
      <c r="AD407" s="387"/>
      <c r="AE407" s="387"/>
      <c r="AF407" s="387"/>
      <c r="AG407" s="387"/>
      <c r="AH407" s="387"/>
      <c r="AI407" s="387"/>
      <c r="AJ407" s="387"/>
      <c r="AK407" s="387"/>
      <c r="AL407" s="387"/>
      <c r="AM407" s="387"/>
      <c r="AN407" s="387"/>
      <c r="AO407" s="387"/>
      <c r="AP407" s="387"/>
      <c r="AQ407" s="387"/>
      <c r="AR407" s="387"/>
      <c r="AS407" s="387"/>
      <c r="AT407" s="387"/>
    </row>
    <row r="408">
      <c r="A408" s="466">
        <v>2020.0</v>
      </c>
      <c r="B408" s="467">
        <v>45504.51357638889</v>
      </c>
      <c r="C408" s="466" t="s">
        <v>2307</v>
      </c>
      <c r="D408" s="468">
        <v>2.000016102E9</v>
      </c>
      <c r="E408" s="466" t="s">
        <v>2308</v>
      </c>
      <c r="F408" s="466">
        <v>8.5759460875E10</v>
      </c>
      <c r="G408" s="466" t="s">
        <v>4042</v>
      </c>
      <c r="H408" s="469">
        <v>45230.0</v>
      </c>
      <c r="I408" s="470">
        <v>45313.0</v>
      </c>
      <c r="J408" s="466" t="s">
        <v>399</v>
      </c>
      <c r="K408" s="466" t="s">
        <v>241</v>
      </c>
      <c r="L408" s="466" t="s">
        <v>2617</v>
      </c>
      <c r="M408" s="463"/>
      <c r="N408" s="463"/>
      <c r="O408" s="463"/>
      <c r="P408" s="463"/>
      <c r="Q408" s="463"/>
      <c r="R408" s="466" t="s">
        <v>4043</v>
      </c>
      <c r="S408" s="387"/>
      <c r="T408" s="466" t="s">
        <v>241</v>
      </c>
      <c r="U408" s="466" t="s">
        <v>2617</v>
      </c>
      <c r="V408" s="466" t="s">
        <v>3013</v>
      </c>
      <c r="W408" s="471">
        <v>45509.0</v>
      </c>
      <c r="X408" s="466" t="s">
        <v>3468</v>
      </c>
      <c r="Y408" s="462" t="s">
        <v>1948</v>
      </c>
      <c r="Z408" s="387"/>
      <c r="AA408" s="387"/>
      <c r="AB408" s="464" t="s">
        <v>316</v>
      </c>
      <c r="AC408" s="387"/>
      <c r="AD408" s="387"/>
      <c r="AE408" s="387"/>
      <c r="AF408" s="387"/>
      <c r="AG408" s="387"/>
      <c r="AH408" s="387"/>
      <c r="AI408" s="387"/>
      <c r="AJ408" s="387"/>
      <c r="AK408" s="387"/>
      <c r="AL408" s="387"/>
      <c r="AM408" s="387"/>
      <c r="AN408" s="387"/>
      <c r="AO408" s="387"/>
      <c r="AP408" s="387"/>
      <c r="AQ408" s="387"/>
      <c r="AR408" s="387"/>
      <c r="AS408" s="387"/>
      <c r="AT408" s="387"/>
    </row>
    <row r="409">
      <c r="A409" s="466">
        <v>2019.0</v>
      </c>
      <c r="B409" s="467">
        <v>45505.59373842592</v>
      </c>
      <c r="C409" s="466" t="s">
        <v>1638</v>
      </c>
      <c r="D409" s="468">
        <v>1.900016079E9</v>
      </c>
      <c r="E409" s="466" t="s">
        <v>4044</v>
      </c>
      <c r="F409" s="466">
        <v>8.7770275409E10</v>
      </c>
      <c r="G409" s="466" t="s">
        <v>4045</v>
      </c>
      <c r="H409" s="469">
        <v>45092.0</v>
      </c>
      <c r="I409" s="470">
        <v>45294.0</v>
      </c>
      <c r="J409" s="466" t="s">
        <v>399</v>
      </c>
      <c r="K409" s="466" t="s">
        <v>747</v>
      </c>
      <c r="L409" s="466" t="s">
        <v>2922</v>
      </c>
      <c r="M409" s="463"/>
      <c r="N409" s="463"/>
      <c r="O409" s="463"/>
      <c r="P409" s="463"/>
      <c r="Q409" s="463"/>
      <c r="R409" s="466" t="s">
        <v>4046</v>
      </c>
      <c r="S409" s="387"/>
      <c r="T409" s="466" t="s">
        <v>747</v>
      </c>
      <c r="U409" s="466" t="s">
        <v>2922</v>
      </c>
      <c r="V409" s="466" t="s">
        <v>117</v>
      </c>
      <c r="W409" s="471">
        <v>45512.0</v>
      </c>
      <c r="X409" s="466" t="s">
        <v>3406</v>
      </c>
      <c r="Y409" s="462" t="s">
        <v>1948</v>
      </c>
      <c r="Z409" s="387"/>
      <c r="AA409" s="387"/>
      <c r="AB409" s="464" t="s">
        <v>316</v>
      </c>
      <c r="AC409" s="387"/>
      <c r="AD409" s="387"/>
      <c r="AE409" s="387"/>
      <c r="AF409" s="387"/>
      <c r="AG409" s="387"/>
      <c r="AH409" s="387"/>
      <c r="AI409" s="387"/>
      <c r="AJ409" s="387"/>
      <c r="AK409" s="387"/>
      <c r="AL409" s="387"/>
      <c r="AM409" s="387"/>
      <c r="AN409" s="387"/>
      <c r="AO409" s="387"/>
      <c r="AP409" s="387"/>
      <c r="AQ409" s="387"/>
      <c r="AR409" s="387"/>
      <c r="AS409" s="387"/>
      <c r="AT409" s="387"/>
    </row>
    <row r="410">
      <c r="A410" s="466">
        <v>2020.0</v>
      </c>
      <c r="B410" s="467">
        <v>45511.37008101852</v>
      </c>
      <c r="C410" s="466" t="s">
        <v>4047</v>
      </c>
      <c r="D410" s="468">
        <v>2.000016016E9</v>
      </c>
      <c r="E410" s="466" t="s">
        <v>4048</v>
      </c>
      <c r="F410" s="466">
        <v>8.134975046E10</v>
      </c>
      <c r="G410" s="466" t="s">
        <v>2068</v>
      </c>
      <c r="H410" s="469">
        <v>45224.0</v>
      </c>
      <c r="I410" s="470">
        <v>45308.0</v>
      </c>
      <c r="J410" s="466" t="s">
        <v>399</v>
      </c>
      <c r="K410" s="466" t="s">
        <v>183</v>
      </c>
      <c r="L410" s="466" t="s">
        <v>241</v>
      </c>
      <c r="M410" s="463"/>
      <c r="N410" s="463"/>
      <c r="O410" s="463"/>
      <c r="P410" s="463"/>
      <c r="Q410" s="463"/>
      <c r="R410" s="466" t="s">
        <v>4049</v>
      </c>
      <c r="S410" s="387"/>
      <c r="T410" s="466" t="s">
        <v>183</v>
      </c>
      <c r="U410" s="466" t="s">
        <v>241</v>
      </c>
      <c r="V410" s="466" t="s">
        <v>3013</v>
      </c>
      <c r="W410" s="471">
        <v>45516.0</v>
      </c>
      <c r="X410" s="466" t="s">
        <v>3468</v>
      </c>
      <c r="Y410" s="462" t="s">
        <v>1948</v>
      </c>
      <c r="Z410" s="387"/>
      <c r="AA410" s="387"/>
      <c r="AB410" s="464" t="s">
        <v>316</v>
      </c>
      <c r="AC410" s="387"/>
      <c r="AD410" s="387"/>
      <c r="AE410" s="387"/>
      <c r="AF410" s="387"/>
      <c r="AG410" s="387"/>
      <c r="AH410" s="387"/>
      <c r="AI410" s="387"/>
      <c r="AJ410" s="387"/>
      <c r="AK410" s="387"/>
      <c r="AL410" s="387"/>
      <c r="AM410" s="387"/>
      <c r="AN410" s="387"/>
      <c r="AO410" s="387"/>
      <c r="AP410" s="387"/>
      <c r="AQ410" s="387"/>
      <c r="AR410" s="387"/>
      <c r="AS410" s="387"/>
      <c r="AT410" s="387"/>
    </row>
    <row r="411">
      <c r="A411" s="466">
        <v>2020.0</v>
      </c>
      <c r="B411" s="467">
        <v>45512.98490740741</v>
      </c>
      <c r="C411" s="466" t="s">
        <v>4050</v>
      </c>
      <c r="D411" s="468">
        <v>2.000016146E9</v>
      </c>
      <c r="E411" s="466" t="s">
        <v>2083</v>
      </c>
      <c r="F411" s="466">
        <v>8.2225118125E10</v>
      </c>
      <c r="G411" s="466" t="s">
        <v>4051</v>
      </c>
      <c r="H411" s="469">
        <v>45238.0</v>
      </c>
      <c r="I411" s="470">
        <v>45307.0</v>
      </c>
      <c r="J411" s="466" t="s">
        <v>399</v>
      </c>
      <c r="K411" s="466" t="s">
        <v>2916</v>
      </c>
      <c r="L411" s="466" t="s">
        <v>241</v>
      </c>
      <c r="M411" s="463"/>
      <c r="N411" s="463"/>
      <c r="O411" s="463"/>
      <c r="P411" s="463"/>
      <c r="Q411" s="463"/>
      <c r="R411" s="466" t="s">
        <v>4052</v>
      </c>
      <c r="S411" s="387"/>
      <c r="T411" s="466" t="s">
        <v>2916</v>
      </c>
      <c r="U411" s="466" t="s">
        <v>241</v>
      </c>
      <c r="V411" s="466" t="s">
        <v>183</v>
      </c>
      <c r="W411" s="471">
        <v>45519.0</v>
      </c>
      <c r="X411" s="466" t="s">
        <v>987</v>
      </c>
      <c r="Y411" s="462" t="s">
        <v>1948</v>
      </c>
      <c r="Z411" s="387"/>
      <c r="AA411" s="387"/>
      <c r="AB411" s="464" t="s">
        <v>316</v>
      </c>
      <c r="AC411" s="387"/>
      <c r="AD411" s="387"/>
      <c r="AE411" s="387"/>
      <c r="AF411" s="387"/>
      <c r="AG411" s="387"/>
      <c r="AH411" s="387"/>
      <c r="AI411" s="387"/>
      <c r="AJ411" s="387"/>
      <c r="AK411" s="387"/>
      <c r="AL411" s="387"/>
      <c r="AM411" s="387"/>
      <c r="AN411" s="387"/>
      <c r="AO411" s="387"/>
      <c r="AP411" s="387"/>
      <c r="AQ411" s="387"/>
      <c r="AR411" s="387"/>
      <c r="AS411" s="387"/>
      <c r="AT411" s="387"/>
    </row>
    <row r="412">
      <c r="A412" s="466">
        <v>2018.0</v>
      </c>
      <c r="B412" s="467">
        <v>45513.51126157407</v>
      </c>
      <c r="C412" s="466" t="s">
        <v>1091</v>
      </c>
      <c r="D412" s="468">
        <v>1.800016129E9</v>
      </c>
      <c r="E412" s="466" t="s">
        <v>1092</v>
      </c>
      <c r="F412" s="466">
        <v>8.1235065954E10</v>
      </c>
      <c r="G412" s="466" t="s">
        <v>1473</v>
      </c>
      <c r="H412" s="469">
        <v>45047.0</v>
      </c>
      <c r="I412" s="470">
        <v>45097.0</v>
      </c>
      <c r="J412" s="466" t="s">
        <v>399</v>
      </c>
      <c r="K412" s="466" t="s">
        <v>2617</v>
      </c>
      <c r="L412" s="466" t="s">
        <v>2922</v>
      </c>
      <c r="M412" s="463"/>
      <c r="N412" s="463"/>
      <c r="O412" s="463"/>
      <c r="P412" s="463"/>
      <c r="Q412" s="463"/>
      <c r="R412" s="466" t="s">
        <v>4053</v>
      </c>
      <c r="S412" s="387"/>
      <c r="T412" s="466" t="s">
        <v>2617</v>
      </c>
      <c r="U412" s="466" t="s">
        <v>2922</v>
      </c>
      <c r="V412" s="478" t="s">
        <v>1900</v>
      </c>
      <c r="W412" s="471">
        <v>45518.0</v>
      </c>
      <c r="X412" s="466" t="s">
        <v>3468</v>
      </c>
      <c r="Y412" s="462" t="s">
        <v>1948</v>
      </c>
      <c r="Z412" s="387"/>
      <c r="AA412" s="387"/>
      <c r="AB412" s="464" t="s">
        <v>316</v>
      </c>
      <c r="AC412" s="387"/>
      <c r="AD412" s="387"/>
      <c r="AE412" s="387"/>
      <c r="AF412" s="387"/>
      <c r="AG412" s="387"/>
      <c r="AH412" s="387"/>
      <c r="AI412" s="387"/>
      <c r="AJ412" s="387"/>
      <c r="AK412" s="387"/>
      <c r="AL412" s="387"/>
      <c r="AM412" s="387"/>
      <c r="AN412" s="387"/>
      <c r="AO412" s="387"/>
      <c r="AP412" s="387"/>
      <c r="AQ412" s="387"/>
      <c r="AR412" s="387"/>
      <c r="AS412" s="387"/>
      <c r="AT412" s="387"/>
    </row>
    <row r="413">
      <c r="A413" s="466">
        <v>2020.0</v>
      </c>
      <c r="B413" s="467">
        <v>45514.85601851852</v>
      </c>
      <c r="C413" s="466" t="s">
        <v>1961</v>
      </c>
      <c r="D413" s="468">
        <v>2.000016135E9</v>
      </c>
      <c r="E413" s="466" t="s">
        <v>1962</v>
      </c>
      <c r="F413" s="466">
        <v>8.952914406E10</v>
      </c>
      <c r="G413" s="466" t="s">
        <v>4054</v>
      </c>
      <c r="H413" s="469">
        <v>45363.0</v>
      </c>
      <c r="I413" s="470">
        <v>45309.0</v>
      </c>
      <c r="J413" s="466" t="s">
        <v>399</v>
      </c>
      <c r="K413" s="466" t="s">
        <v>747</v>
      </c>
      <c r="L413" s="466" t="s">
        <v>2379</v>
      </c>
      <c r="M413" s="463"/>
      <c r="N413" s="463"/>
      <c r="O413" s="463"/>
      <c r="P413" s="463"/>
      <c r="Q413" s="463"/>
      <c r="R413" s="466" t="s">
        <v>4055</v>
      </c>
      <c r="S413" s="387"/>
      <c r="T413" s="466" t="s">
        <v>747</v>
      </c>
      <c r="U413" s="466" t="s">
        <v>2379</v>
      </c>
      <c r="V413" s="466" t="s">
        <v>1900</v>
      </c>
      <c r="W413" s="471">
        <v>45520.0</v>
      </c>
      <c r="X413" s="466" t="s">
        <v>987</v>
      </c>
      <c r="Y413" s="462" t="s">
        <v>1948</v>
      </c>
      <c r="Z413" s="387"/>
      <c r="AA413" s="387"/>
      <c r="AB413" s="464" t="s">
        <v>316</v>
      </c>
      <c r="AC413" s="387"/>
      <c r="AD413" s="387"/>
      <c r="AE413" s="387"/>
      <c r="AF413" s="387"/>
      <c r="AG413" s="387"/>
      <c r="AH413" s="387"/>
      <c r="AI413" s="387"/>
      <c r="AJ413" s="387"/>
      <c r="AK413" s="387"/>
      <c r="AL413" s="387"/>
      <c r="AM413" s="387"/>
      <c r="AN413" s="387"/>
      <c r="AO413" s="387"/>
      <c r="AP413" s="387"/>
      <c r="AQ413" s="387"/>
      <c r="AR413" s="387"/>
      <c r="AS413" s="387"/>
      <c r="AT413" s="387"/>
    </row>
    <row r="414">
      <c r="A414" s="455">
        <v>2020.0</v>
      </c>
      <c r="B414" s="456">
        <v>45521.61914351852</v>
      </c>
      <c r="C414" s="455" t="s">
        <v>2053</v>
      </c>
      <c r="D414" s="457">
        <v>2.000016097E9</v>
      </c>
      <c r="E414" s="455" t="s">
        <v>2054</v>
      </c>
      <c r="F414" s="455">
        <v>8.1226530042E10</v>
      </c>
      <c r="G414" s="455" t="s">
        <v>4056</v>
      </c>
      <c r="H414" s="458">
        <v>45187.0</v>
      </c>
      <c r="I414" s="459">
        <v>45309.0</v>
      </c>
      <c r="J414" s="455" t="s">
        <v>399</v>
      </c>
      <c r="K414" s="455" t="s">
        <v>747</v>
      </c>
      <c r="L414" s="455" t="s">
        <v>2617</v>
      </c>
      <c r="M414" s="460"/>
      <c r="N414" s="460"/>
      <c r="O414" s="460"/>
      <c r="P414" s="460"/>
      <c r="Q414" s="460"/>
      <c r="R414" s="455" t="s">
        <v>4057</v>
      </c>
      <c r="S414" s="408"/>
      <c r="T414" s="455" t="s">
        <v>747</v>
      </c>
      <c r="U414" s="455" t="s">
        <v>2617</v>
      </c>
      <c r="V414" s="455" t="s">
        <v>1900</v>
      </c>
      <c r="W414" s="461">
        <v>45527.0</v>
      </c>
      <c r="X414" s="455" t="s">
        <v>3468</v>
      </c>
      <c r="Y414" s="462" t="s">
        <v>1948</v>
      </c>
      <c r="Z414" s="408"/>
      <c r="AA414" s="408"/>
      <c r="AB414" s="464" t="s">
        <v>316</v>
      </c>
      <c r="AC414" s="408"/>
      <c r="AD414" s="408"/>
      <c r="AE414" s="408"/>
      <c r="AF414" s="408"/>
      <c r="AG414" s="408"/>
      <c r="AH414" s="408"/>
      <c r="AI414" s="408"/>
      <c r="AJ414" s="408"/>
      <c r="AK414" s="408"/>
      <c r="AL414" s="408"/>
      <c r="AM414" s="408"/>
      <c r="AN414" s="408"/>
      <c r="AO414" s="408"/>
      <c r="AP414" s="408"/>
      <c r="AQ414" s="408"/>
      <c r="AR414" s="408"/>
      <c r="AS414" s="408"/>
      <c r="AT414" s="408"/>
    </row>
    <row r="415">
      <c r="A415" s="466">
        <v>2020.0</v>
      </c>
      <c r="B415" s="467">
        <v>45526.739016203705</v>
      </c>
      <c r="C415" s="466" t="s">
        <v>4058</v>
      </c>
      <c r="D415" s="468">
        <v>2.000016063E9</v>
      </c>
      <c r="E415" s="466" t="s">
        <v>2008</v>
      </c>
      <c r="F415" s="466">
        <v>8.2256079188E10</v>
      </c>
      <c r="G415" s="466" t="s">
        <v>4059</v>
      </c>
      <c r="H415" s="469">
        <v>45376.0</v>
      </c>
      <c r="I415" s="470">
        <v>45307.0</v>
      </c>
      <c r="J415" s="466" t="s">
        <v>399</v>
      </c>
      <c r="K415" s="466" t="s">
        <v>1900</v>
      </c>
      <c r="L415" s="466" t="s">
        <v>2617</v>
      </c>
      <c r="M415" s="463"/>
      <c r="N415" s="463"/>
      <c r="O415" s="463"/>
      <c r="P415" s="463"/>
      <c r="Q415" s="463"/>
      <c r="R415" s="466" t="s">
        <v>4060</v>
      </c>
      <c r="S415" s="387"/>
      <c r="T415" s="466" t="s">
        <v>1900</v>
      </c>
      <c r="U415" s="466" t="s">
        <v>2617</v>
      </c>
      <c r="V415" s="466" t="s">
        <v>117</v>
      </c>
      <c r="W415" s="461">
        <v>45531.0</v>
      </c>
      <c r="X415" s="466" t="s">
        <v>3468</v>
      </c>
      <c r="Y415" s="462" t="s">
        <v>1948</v>
      </c>
      <c r="Z415" s="387"/>
      <c r="AA415" s="387"/>
      <c r="AB415" s="464" t="s">
        <v>316</v>
      </c>
      <c r="AC415" s="387"/>
      <c r="AD415" s="387"/>
      <c r="AE415" s="387"/>
      <c r="AF415" s="387"/>
      <c r="AG415" s="387"/>
      <c r="AH415" s="387"/>
      <c r="AI415" s="387"/>
      <c r="AJ415" s="387"/>
      <c r="AK415" s="387"/>
      <c r="AL415" s="387"/>
      <c r="AM415" s="387"/>
      <c r="AN415" s="387"/>
      <c r="AO415" s="387"/>
      <c r="AP415" s="387"/>
      <c r="AQ415" s="387"/>
      <c r="AR415" s="387"/>
      <c r="AS415" s="387"/>
      <c r="AT415" s="387"/>
    </row>
    <row r="416">
      <c r="A416" s="466">
        <v>2020.0</v>
      </c>
      <c r="B416" s="467">
        <v>45527.316469907404</v>
      </c>
      <c r="C416" s="466" t="s">
        <v>2098</v>
      </c>
      <c r="D416" s="468">
        <v>2.000016085E9</v>
      </c>
      <c r="E416" s="466" t="s">
        <v>4061</v>
      </c>
      <c r="F416" s="466">
        <v>8.5256593709E10</v>
      </c>
      <c r="G416" s="466" t="s">
        <v>4062</v>
      </c>
      <c r="H416" s="469">
        <v>45219.0</v>
      </c>
      <c r="I416" s="470">
        <v>45306.0</v>
      </c>
      <c r="J416" s="466" t="s">
        <v>399</v>
      </c>
      <c r="K416" s="466" t="s">
        <v>747</v>
      </c>
      <c r="L416" s="466" t="s">
        <v>2922</v>
      </c>
      <c r="M416" s="463"/>
      <c r="N416" s="463"/>
      <c r="O416" s="463"/>
      <c r="P416" s="463"/>
      <c r="Q416" s="463"/>
      <c r="R416" s="466" t="s">
        <v>4063</v>
      </c>
      <c r="S416" s="387"/>
      <c r="T416" s="466" t="s">
        <v>747</v>
      </c>
      <c r="U416" s="466" t="s">
        <v>2922</v>
      </c>
      <c r="V416" s="466" t="s">
        <v>1900</v>
      </c>
      <c r="W416" s="461">
        <v>45533.0</v>
      </c>
      <c r="X416" s="466" t="s">
        <v>3791</v>
      </c>
      <c r="Y416" s="462" t="s">
        <v>1948</v>
      </c>
      <c r="Z416" s="387"/>
      <c r="AA416" s="387"/>
      <c r="AB416" s="464" t="s">
        <v>316</v>
      </c>
      <c r="AC416" s="387"/>
      <c r="AD416" s="387"/>
      <c r="AE416" s="387"/>
      <c r="AF416" s="387"/>
      <c r="AG416" s="387"/>
      <c r="AH416" s="387"/>
      <c r="AI416" s="387"/>
      <c r="AJ416" s="387"/>
      <c r="AK416" s="387"/>
      <c r="AL416" s="387"/>
      <c r="AM416" s="387"/>
      <c r="AN416" s="387"/>
      <c r="AO416" s="387"/>
      <c r="AP416" s="387"/>
      <c r="AQ416" s="387"/>
      <c r="AR416" s="387"/>
      <c r="AS416" s="387"/>
      <c r="AT416" s="387"/>
    </row>
    <row r="417">
      <c r="A417" s="466">
        <v>2020.0</v>
      </c>
      <c r="B417" s="467">
        <v>45527.365011574075</v>
      </c>
      <c r="C417" s="466" t="s">
        <v>2071</v>
      </c>
      <c r="D417" s="468">
        <v>2.000016019E9</v>
      </c>
      <c r="E417" s="466" t="s">
        <v>2072</v>
      </c>
      <c r="F417" s="466">
        <v>8.88705114E9</v>
      </c>
      <c r="G417" s="466" t="s">
        <v>2074</v>
      </c>
      <c r="H417" s="469">
        <v>45238.0</v>
      </c>
      <c r="I417" s="470">
        <v>45307.0</v>
      </c>
      <c r="J417" s="466" t="s">
        <v>399</v>
      </c>
      <c r="K417" s="466" t="s">
        <v>2916</v>
      </c>
      <c r="L417" s="466" t="s">
        <v>241</v>
      </c>
      <c r="M417" s="463"/>
      <c r="N417" s="463"/>
      <c r="O417" s="463"/>
      <c r="P417" s="463"/>
      <c r="Q417" s="463"/>
      <c r="R417" s="466" t="s">
        <v>4064</v>
      </c>
      <c r="S417" s="387"/>
      <c r="T417" s="466" t="s">
        <v>2916</v>
      </c>
      <c r="U417" s="466" t="s">
        <v>241</v>
      </c>
      <c r="V417" s="466" t="s">
        <v>117</v>
      </c>
      <c r="W417" s="461">
        <v>45532.0</v>
      </c>
      <c r="X417" s="466" t="s">
        <v>2492</v>
      </c>
      <c r="Y417" s="462" t="s">
        <v>1948</v>
      </c>
      <c r="Z417" s="387"/>
      <c r="AA417" s="387"/>
      <c r="AB417" s="464" t="s">
        <v>316</v>
      </c>
      <c r="AC417" s="387"/>
      <c r="AD417" s="387"/>
      <c r="AE417" s="387"/>
      <c r="AF417" s="387"/>
      <c r="AG417" s="387"/>
      <c r="AH417" s="387"/>
      <c r="AI417" s="387"/>
      <c r="AJ417" s="387"/>
      <c r="AK417" s="387"/>
      <c r="AL417" s="387"/>
      <c r="AM417" s="387"/>
      <c r="AN417" s="387"/>
      <c r="AO417" s="387"/>
      <c r="AP417" s="387"/>
      <c r="AQ417" s="387"/>
      <c r="AR417" s="387"/>
      <c r="AS417" s="387"/>
      <c r="AT417" s="387"/>
    </row>
    <row r="418">
      <c r="A418" s="466">
        <v>2020.0</v>
      </c>
      <c r="B418" s="467">
        <v>45527.50811342592</v>
      </c>
      <c r="C418" s="466" t="s">
        <v>4065</v>
      </c>
      <c r="D418" s="468">
        <v>2.000016134E9</v>
      </c>
      <c r="E418" s="466" t="s">
        <v>2026</v>
      </c>
      <c r="F418" s="466">
        <v>8.1393204478E10</v>
      </c>
      <c r="G418" s="466" t="s">
        <v>4066</v>
      </c>
      <c r="H418" s="469">
        <v>45355.0</v>
      </c>
      <c r="I418" s="470">
        <v>45307.0</v>
      </c>
      <c r="J418" s="466" t="s">
        <v>399</v>
      </c>
      <c r="K418" s="466" t="s">
        <v>1900</v>
      </c>
      <c r="L418" s="466" t="s">
        <v>2922</v>
      </c>
      <c r="M418" s="463"/>
      <c r="N418" s="463"/>
      <c r="O418" s="463"/>
      <c r="P418" s="463"/>
      <c r="Q418" s="463"/>
      <c r="R418" s="466" t="s">
        <v>4067</v>
      </c>
      <c r="S418" s="387"/>
      <c r="T418" s="466" t="s">
        <v>1900</v>
      </c>
      <c r="U418" s="466" t="s">
        <v>2922</v>
      </c>
      <c r="V418" s="466" t="s">
        <v>183</v>
      </c>
      <c r="W418" s="461">
        <v>45533.0</v>
      </c>
      <c r="X418" s="466" t="s">
        <v>3468</v>
      </c>
      <c r="Y418" s="462" t="s">
        <v>1948</v>
      </c>
      <c r="Z418" s="387"/>
      <c r="AA418" s="387"/>
      <c r="AB418" s="464" t="s">
        <v>316</v>
      </c>
      <c r="AC418" s="387"/>
      <c r="AD418" s="387"/>
      <c r="AE418" s="387"/>
      <c r="AF418" s="387"/>
      <c r="AG418" s="387"/>
      <c r="AH418" s="387"/>
      <c r="AI418" s="387"/>
      <c r="AJ418" s="387"/>
      <c r="AK418" s="387"/>
      <c r="AL418" s="387"/>
      <c r="AM418" s="387"/>
      <c r="AN418" s="387"/>
      <c r="AO418" s="387"/>
      <c r="AP418" s="387"/>
      <c r="AQ418" s="387"/>
      <c r="AR418" s="387"/>
      <c r="AS418" s="387"/>
      <c r="AT418" s="387"/>
    </row>
    <row r="419">
      <c r="A419" s="466">
        <v>2020.0</v>
      </c>
      <c r="B419" s="467">
        <v>45527.93185185185</v>
      </c>
      <c r="C419" s="466" t="s">
        <v>2041</v>
      </c>
      <c r="D419" s="468">
        <v>2.000016132E9</v>
      </c>
      <c r="E419" s="466" t="s">
        <v>2042</v>
      </c>
      <c r="F419" s="466">
        <v>8.1934654304E10</v>
      </c>
      <c r="G419" s="466" t="s">
        <v>4068</v>
      </c>
      <c r="H419" s="469">
        <v>45363.0</v>
      </c>
      <c r="I419" s="470">
        <v>45307.0</v>
      </c>
      <c r="J419" s="466" t="s">
        <v>399</v>
      </c>
      <c r="K419" s="466" t="s">
        <v>1900</v>
      </c>
      <c r="L419" s="466" t="s">
        <v>2922</v>
      </c>
      <c r="M419" s="463"/>
      <c r="N419" s="463"/>
      <c r="O419" s="463"/>
      <c r="P419" s="463"/>
      <c r="Q419" s="463"/>
      <c r="R419" s="466" t="s">
        <v>4069</v>
      </c>
      <c r="S419" s="387"/>
      <c r="T419" s="466" t="s">
        <v>1900</v>
      </c>
      <c r="U419" s="466" t="s">
        <v>2922</v>
      </c>
      <c r="V419" s="466" t="s">
        <v>230</v>
      </c>
      <c r="W419" s="461">
        <v>45534.0</v>
      </c>
      <c r="X419" s="466" t="s">
        <v>3468</v>
      </c>
      <c r="Y419" s="462" t="s">
        <v>1948</v>
      </c>
      <c r="Z419" s="387"/>
      <c r="AA419" s="387"/>
      <c r="AB419" s="464" t="s">
        <v>316</v>
      </c>
      <c r="AC419" s="387"/>
      <c r="AD419" s="387"/>
      <c r="AE419" s="387"/>
      <c r="AF419" s="387"/>
      <c r="AG419" s="387"/>
      <c r="AH419" s="387"/>
      <c r="AI419" s="387"/>
      <c r="AJ419" s="387"/>
      <c r="AK419" s="387"/>
      <c r="AL419" s="387"/>
      <c r="AM419" s="387"/>
      <c r="AN419" s="387"/>
      <c r="AO419" s="387"/>
      <c r="AP419" s="387"/>
      <c r="AQ419" s="387"/>
      <c r="AR419" s="387"/>
      <c r="AS419" s="387"/>
      <c r="AT419" s="387"/>
    </row>
    <row r="420">
      <c r="A420" s="466">
        <v>2020.0</v>
      </c>
      <c r="B420" s="467">
        <v>45530.51111111111</v>
      </c>
      <c r="C420" s="466" t="s">
        <v>4070</v>
      </c>
      <c r="D420" s="468">
        <v>2.000016087E9</v>
      </c>
      <c r="E420" s="466" t="s">
        <v>2037</v>
      </c>
      <c r="F420" s="466">
        <v>8.2384676185E10</v>
      </c>
      <c r="G420" s="466" t="s">
        <v>4071</v>
      </c>
      <c r="H420" s="469">
        <v>45187.0</v>
      </c>
      <c r="I420" s="470">
        <v>45309.0</v>
      </c>
      <c r="J420" s="466" t="s">
        <v>399</v>
      </c>
      <c r="K420" s="466" t="s">
        <v>747</v>
      </c>
      <c r="L420" s="466" t="s">
        <v>2922</v>
      </c>
      <c r="M420" s="463"/>
      <c r="N420" s="463"/>
      <c r="O420" s="463"/>
      <c r="P420" s="463"/>
      <c r="Q420" s="463"/>
      <c r="R420" s="466" t="s">
        <v>4072</v>
      </c>
      <c r="S420" s="387"/>
      <c r="T420" s="466" t="s">
        <v>747</v>
      </c>
      <c r="U420" s="466" t="s">
        <v>2922</v>
      </c>
      <c r="V420" s="466" t="s">
        <v>1900</v>
      </c>
      <c r="W420" s="471">
        <v>45535.0</v>
      </c>
      <c r="X420" s="466" t="s">
        <v>3592</v>
      </c>
      <c r="Y420" s="462" t="s">
        <v>1948</v>
      </c>
      <c r="Z420" s="387"/>
      <c r="AA420" s="387"/>
      <c r="AB420" s="464" t="s">
        <v>316</v>
      </c>
      <c r="AC420" s="387"/>
      <c r="AD420" s="387"/>
      <c r="AE420" s="387"/>
      <c r="AF420" s="387"/>
      <c r="AG420" s="387"/>
      <c r="AH420" s="387"/>
      <c r="AI420" s="387"/>
      <c r="AJ420" s="387"/>
      <c r="AK420" s="387"/>
      <c r="AL420" s="387"/>
      <c r="AM420" s="387"/>
      <c r="AN420" s="387"/>
      <c r="AO420" s="387"/>
      <c r="AP420" s="387"/>
      <c r="AQ420" s="387"/>
      <c r="AR420" s="387"/>
      <c r="AS420" s="387"/>
      <c r="AT420" s="387"/>
    </row>
    <row r="421">
      <c r="A421" s="466">
        <v>2020.0</v>
      </c>
      <c r="B421" s="467">
        <v>45530.64314814815</v>
      </c>
      <c r="C421" s="466" t="s">
        <v>1997</v>
      </c>
      <c r="D421" s="468">
        <v>2.000016149E9</v>
      </c>
      <c r="E421" s="466" t="s">
        <v>1998</v>
      </c>
      <c r="F421" s="466">
        <v>8.222341632E10</v>
      </c>
      <c r="G421" s="466" t="s">
        <v>4073</v>
      </c>
      <c r="H421" s="469">
        <v>45404.0</v>
      </c>
      <c r="I421" s="470">
        <v>45307.0</v>
      </c>
      <c r="J421" s="466" t="s">
        <v>399</v>
      </c>
      <c r="K421" s="466" t="s">
        <v>1900</v>
      </c>
      <c r="L421" s="466" t="s">
        <v>230</v>
      </c>
      <c r="M421" s="463"/>
      <c r="N421" s="463"/>
      <c r="O421" s="463"/>
      <c r="P421" s="463"/>
      <c r="Q421" s="463"/>
      <c r="R421" s="466" t="s">
        <v>4074</v>
      </c>
      <c r="S421" s="387"/>
      <c r="T421" s="466" t="s">
        <v>1900</v>
      </c>
      <c r="U421" s="466" t="s">
        <v>230</v>
      </c>
      <c r="V421" s="466" t="s">
        <v>117</v>
      </c>
      <c r="W421" s="471">
        <v>45535.0</v>
      </c>
      <c r="X421" s="466" t="s">
        <v>3406</v>
      </c>
      <c r="Y421" s="462" t="s">
        <v>1948</v>
      </c>
      <c r="Z421" s="387"/>
      <c r="AA421" s="387"/>
      <c r="AB421" s="464" t="s">
        <v>316</v>
      </c>
      <c r="AC421" s="387"/>
      <c r="AD421" s="387"/>
      <c r="AE421" s="387"/>
      <c r="AF421" s="387"/>
      <c r="AG421" s="387"/>
      <c r="AH421" s="387"/>
      <c r="AI421" s="387"/>
      <c r="AJ421" s="387"/>
      <c r="AK421" s="387"/>
      <c r="AL421" s="387"/>
      <c r="AM421" s="387"/>
      <c r="AN421" s="387"/>
      <c r="AO421" s="387"/>
      <c r="AP421" s="387"/>
      <c r="AQ421" s="387"/>
      <c r="AR421" s="387"/>
      <c r="AS421" s="387"/>
      <c r="AT421" s="387"/>
    </row>
    <row r="422">
      <c r="A422" s="466">
        <v>2020.0</v>
      </c>
      <c r="B422" s="467">
        <v>45531.77422453704</v>
      </c>
      <c r="C422" s="466" t="s">
        <v>4075</v>
      </c>
      <c r="D422" s="468">
        <v>2.00001602E9</v>
      </c>
      <c r="E422" s="466" t="s">
        <v>2048</v>
      </c>
      <c r="F422" s="466">
        <v>8.5921783833E10</v>
      </c>
      <c r="G422" s="466" t="s">
        <v>4076</v>
      </c>
      <c r="H422" s="469">
        <v>45444.0</v>
      </c>
      <c r="I422" s="470">
        <v>45307.0</v>
      </c>
      <c r="J422" s="466" t="s">
        <v>399</v>
      </c>
      <c r="K422" s="466" t="s">
        <v>1900</v>
      </c>
      <c r="L422" s="466" t="s">
        <v>2922</v>
      </c>
      <c r="M422" s="463"/>
      <c r="N422" s="463"/>
      <c r="O422" s="463"/>
      <c r="P422" s="463"/>
      <c r="Q422" s="463"/>
      <c r="R422" s="466" t="s">
        <v>4077</v>
      </c>
      <c r="S422" s="387"/>
      <c r="T422" s="466" t="s">
        <v>1900</v>
      </c>
      <c r="U422" s="466" t="s">
        <v>2922</v>
      </c>
      <c r="V422" s="481" t="s">
        <v>2617</v>
      </c>
      <c r="W422" s="471">
        <v>45535.0</v>
      </c>
      <c r="X422" s="466" t="s">
        <v>3418</v>
      </c>
      <c r="Y422" s="462" t="s">
        <v>1948</v>
      </c>
      <c r="Z422" s="387"/>
      <c r="AA422" s="387"/>
      <c r="AB422" s="464" t="s">
        <v>316</v>
      </c>
      <c r="AC422" s="387"/>
      <c r="AD422" s="387"/>
      <c r="AE422" s="387"/>
      <c r="AF422" s="387"/>
      <c r="AG422" s="387"/>
      <c r="AH422" s="387"/>
      <c r="AI422" s="387"/>
      <c r="AJ422" s="387"/>
      <c r="AK422" s="387"/>
      <c r="AL422" s="387"/>
      <c r="AM422" s="387"/>
      <c r="AN422" s="387"/>
      <c r="AO422" s="387"/>
      <c r="AP422" s="387"/>
      <c r="AQ422" s="387"/>
      <c r="AR422" s="387"/>
      <c r="AS422" s="387"/>
      <c r="AT422" s="387"/>
    </row>
    <row r="423">
      <c r="A423" s="466">
        <v>2020.0</v>
      </c>
      <c r="B423" s="467">
        <v>45533.505578703705</v>
      </c>
      <c r="C423" s="466" t="s">
        <v>2150</v>
      </c>
      <c r="D423" s="468">
        <v>2.000016122E9</v>
      </c>
      <c r="E423" s="466" t="s">
        <v>2151</v>
      </c>
      <c r="F423" s="466">
        <v>8.1266592725E10</v>
      </c>
      <c r="G423" s="466" t="s">
        <v>4078</v>
      </c>
      <c r="H423" s="469">
        <v>45501.0</v>
      </c>
      <c r="I423" s="470">
        <v>45310.0</v>
      </c>
      <c r="J423" s="466" t="s">
        <v>399</v>
      </c>
      <c r="K423" s="466" t="s">
        <v>2916</v>
      </c>
      <c r="L423" s="466" t="s">
        <v>3013</v>
      </c>
      <c r="M423" s="463"/>
      <c r="N423" s="463"/>
      <c r="O423" s="463"/>
      <c r="P423" s="463"/>
      <c r="Q423" s="463"/>
      <c r="R423" s="466" t="s">
        <v>4079</v>
      </c>
      <c r="S423" s="387"/>
      <c r="T423" s="466" t="s">
        <v>2916</v>
      </c>
      <c r="U423" s="466" t="s">
        <v>3013</v>
      </c>
      <c r="V423" s="466" t="s">
        <v>230</v>
      </c>
      <c r="W423" s="471">
        <v>45538.0</v>
      </c>
      <c r="X423" s="466" t="s">
        <v>2492</v>
      </c>
      <c r="Y423" s="462" t="s">
        <v>1948</v>
      </c>
      <c r="Z423" s="387"/>
      <c r="AA423" s="387"/>
      <c r="AB423" s="482" t="s">
        <v>316</v>
      </c>
      <c r="AC423" s="387"/>
      <c r="AD423" s="387"/>
      <c r="AE423" s="387"/>
      <c r="AF423" s="387"/>
      <c r="AG423" s="387"/>
      <c r="AH423" s="387"/>
      <c r="AI423" s="387"/>
      <c r="AJ423" s="387"/>
      <c r="AK423" s="387"/>
      <c r="AL423" s="387"/>
      <c r="AM423" s="387"/>
      <c r="AN423" s="387"/>
      <c r="AO423" s="387"/>
      <c r="AP423" s="387"/>
      <c r="AQ423" s="387"/>
      <c r="AR423" s="387"/>
      <c r="AS423" s="387"/>
      <c r="AT423" s="387"/>
    </row>
    <row r="424">
      <c r="A424" s="466">
        <v>2020.0</v>
      </c>
      <c r="B424" s="467">
        <v>45533.5522337963</v>
      </c>
      <c r="C424" s="466" t="s">
        <v>2275</v>
      </c>
      <c r="D424" s="468">
        <v>2.000016076E9</v>
      </c>
      <c r="E424" s="466" t="s">
        <v>2276</v>
      </c>
      <c r="F424" s="466">
        <v>8.5871012624E10</v>
      </c>
      <c r="G424" s="466" t="s">
        <v>4080</v>
      </c>
      <c r="H424" s="469">
        <v>45206.0</v>
      </c>
      <c r="I424" s="470">
        <v>45310.0</v>
      </c>
      <c r="J424" s="466" t="s">
        <v>399</v>
      </c>
      <c r="K424" s="466" t="s">
        <v>117</v>
      </c>
      <c r="L424" s="466" t="s">
        <v>2922</v>
      </c>
      <c r="M424" s="463"/>
      <c r="N424" s="463"/>
      <c r="O424" s="463"/>
      <c r="P424" s="463"/>
      <c r="Q424" s="463"/>
      <c r="R424" s="466" t="s">
        <v>4081</v>
      </c>
      <c r="S424" s="387"/>
      <c r="T424" s="466" t="s">
        <v>117</v>
      </c>
      <c r="U424" s="466" t="s">
        <v>2922</v>
      </c>
      <c r="V424" s="466" t="s">
        <v>183</v>
      </c>
      <c r="W424" s="471">
        <v>45538.0</v>
      </c>
      <c r="X424" s="466" t="s">
        <v>1014</v>
      </c>
      <c r="Y424" s="462" t="s">
        <v>1948</v>
      </c>
      <c r="Z424" s="387"/>
      <c r="AA424" s="387"/>
      <c r="AB424" s="482" t="s">
        <v>316</v>
      </c>
      <c r="AC424" s="387"/>
      <c r="AD424" s="387"/>
      <c r="AE424" s="387"/>
      <c r="AF424" s="387"/>
      <c r="AG424" s="387"/>
      <c r="AH424" s="387"/>
      <c r="AI424" s="387"/>
      <c r="AJ424" s="387"/>
      <c r="AK424" s="387"/>
      <c r="AL424" s="387"/>
      <c r="AM424" s="387"/>
      <c r="AN424" s="387"/>
      <c r="AO424" s="387"/>
      <c r="AP424" s="387"/>
      <c r="AQ424" s="387"/>
      <c r="AR424" s="387"/>
      <c r="AS424" s="387"/>
      <c r="AT424" s="387"/>
    </row>
    <row r="425">
      <c r="A425" s="466">
        <v>2020.0</v>
      </c>
      <c r="B425" s="467">
        <v>45533.6253125</v>
      </c>
      <c r="C425" s="466" t="s">
        <v>2156</v>
      </c>
      <c r="D425" s="468">
        <v>2.00001601E9</v>
      </c>
      <c r="E425" s="466" t="s">
        <v>2157</v>
      </c>
      <c r="F425" s="466">
        <v>8.5246351415E10</v>
      </c>
      <c r="G425" s="466" t="s">
        <v>4082</v>
      </c>
      <c r="H425" s="469">
        <v>45477.0</v>
      </c>
      <c r="I425" s="470">
        <v>45310.0</v>
      </c>
      <c r="J425" s="466" t="s">
        <v>399</v>
      </c>
      <c r="K425" s="466" t="s">
        <v>2916</v>
      </c>
      <c r="L425" s="466" t="s">
        <v>3013</v>
      </c>
      <c r="M425" s="463"/>
      <c r="N425" s="463"/>
      <c r="O425" s="463"/>
      <c r="P425" s="463"/>
      <c r="Q425" s="463"/>
      <c r="R425" s="466" t="s">
        <v>4083</v>
      </c>
      <c r="S425" s="387"/>
      <c r="T425" s="466" t="s">
        <v>2916</v>
      </c>
      <c r="U425" s="466" t="s">
        <v>3013</v>
      </c>
      <c r="V425" s="466" t="s">
        <v>1900</v>
      </c>
      <c r="W425" s="471">
        <v>45538.0</v>
      </c>
      <c r="X425" s="466" t="s">
        <v>3791</v>
      </c>
      <c r="Y425" s="462" t="s">
        <v>1948</v>
      </c>
      <c r="Z425" s="387"/>
      <c r="AA425" s="387"/>
      <c r="AB425" s="482" t="s">
        <v>316</v>
      </c>
      <c r="AC425" s="387"/>
      <c r="AD425" s="387"/>
      <c r="AE425" s="387"/>
      <c r="AF425" s="387"/>
      <c r="AG425" s="387"/>
      <c r="AH425" s="387"/>
      <c r="AI425" s="387"/>
      <c r="AJ425" s="387"/>
      <c r="AK425" s="387"/>
      <c r="AL425" s="387"/>
      <c r="AM425" s="387"/>
      <c r="AN425" s="387"/>
      <c r="AO425" s="387"/>
      <c r="AP425" s="387"/>
      <c r="AQ425" s="387"/>
      <c r="AR425" s="387"/>
      <c r="AS425" s="387"/>
      <c r="AT425" s="387"/>
    </row>
    <row r="426">
      <c r="A426" s="466">
        <v>2020.0</v>
      </c>
      <c r="B426" s="467">
        <v>45533.68525462963</v>
      </c>
      <c r="C426" s="466" t="s">
        <v>2093</v>
      </c>
      <c r="D426" s="468">
        <v>2.00001611E9</v>
      </c>
      <c r="E426" s="466" t="s">
        <v>4084</v>
      </c>
      <c r="F426" s="466">
        <v>8.5380544417E10</v>
      </c>
      <c r="G426" s="466" t="s">
        <v>4085</v>
      </c>
      <c r="H426" s="469">
        <v>45450.0</v>
      </c>
      <c r="I426" s="470">
        <v>45307.0</v>
      </c>
      <c r="J426" s="466" t="s">
        <v>399</v>
      </c>
      <c r="K426" s="466" t="s">
        <v>2916</v>
      </c>
      <c r="L426" s="466" t="s">
        <v>241</v>
      </c>
      <c r="M426" s="463"/>
      <c r="N426" s="463"/>
      <c r="O426" s="463"/>
      <c r="P426" s="463"/>
      <c r="Q426" s="463"/>
      <c r="R426" s="466" t="s">
        <v>4086</v>
      </c>
      <c r="S426" s="387"/>
      <c r="T426" s="466" t="s">
        <v>2916</v>
      </c>
      <c r="U426" s="466" t="s">
        <v>241</v>
      </c>
      <c r="V426" s="466" t="s">
        <v>2922</v>
      </c>
      <c r="W426" s="471">
        <v>45537.0</v>
      </c>
      <c r="X426" s="466" t="s">
        <v>3441</v>
      </c>
      <c r="Y426" s="462" t="s">
        <v>1948</v>
      </c>
      <c r="Z426" s="387"/>
      <c r="AA426" s="387"/>
      <c r="AB426" s="482" t="s">
        <v>316</v>
      </c>
      <c r="AC426" s="387"/>
      <c r="AD426" s="387"/>
      <c r="AE426" s="387"/>
      <c r="AF426" s="387"/>
      <c r="AG426" s="387"/>
      <c r="AH426" s="387"/>
      <c r="AI426" s="387"/>
      <c r="AJ426" s="387"/>
      <c r="AK426" s="387"/>
      <c r="AL426" s="387"/>
      <c r="AM426" s="387"/>
      <c r="AN426" s="387"/>
      <c r="AO426" s="387"/>
      <c r="AP426" s="387"/>
      <c r="AQ426" s="387"/>
      <c r="AR426" s="387"/>
      <c r="AS426" s="387"/>
      <c r="AT426" s="387"/>
    </row>
    <row r="427">
      <c r="A427" s="466">
        <v>2020.0</v>
      </c>
      <c r="B427" s="467">
        <v>45535.29851851852</v>
      </c>
      <c r="C427" s="466" t="s">
        <v>2285</v>
      </c>
      <c r="D427" s="468">
        <v>2.011016067E9</v>
      </c>
      <c r="E427" s="466" t="s">
        <v>2286</v>
      </c>
      <c r="F427" s="466">
        <v>8.1224703313E10</v>
      </c>
      <c r="G427" s="466" t="s">
        <v>4087</v>
      </c>
      <c r="H427" s="469">
        <v>45215.0</v>
      </c>
      <c r="I427" s="470">
        <v>45310.0</v>
      </c>
      <c r="J427" s="466" t="s">
        <v>399</v>
      </c>
      <c r="K427" s="466" t="s">
        <v>183</v>
      </c>
      <c r="L427" s="466" t="s">
        <v>2617</v>
      </c>
      <c r="M427" s="463"/>
      <c r="N427" s="463"/>
      <c r="O427" s="463"/>
      <c r="P427" s="463"/>
      <c r="Q427" s="463"/>
      <c r="R427" s="466" t="s">
        <v>4088</v>
      </c>
      <c r="S427" s="387"/>
      <c r="T427" s="466" t="s">
        <v>183</v>
      </c>
      <c r="U427" s="466" t="s">
        <v>2617</v>
      </c>
      <c r="V427" s="466" t="s">
        <v>1900</v>
      </c>
      <c r="W427" s="471">
        <v>45540.0</v>
      </c>
      <c r="X427" s="466" t="s">
        <v>3407</v>
      </c>
      <c r="Y427" s="462" t="s">
        <v>1948</v>
      </c>
      <c r="Z427" s="387"/>
      <c r="AA427" s="387"/>
      <c r="AB427" s="482" t="s">
        <v>316</v>
      </c>
      <c r="AC427" s="387"/>
      <c r="AD427" s="387"/>
      <c r="AE427" s="387"/>
      <c r="AF427" s="387"/>
      <c r="AG427" s="387"/>
      <c r="AH427" s="387"/>
      <c r="AI427" s="387"/>
      <c r="AJ427" s="387"/>
      <c r="AK427" s="387"/>
      <c r="AL427" s="387"/>
      <c r="AM427" s="387"/>
      <c r="AN427" s="387"/>
      <c r="AO427" s="387"/>
      <c r="AP427" s="387"/>
      <c r="AQ427" s="387"/>
      <c r="AR427" s="387"/>
      <c r="AS427" s="387"/>
      <c r="AT427" s="387"/>
    </row>
    <row r="428">
      <c r="A428" s="466">
        <v>2020.0</v>
      </c>
      <c r="B428" s="467">
        <v>45535.46875</v>
      </c>
      <c r="C428" s="466" t="s">
        <v>2343</v>
      </c>
      <c r="D428" s="468">
        <v>2.000016015E9</v>
      </c>
      <c r="E428" s="466" t="s">
        <v>2344</v>
      </c>
      <c r="F428" s="466">
        <v>8.5751080434E10</v>
      </c>
      <c r="G428" s="466" t="s">
        <v>4089</v>
      </c>
      <c r="H428" s="469">
        <v>45232.0</v>
      </c>
      <c r="I428" s="470">
        <v>45313.0</v>
      </c>
      <c r="J428" s="466" t="s">
        <v>399</v>
      </c>
      <c r="K428" s="466" t="s">
        <v>1900</v>
      </c>
      <c r="L428" s="466" t="s">
        <v>117</v>
      </c>
      <c r="M428" s="463"/>
      <c r="N428" s="463"/>
      <c r="O428" s="463"/>
      <c r="P428" s="463"/>
      <c r="Q428" s="463"/>
      <c r="R428" s="466" t="s">
        <v>4090</v>
      </c>
      <c r="S428" s="387"/>
      <c r="T428" s="466" t="s">
        <v>1900</v>
      </c>
      <c r="U428" s="466" t="s">
        <v>117</v>
      </c>
      <c r="V428" s="466" t="s">
        <v>2617</v>
      </c>
      <c r="W428" s="471">
        <v>45540.0</v>
      </c>
      <c r="X428" s="466" t="s">
        <v>3418</v>
      </c>
      <c r="Y428" s="462" t="s">
        <v>1948</v>
      </c>
      <c r="Z428" s="387"/>
      <c r="AA428" s="387"/>
      <c r="AB428" s="482" t="s">
        <v>316</v>
      </c>
      <c r="AC428" s="387"/>
      <c r="AD428" s="387"/>
      <c r="AE428" s="387"/>
      <c r="AF428" s="387"/>
      <c r="AG428" s="387"/>
      <c r="AH428" s="387"/>
      <c r="AI428" s="387"/>
      <c r="AJ428" s="387"/>
      <c r="AK428" s="387"/>
      <c r="AL428" s="387"/>
      <c r="AM428" s="387"/>
      <c r="AN428" s="387"/>
      <c r="AO428" s="387"/>
      <c r="AP428" s="387"/>
      <c r="AQ428" s="387"/>
      <c r="AR428" s="387"/>
      <c r="AS428" s="387"/>
      <c r="AT428" s="387"/>
    </row>
    <row r="429">
      <c r="A429" s="466">
        <v>2020.0</v>
      </c>
      <c r="B429" s="467">
        <v>45535.865439814814</v>
      </c>
      <c r="C429" s="466" t="s">
        <v>4091</v>
      </c>
      <c r="D429" s="468">
        <v>2.011016061E9</v>
      </c>
      <c r="E429" s="466" t="s">
        <v>2135</v>
      </c>
      <c r="F429" s="466">
        <v>8.1231852726E10</v>
      </c>
      <c r="G429" s="466" t="s">
        <v>2137</v>
      </c>
      <c r="H429" s="469">
        <v>45208.0</v>
      </c>
      <c r="I429" s="470">
        <v>45306.0</v>
      </c>
      <c r="J429" s="466" t="s">
        <v>399</v>
      </c>
      <c r="K429" s="466" t="s">
        <v>183</v>
      </c>
      <c r="L429" s="466" t="s">
        <v>2922</v>
      </c>
      <c r="M429" s="463"/>
      <c r="N429" s="463"/>
      <c r="O429" s="463"/>
      <c r="P429" s="463"/>
      <c r="Q429" s="463"/>
      <c r="R429" s="466" t="s">
        <v>4092</v>
      </c>
      <c r="S429" s="387"/>
      <c r="T429" s="466" t="s">
        <v>183</v>
      </c>
      <c r="U429" s="466" t="s">
        <v>2922</v>
      </c>
      <c r="V429" s="466" t="s">
        <v>1900</v>
      </c>
      <c r="W429" s="471">
        <v>45540.0</v>
      </c>
      <c r="X429" s="466" t="s">
        <v>3406</v>
      </c>
      <c r="Y429" s="462" t="s">
        <v>1948</v>
      </c>
      <c r="Z429" s="387"/>
      <c r="AA429" s="387"/>
      <c r="AB429" s="482" t="s">
        <v>316</v>
      </c>
      <c r="AC429" s="387"/>
      <c r="AD429" s="387"/>
      <c r="AE429" s="387"/>
      <c r="AF429" s="387"/>
      <c r="AG429" s="387"/>
      <c r="AH429" s="387"/>
      <c r="AI429" s="387"/>
      <c r="AJ429" s="387"/>
      <c r="AK429" s="387"/>
      <c r="AL429" s="387"/>
      <c r="AM429" s="387"/>
      <c r="AN429" s="387"/>
      <c r="AO429" s="387"/>
      <c r="AP429" s="387"/>
      <c r="AQ429" s="387"/>
      <c r="AR429" s="387"/>
      <c r="AS429" s="387"/>
      <c r="AT429" s="387"/>
    </row>
    <row r="430">
      <c r="A430" s="466">
        <v>2018.0</v>
      </c>
      <c r="B430" s="467">
        <v>45536.03931712963</v>
      </c>
      <c r="C430" s="466" t="s">
        <v>1474</v>
      </c>
      <c r="D430" s="468">
        <v>1.800016156E9</v>
      </c>
      <c r="E430" s="466" t="s">
        <v>1475</v>
      </c>
      <c r="F430" s="466">
        <v>8.5264570602E10</v>
      </c>
      <c r="G430" s="466" t="s">
        <v>1477</v>
      </c>
      <c r="H430" s="469">
        <v>45251.0</v>
      </c>
      <c r="I430" s="470">
        <v>45097.0</v>
      </c>
      <c r="J430" s="466" t="s">
        <v>399</v>
      </c>
      <c r="K430" s="466" t="s">
        <v>2617</v>
      </c>
      <c r="L430" s="466" t="s">
        <v>2922</v>
      </c>
      <c r="M430" s="463"/>
      <c r="N430" s="463"/>
      <c r="O430" s="463"/>
      <c r="P430" s="463"/>
      <c r="Q430" s="463"/>
      <c r="R430" s="466" t="s">
        <v>4093</v>
      </c>
      <c r="S430" s="387"/>
      <c r="T430" s="466" t="s">
        <v>2617</v>
      </c>
      <c r="U430" s="466" t="s">
        <v>2922</v>
      </c>
      <c r="V430" s="466" t="s">
        <v>1900</v>
      </c>
      <c r="W430" s="471">
        <v>45542.0</v>
      </c>
      <c r="X430" s="466" t="s">
        <v>3407</v>
      </c>
      <c r="Y430" s="462" t="s">
        <v>1948</v>
      </c>
      <c r="Z430" s="387"/>
      <c r="AA430" s="387"/>
      <c r="AB430" s="482" t="s">
        <v>316</v>
      </c>
      <c r="AC430" s="387"/>
      <c r="AD430" s="387"/>
      <c r="AE430" s="387"/>
      <c r="AF430" s="387"/>
      <c r="AG430" s="387"/>
      <c r="AH430" s="387"/>
      <c r="AI430" s="387"/>
      <c r="AJ430" s="387"/>
      <c r="AK430" s="387"/>
      <c r="AL430" s="387"/>
      <c r="AM430" s="387"/>
      <c r="AN430" s="387"/>
      <c r="AO430" s="387"/>
      <c r="AP430" s="387"/>
      <c r="AQ430" s="387"/>
      <c r="AR430" s="387"/>
      <c r="AS430" s="387"/>
      <c r="AT430" s="387"/>
    </row>
    <row r="431">
      <c r="A431" s="466">
        <v>2020.0</v>
      </c>
      <c r="B431" s="467">
        <v>45536.452731481484</v>
      </c>
      <c r="C431" s="466" t="s">
        <v>2181</v>
      </c>
      <c r="D431" s="468">
        <v>2.000016048E9</v>
      </c>
      <c r="E431" s="466" t="s">
        <v>2182</v>
      </c>
      <c r="F431" s="466">
        <v>8.2280531742E10</v>
      </c>
      <c r="G431" s="466" t="s">
        <v>4094</v>
      </c>
      <c r="H431" s="469">
        <v>45178.0</v>
      </c>
      <c r="I431" s="470">
        <v>45310.0</v>
      </c>
      <c r="J431" s="466" t="s">
        <v>399</v>
      </c>
      <c r="K431" s="466" t="s">
        <v>183</v>
      </c>
      <c r="L431" s="466" t="s">
        <v>2922</v>
      </c>
      <c r="M431" s="463"/>
      <c r="N431" s="463"/>
      <c r="O431" s="463"/>
      <c r="P431" s="463"/>
      <c r="Q431" s="463"/>
      <c r="R431" s="466" t="s">
        <v>4095</v>
      </c>
      <c r="S431" s="387"/>
      <c r="T431" s="466" t="s">
        <v>183</v>
      </c>
      <c r="U431" s="466" t="s">
        <v>2922</v>
      </c>
      <c r="V431" s="466" t="s">
        <v>117</v>
      </c>
      <c r="W431" s="471">
        <v>45542.0</v>
      </c>
      <c r="X431" s="466" t="s">
        <v>3406</v>
      </c>
      <c r="Y431" s="462" t="s">
        <v>1948</v>
      </c>
      <c r="Z431" s="387"/>
      <c r="AA431" s="387"/>
      <c r="AB431" s="482" t="s">
        <v>316</v>
      </c>
      <c r="AC431" s="387"/>
      <c r="AD431" s="387"/>
      <c r="AE431" s="387"/>
      <c r="AF431" s="387"/>
      <c r="AG431" s="387"/>
      <c r="AH431" s="387"/>
      <c r="AI431" s="387"/>
      <c r="AJ431" s="387"/>
      <c r="AK431" s="387"/>
      <c r="AL431" s="387"/>
      <c r="AM431" s="387"/>
      <c r="AN431" s="387"/>
      <c r="AO431" s="387"/>
      <c r="AP431" s="387"/>
      <c r="AQ431" s="387"/>
      <c r="AR431" s="387"/>
      <c r="AS431" s="387"/>
      <c r="AT431" s="387"/>
    </row>
    <row r="432">
      <c r="A432" s="455">
        <v>2019.0</v>
      </c>
      <c r="B432" s="456">
        <v>45538.69275462963</v>
      </c>
      <c r="C432" s="455" t="s">
        <v>2338</v>
      </c>
      <c r="D432" s="457">
        <v>1.900016029E9</v>
      </c>
      <c r="E432" s="455" t="s">
        <v>2339</v>
      </c>
      <c r="F432" s="455">
        <v>8.5786947244E10</v>
      </c>
      <c r="G432" s="455" t="s">
        <v>4096</v>
      </c>
      <c r="H432" s="458">
        <v>45261.0</v>
      </c>
      <c r="I432" s="459">
        <v>45306.0</v>
      </c>
      <c r="J432" s="455" t="s">
        <v>399</v>
      </c>
      <c r="K432" s="455" t="s">
        <v>1900</v>
      </c>
      <c r="L432" s="455" t="s">
        <v>2922</v>
      </c>
      <c r="M432" s="460"/>
      <c r="N432" s="460"/>
      <c r="O432" s="460"/>
      <c r="P432" s="460"/>
      <c r="Q432" s="460"/>
      <c r="R432" s="455" t="s">
        <v>4097</v>
      </c>
      <c r="S432" s="408"/>
      <c r="T432" s="455" t="s">
        <v>1900</v>
      </c>
      <c r="U432" s="455" t="s">
        <v>2922</v>
      </c>
      <c r="V432" s="483" t="s">
        <v>117</v>
      </c>
      <c r="W432" s="480">
        <v>45544.0</v>
      </c>
      <c r="X432" s="455" t="s">
        <v>3407</v>
      </c>
      <c r="Y432" s="462" t="s">
        <v>1948</v>
      </c>
      <c r="Z432" s="408"/>
      <c r="AA432" s="408"/>
      <c r="AB432" s="462" t="s">
        <v>316</v>
      </c>
      <c r="AC432" s="408"/>
      <c r="AD432" s="408"/>
      <c r="AE432" s="408"/>
      <c r="AF432" s="408"/>
      <c r="AG432" s="408"/>
      <c r="AH432" s="408"/>
      <c r="AI432" s="408"/>
      <c r="AJ432" s="408"/>
      <c r="AK432" s="408"/>
      <c r="AL432" s="408"/>
      <c r="AM432" s="408"/>
      <c r="AN432" s="408"/>
      <c r="AO432" s="408"/>
      <c r="AP432" s="408"/>
      <c r="AQ432" s="408"/>
      <c r="AR432" s="408"/>
      <c r="AS432" s="408"/>
      <c r="AT432" s="408"/>
    </row>
    <row r="433">
      <c r="A433" s="466">
        <v>2020.0</v>
      </c>
      <c r="B433" s="467">
        <v>45540.36571759259</v>
      </c>
      <c r="C433" s="466" t="s">
        <v>2280</v>
      </c>
      <c r="D433" s="468">
        <v>2.000016078E9</v>
      </c>
      <c r="E433" s="466" t="s">
        <v>2281</v>
      </c>
      <c r="F433" s="466">
        <v>8.1584512809E10</v>
      </c>
      <c r="G433" s="466" t="s">
        <v>4098</v>
      </c>
      <c r="H433" s="469">
        <v>45206.0</v>
      </c>
      <c r="I433" s="470">
        <v>45310.0</v>
      </c>
      <c r="J433" s="466" t="s">
        <v>399</v>
      </c>
      <c r="K433" s="466" t="s">
        <v>117</v>
      </c>
      <c r="L433" s="466" t="s">
        <v>2922</v>
      </c>
      <c r="M433" s="463"/>
      <c r="N433" s="463"/>
      <c r="O433" s="463"/>
      <c r="P433" s="463"/>
      <c r="Q433" s="463"/>
      <c r="R433" s="466" t="s">
        <v>4099</v>
      </c>
      <c r="S433" s="387"/>
      <c r="T433" s="466" t="s">
        <v>117</v>
      </c>
      <c r="U433" s="466" t="s">
        <v>2922</v>
      </c>
      <c r="V433" s="466" t="s">
        <v>230</v>
      </c>
      <c r="W433" s="480">
        <v>45544.0</v>
      </c>
      <c r="X433" s="466" t="s">
        <v>3418</v>
      </c>
      <c r="Y433" s="462" t="s">
        <v>1948</v>
      </c>
      <c r="Z433" s="462"/>
      <c r="AA433" s="387"/>
      <c r="AB433" s="482" t="s">
        <v>316</v>
      </c>
      <c r="AC433" s="387"/>
      <c r="AD433" s="387"/>
      <c r="AE433" s="387"/>
      <c r="AF433" s="387"/>
      <c r="AG433" s="387"/>
      <c r="AH433" s="387"/>
      <c r="AI433" s="387"/>
      <c r="AJ433" s="387"/>
      <c r="AK433" s="387"/>
      <c r="AL433" s="387"/>
      <c r="AM433" s="387"/>
      <c r="AN433" s="387"/>
      <c r="AO433" s="387"/>
      <c r="AP433" s="387"/>
      <c r="AQ433" s="387"/>
      <c r="AR433" s="387"/>
      <c r="AS433" s="387"/>
      <c r="AT433" s="387"/>
    </row>
    <row r="434">
      <c r="A434" s="466">
        <v>2020.0</v>
      </c>
      <c r="B434" s="467">
        <v>45541.570706018516</v>
      </c>
      <c r="C434" s="466" t="s">
        <v>4100</v>
      </c>
      <c r="D434" s="468">
        <v>2.015016057E9</v>
      </c>
      <c r="E434" s="466" t="s">
        <v>2209</v>
      </c>
      <c r="F434" s="466">
        <v>8.8227768128E10</v>
      </c>
      <c r="G434" s="466" t="s">
        <v>4101</v>
      </c>
      <c r="H434" s="469">
        <v>45186.0</v>
      </c>
      <c r="I434" s="470">
        <v>45310.0</v>
      </c>
      <c r="J434" s="466" t="s">
        <v>399</v>
      </c>
      <c r="K434" s="466" t="s">
        <v>117</v>
      </c>
      <c r="L434" s="466" t="s">
        <v>2922</v>
      </c>
      <c r="M434" s="463"/>
      <c r="N434" s="463"/>
      <c r="O434" s="463"/>
      <c r="P434" s="463"/>
      <c r="Q434" s="463"/>
      <c r="R434" s="466" t="s">
        <v>4102</v>
      </c>
      <c r="S434" s="387"/>
      <c r="T434" s="466" t="s">
        <v>117</v>
      </c>
      <c r="U434" s="466" t="s">
        <v>2922</v>
      </c>
      <c r="V434" s="466" t="s">
        <v>230</v>
      </c>
      <c r="W434" s="480">
        <v>45545.0</v>
      </c>
      <c r="X434" s="466" t="s">
        <v>3406</v>
      </c>
      <c r="Y434" s="462" t="s">
        <v>1948</v>
      </c>
      <c r="Z434" s="387"/>
      <c r="AA434" s="387"/>
      <c r="AB434" s="482" t="s">
        <v>316</v>
      </c>
      <c r="AC434" s="387"/>
      <c r="AD434" s="387"/>
      <c r="AE434" s="387"/>
      <c r="AF434" s="387"/>
      <c r="AG434" s="387"/>
      <c r="AH434" s="387"/>
      <c r="AI434" s="387"/>
      <c r="AJ434" s="387"/>
      <c r="AK434" s="387"/>
      <c r="AL434" s="387"/>
      <c r="AM434" s="387"/>
      <c r="AN434" s="387"/>
      <c r="AO434" s="387"/>
      <c r="AP434" s="387"/>
      <c r="AQ434" s="387"/>
      <c r="AR434" s="387"/>
      <c r="AS434" s="387"/>
      <c r="AT434" s="387"/>
    </row>
    <row r="435">
      <c r="A435" s="466">
        <v>2019.0</v>
      </c>
      <c r="B435" s="467">
        <v>45542.72518518518</v>
      </c>
      <c r="C435" s="466" t="s">
        <v>1865</v>
      </c>
      <c r="D435" s="468">
        <v>1.900016028E9</v>
      </c>
      <c r="E435" s="466" t="s">
        <v>1866</v>
      </c>
      <c r="F435" s="466">
        <v>8.2278600417E10</v>
      </c>
      <c r="G435" s="466" t="s">
        <v>1868</v>
      </c>
      <c r="H435" s="469">
        <v>45047.0</v>
      </c>
      <c r="I435" s="470">
        <v>45266.0</v>
      </c>
      <c r="J435" s="466" t="s">
        <v>399</v>
      </c>
      <c r="K435" s="466" t="s">
        <v>117</v>
      </c>
      <c r="L435" s="466" t="s">
        <v>2379</v>
      </c>
      <c r="M435" s="463"/>
      <c r="N435" s="463"/>
      <c r="O435" s="463"/>
      <c r="P435" s="463"/>
      <c r="Q435" s="463"/>
      <c r="R435" s="466" t="s">
        <v>4103</v>
      </c>
      <c r="S435" s="387"/>
      <c r="T435" s="466" t="s">
        <v>117</v>
      </c>
      <c r="U435" s="466" t="s">
        <v>2379</v>
      </c>
      <c r="V435" s="466" t="s">
        <v>2922</v>
      </c>
      <c r="W435" s="480">
        <v>45546.0</v>
      </c>
      <c r="X435" s="466" t="s">
        <v>4104</v>
      </c>
      <c r="Y435" s="462" t="s">
        <v>1948</v>
      </c>
      <c r="Z435" s="387"/>
      <c r="AA435" s="387"/>
      <c r="AB435" s="482" t="s">
        <v>316</v>
      </c>
      <c r="AC435" s="387"/>
      <c r="AD435" s="387"/>
      <c r="AE435" s="387"/>
      <c r="AF435" s="387"/>
      <c r="AG435" s="387"/>
      <c r="AH435" s="387"/>
      <c r="AI435" s="387"/>
      <c r="AJ435" s="387"/>
      <c r="AK435" s="387"/>
      <c r="AL435" s="387"/>
      <c r="AM435" s="387"/>
      <c r="AN435" s="387"/>
      <c r="AO435" s="387"/>
      <c r="AP435" s="387"/>
      <c r="AQ435" s="387"/>
      <c r="AR435" s="387"/>
      <c r="AS435" s="387"/>
      <c r="AT435" s="387"/>
    </row>
    <row r="436">
      <c r="A436" s="466">
        <v>2018.0</v>
      </c>
      <c r="B436" s="467">
        <v>45542.870520833334</v>
      </c>
      <c r="C436" s="466" t="s">
        <v>1902</v>
      </c>
      <c r="D436" s="468">
        <v>1.800016142E9</v>
      </c>
      <c r="E436" s="466" t="s">
        <v>4105</v>
      </c>
      <c r="F436" s="466">
        <v>8.2189050655E10</v>
      </c>
      <c r="G436" s="466" t="s">
        <v>4106</v>
      </c>
      <c r="H436" s="469">
        <v>45204.0</v>
      </c>
      <c r="I436" s="470">
        <v>45278.0</v>
      </c>
      <c r="J436" s="466" t="s">
        <v>399</v>
      </c>
      <c r="K436" s="466" t="s">
        <v>2922</v>
      </c>
      <c r="L436" s="466" t="s">
        <v>117</v>
      </c>
      <c r="M436" s="463"/>
      <c r="N436" s="463"/>
      <c r="O436" s="463"/>
      <c r="P436" s="463"/>
      <c r="Q436" s="463"/>
      <c r="R436" s="466" t="s">
        <v>4107</v>
      </c>
      <c r="S436" s="387"/>
      <c r="T436" s="466" t="s">
        <v>2922</v>
      </c>
      <c r="U436" s="466" t="s">
        <v>117</v>
      </c>
      <c r="V436" s="484" t="s">
        <v>183</v>
      </c>
      <c r="W436" s="480">
        <v>45545.0</v>
      </c>
      <c r="X436" s="466" t="s">
        <v>3441</v>
      </c>
      <c r="Y436" s="462" t="s">
        <v>1948</v>
      </c>
      <c r="Z436" s="387"/>
      <c r="AA436" s="387"/>
      <c r="AB436" s="482" t="s">
        <v>316</v>
      </c>
      <c r="AC436" s="387"/>
      <c r="AD436" s="387"/>
      <c r="AE436" s="387"/>
      <c r="AF436" s="387"/>
      <c r="AG436" s="387"/>
      <c r="AH436" s="387"/>
      <c r="AI436" s="387"/>
      <c r="AJ436" s="387"/>
      <c r="AK436" s="387"/>
      <c r="AL436" s="387"/>
      <c r="AM436" s="387"/>
      <c r="AN436" s="387"/>
      <c r="AO436" s="387"/>
      <c r="AP436" s="387"/>
      <c r="AQ436" s="387"/>
      <c r="AR436" s="387"/>
      <c r="AS436" s="387"/>
      <c r="AT436" s="387"/>
    </row>
    <row r="437" ht="16.5" customHeight="1">
      <c r="A437" s="466">
        <v>2020.0</v>
      </c>
      <c r="B437" s="467">
        <v>45546.058229166665</v>
      </c>
      <c r="C437" s="466" t="s">
        <v>2176</v>
      </c>
      <c r="D437" s="468">
        <v>2.000016105E9</v>
      </c>
      <c r="E437" s="466" t="s">
        <v>2177</v>
      </c>
      <c r="F437" s="466">
        <v>8.2130632427E10</v>
      </c>
      <c r="G437" s="466" t="s">
        <v>4108</v>
      </c>
      <c r="H437" s="469">
        <v>45208.0</v>
      </c>
      <c r="I437" s="470">
        <v>45306.0</v>
      </c>
      <c r="J437" s="466" t="s">
        <v>399</v>
      </c>
      <c r="K437" s="466" t="s">
        <v>183</v>
      </c>
      <c r="L437" s="466" t="s">
        <v>241</v>
      </c>
      <c r="M437" s="463"/>
      <c r="N437" s="463"/>
      <c r="O437" s="463"/>
      <c r="P437" s="463"/>
      <c r="Q437" s="463"/>
      <c r="R437" s="466" t="s">
        <v>4109</v>
      </c>
      <c r="S437" s="387"/>
      <c r="T437" s="466" t="s">
        <v>183</v>
      </c>
      <c r="U437" s="466" t="s">
        <v>241</v>
      </c>
      <c r="V437" s="466" t="s">
        <v>1900</v>
      </c>
      <c r="W437" s="471">
        <v>45553.0</v>
      </c>
      <c r="X437" s="466" t="s">
        <v>3418</v>
      </c>
      <c r="Y437" s="462" t="s">
        <v>1948</v>
      </c>
      <c r="Z437" s="387"/>
      <c r="AA437" s="387"/>
      <c r="AB437" s="482" t="s">
        <v>316</v>
      </c>
      <c r="AC437" s="387"/>
      <c r="AD437" s="387"/>
      <c r="AE437" s="387"/>
      <c r="AF437" s="387"/>
      <c r="AG437" s="387"/>
      <c r="AH437" s="387"/>
      <c r="AI437" s="387"/>
      <c r="AJ437" s="387"/>
      <c r="AK437" s="387"/>
      <c r="AL437" s="387"/>
      <c r="AM437" s="387"/>
      <c r="AN437" s="387"/>
      <c r="AO437" s="387"/>
      <c r="AP437" s="387"/>
      <c r="AQ437" s="387"/>
      <c r="AR437" s="387"/>
      <c r="AS437" s="387"/>
      <c r="AT437" s="387"/>
    </row>
    <row r="438" ht="16.5" customHeight="1">
      <c r="A438" s="455">
        <v>2020.0</v>
      </c>
      <c r="B438" s="456">
        <v>45546.5841087963</v>
      </c>
      <c r="C438" s="455" t="s">
        <v>2129</v>
      </c>
      <c r="D438" s="457">
        <v>2.011016065E9</v>
      </c>
      <c r="E438" s="455" t="s">
        <v>2130</v>
      </c>
      <c r="F438" s="455">
        <v>8.5215067556E10</v>
      </c>
      <c r="G438" s="455" t="s">
        <v>4110</v>
      </c>
      <c r="H438" s="458">
        <v>45268.0</v>
      </c>
      <c r="I438" s="459">
        <v>45550.0</v>
      </c>
      <c r="J438" s="455" t="s">
        <v>399</v>
      </c>
      <c r="K438" s="455" t="s">
        <v>183</v>
      </c>
      <c r="L438" s="455" t="s">
        <v>117</v>
      </c>
      <c r="M438" s="460"/>
      <c r="N438" s="460"/>
      <c r="O438" s="460"/>
      <c r="P438" s="460"/>
      <c r="Q438" s="460"/>
      <c r="R438" s="455" t="s">
        <v>4111</v>
      </c>
      <c r="S438" s="408"/>
      <c r="T438" s="455" t="s">
        <v>183</v>
      </c>
      <c r="U438" s="455" t="s">
        <v>117</v>
      </c>
      <c r="V438" s="455" t="s">
        <v>2922</v>
      </c>
      <c r="W438" s="461">
        <v>45552.0</v>
      </c>
      <c r="X438" s="455" t="s">
        <v>3592</v>
      </c>
      <c r="Y438" s="462" t="s">
        <v>1948</v>
      </c>
      <c r="Z438" s="408"/>
      <c r="AA438" s="408"/>
      <c r="AB438" s="462" t="s">
        <v>316</v>
      </c>
      <c r="AC438" s="408"/>
      <c r="AD438" s="408"/>
      <c r="AE438" s="408"/>
      <c r="AF438" s="408"/>
      <c r="AG438" s="408"/>
      <c r="AH438" s="408"/>
      <c r="AI438" s="408"/>
      <c r="AJ438" s="408"/>
      <c r="AK438" s="408"/>
      <c r="AL438" s="408"/>
      <c r="AM438" s="408"/>
      <c r="AN438" s="408"/>
      <c r="AO438" s="408"/>
      <c r="AP438" s="408"/>
      <c r="AQ438" s="408"/>
      <c r="AR438" s="408"/>
      <c r="AS438" s="408"/>
      <c r="AT438" s="408"/>
    </row>
    <row r="439" ht="16.5" customHeight="1">
      <c r="A439" s="455">
        <v>2018.0</v>
      </c>
      <c r="B439" s="456">
        <v>45546.80631944445</v>
      </c>
      <c r="C439" s="455" t="s">
        <v>2369</v>
      </c>
      <c r="D439" s="457">
        <v>1.800016088E9</v>
      </c>
      <c r="E439" s="455" t="s">
        <v>2370</v>
      </c>
      <c r="F439" s="455">
        <v>8.95637855384E11</v>
      </c>
      <c r="G439" s="455" t="s">
        <v>2372</v>
      </c>
      <c r="H439" s="458">
        <v>45306.0</v>
      </c>
      <c r="I439" s="459">
        <v>45350.0</v>
      </c>
      <c r="J439" s="455" t="s">
        <v>399</v>
      </c>
      <c r="K439" s="455" t="s">
        <v>2922</v>
      </c>
      <c r="L439" s="455" t="s">
        <v>1900</v>
      </c>
      <c r="M439" s="460"/>
      <c r="N439" s="460"/>
      <c r="O439" s="460"/>
      <c r="P439" s="460"/>
      <c r="Q439" s="460"/>
      <c r="R439" s="455" t="s">
        <v>4112</v>
      </c>
      <c r="S439" s="408"/>
      <c r="T439" s="455" t="s">
        <v>2922</v>
      </c>
      <c r="U439" s="455" t="s">
        <v>1900</v>
      </c>
      <c r="V439" s="455" t="s">
        <v>241</v>
      </c>
      <c r="W439" s="461">
        <v>45552.0</v>
      </c>
      <c r="X439" s="455" t="s">
        <v>3418</v>
      </c>
      <c r="Y439" s="462" t="s">
        <v>1948</v>
      </c>
      <c r="Z439" s="408"/>
      <c r="AA439" s="408"/>
      <c r="AB439" s="462" t="s">
        <v>316</v>
      </c>
      <c r="AC439" s="408"/>
      <c r="AD439" s="408"/>
      <c r="AE439" s="408"/>
      <c r="AF439" s="408"/>
      <c r="AG439" s="408"/>
      <c r="AH439" s="408"/>
      <c r="AI439" s="408"/>
      <c r="AJ439" s="408"/>
      <c r="AK439" s="408"/>
      <c r="AL439" s="408"/>
      <c r="AM439" s="408"/>
      <c r="AN439" s="408"/>
      <c r="AO439" s="408"/>
      <c r="AP439" s="408"/>
      <c r="AQ439" s="408"/>
      <c r="AR439" s="408"/>
      <c r="AS439" s="408"/>
      <c r="AT439" s="408"/>
    </row>
    <row r="440" ht="16.5" customHeight="1">
      <c r="A440" s="466">
        <v>2020.0</v>
      </c>
      <c r="B440" s="467">
        <v>45551.69186342593</v>
      </c>
      <c r="C440" s="466" t="s">
        <v>2139</v>
      </c>
      <c r="D440" s="468">
        <v>2.000016018E9</v>
      </c>
      <c r="E440" s="466" t="s">
        <v>2140</v>
      </c>
      <c r="F440" s="466">
        <v>8.2269359365E10</v>
      </c>
      <c r="G440" s="466" t="s">
        <v>2142</v>
      </c>
      <c r="H440" s="469">
        <v>45309.0</v>
      </c>
      <c r="I440" s="470">
        <v>45308.0</v>
      </c>
      <c r="J440" s="466" t="s">
        <v>399</v>
      </c>
      <c r="K440" s="466" t="s">
        <v>241</v>
      </c>
      <c r="L440" s="466" t="s">
        <v>1900</v>
      </c>
      <c r="M440" s="463"/>
      <c r="N440" s="463"/>
      <c r="O440" s="463"/>
      <c r="P440" s="463"/>
      <c r="Q440" s="463"/>
      <c r="R440" s="466" t="s">
        <v>4113</v>
      </c>
      <c r="S440" s="387"/>
      <c r="T440" s="466" t="s">
        <v>241</v>
      </c>
      <c r="U440" s="466" t="s">
        <v>1900</v>
      </c>
      <c r="V440" s="466" t="s">
        <v>2379</v>
      </c>
      <c r="W440" s="461">
        <v>45554.0</v>
      </c>
      <c r="X440" s="466" t="s">
        <v>3441</v>
      </c>
      <c r="Y440" s="462" t="s">
        <v>1948</v>
      </c>
      <c r="Z440" s="387"/>
      <c r="AA440" s="387"/>
      <c r="AB440" s="482" t="s">
        <v>316</v>
      </c>
      <c r="AC440" s="387"/>
      <c r="AD440" s="387"/>
      <c r="AE440" s="387"/>
      <c r="AF440" s="387"/>
      <c r="AG440" s="387"/>
      <c r="AH440" s="387"/>
      <c r="AI440" s="387"/>
      <c r="AJ440" s="387"/>
      <c r="AK440" s="387"/>
      <c r="AL440" s="387"/>
      <c r="AM440" s="387"/>
      <c r="AN440" s="387"/>
      <c r="AO440" s="387"/>
      <c r="AP440" s="387"/>
      <c r="AQ440" s="387"/>
      <c r="AR440" s="387"/>
      <c r="AS440" s="387"/>
      <c r="AT440" s="387"/>
    </row>
    <row r="441" ht="16.5" customHeight="1">
      <c r="A441" s="466">
        <v>2020.0</v>
      </c>
      <c r="B441" s="467">
        <v>45552.582719907405</v>
      </c>
      <c r="C441" s="466" t="s">
        <v>2328</v>
      </c>
      <c r="D441" s="468">
        <v>2.000016109E9</v>
      </c>
      <c r="E441" s="466" t="s">
        <v>4114</v>
      </c>
      <c r="F441" s="466">
        <v>8.1230001294E10</v>
      </c>
      <c r="G441" s="466" t="s">
        <v>4115</v>
      </c>
      <c r="H441" s="469">
        <v>45291.0</v>
      </c>
      <c r="I441" s="470">
        <v>45313.0</v>
      </c>
      <c r="J441" s="466" t="s">
        <v>399</v>
      </c>
      <c r="K441" s="466" t="s">
        <v>241</v>
      </c>
      <c r="L441" s="466" t="s">
        <v>2617</v>
      </c>
      <c r="M441" s="463"/>
      <c r="N441" s="463"/>
      <c r="O441" s="463"/>
      <c r="P441" s="463"/>
      <c r="Q441" s="463"/>
      <c r="R441" s="466" t="s">
        <v>4116</v>
      </c>
      <c r="S441" s="387"/>
      <c r="T441" s="466" t="s">
        <v>241</v>
      </c>
      <c r="U441" s="466" t="s">
        <v>2617</v>
      </c>
      <c r="V441" s="466" t="s">
        <v>1900</v>
      </c>
      <c r="W441" s="461">
        <v>45558.0</v>
      </c>
      <c r="X441" s="466" t="s">
        <v>3791</v>
      </c>
      <c r="Y441" s="462" t="s">
        <v>1948</v>
      </c>
      <c r="Z441" s="387"/>
      <c r="AA441" s="387"/>
      <c r="AB441" s="482" t="s">
        <v>316</v>
      </c>
      <c r="AC441" s="387"/>
      <c r="AD441" s="387"/>
      <c r="AE441" s="387"/>
      <c r="AF441" s="387"/>
      <c r="AG441" s="387"/>
      <c r="AH441" s="387"/>
      <c r="AI441" s="387"/>
      <c r="AJ441" s="387"/>
      <c r="AK441" s="387"/>
      <c r="AL441" s="387"/>
      <c r="AM441" s="387"/>
      <c r="AN441" s="387"/>
      <c r="AO441" s="387"/>
      <c r="AP441" s="387"/>
      <c r="AQ441" s="387"/>
      <c r="AR441" s="387"/>
      <c r="AS441" s="387"/>
      <c r="AT441" s="387"/>
    </row>
    <row r="442" ht="16.5" customHeight="1">
      <c r="A442" s="466">
        <v>2020.0</v>
      </c>
      <c r="B442" s="467">
        <v>45554.32666666667</v>
      </c>
      <c r="C442" s="466" t="s">
        <v>2193</v>
      </c>
      <c r="D442" s="468">
        <v>2.000016047E9</v>
      </c>
      <c r="E442" s="466" t="s">
        <v>2194</v>
      </c>
      <c r="F442" s="466">
        <v>8.5874030544E10</v>
      </c>
      <c r="G442" s="466" t="s">
        <v>4117</v>
      </c>
      <c r="H442" s="469">
        <v>45293.0</v>
      </c>
      <c r="I442" s="470">
        <v>45309.0</v>
      </c>
      <c r="J442" s="466" t="s">
        <v>399</v>
      </c>
      <c r="K442" s="466" t="s">
        <v>2916</v>
      </c>
      <c r="L442" s="466" t="s">
        <v>241</v>
      </c>
      <c r="M442" s="463"/>
      <c r="N442" s="463"/>
      <c r="O442" s="463"/>
      <c r="P442" s="463"/>
      <c r="Q442" s="463"/>
      <c r="R442" s="466" t="s">
        <v>4118</v>
      </c>
      <c r="S442" s="387"/>
      <c r="T442" s="466" t="s">
        <v>2916</v>
      </c>
      <c r="U442" s="466" t="s">
        <v>241</v>
      </c>
      <c r="V442" s="466" t="s">
        <v>183</v>
      </c>
      <c r="W442" s="461">
        <v>45561.0</v>
      </c>
      <c r="X442" s="466" t="s">
        <v>2492</v>
      </c>
      <c r="Y442" s="462" t="s">
        <v>1948</v>
      </c>
      <c r="Z442" s="387"/>
      <c r="AA442" s="387"/>
      <c r="AB442" s="482" t="s">
        <v>316</v>
      </c>
      <c r="AC442" s="387"/>
      <c r="AD442" s="387"/>
      <c r="AE442" s="387"/>
      <c r="AF442" s="387"/>
      <c r="AG442" s="387"/>
      <c r="AH442" s="387"/>
      <c r="AI442" s="387"/>
      <c r="AJ442" s="387"/>
      <c r="AK442" s="387"/>
      <c r="AL442" s="387"/>
      <c r="AM442" s="387"/>
      <c r="AN442" s="387"/>
      <c r="AO442" s="387"/>
      <c r="AP442" s="387"/>
      <c r="AQ442" s="387"/>
      <c r="AR442" s="387"/>
      <c r="AS442" s="387"/>
      <c r="AT442" s="387"/>
    </row>
    <row r="443" ht="16.5" customHeight="1">
      <c r="A443" s="466">
        <v>2018.0</v>
      </c>
      <c r="B443" s="467">
        <v>45554.52449074074</v>
      </c>
      <c r="C443" s="466" t="s">
        <v>1291</v>
      </c>
      <c r="D443" s="468">
        <v>1.800016012E9</v>
      </c>
      <c r="E443" s="466" t="s">
        <v>1292</v>
      </c>
      <c r="F443" s="466">
        <v>8.5747810969E10</v>
      </c>
      <c r="G443" s="466" t="s">
        <v>4119</v>
      </c>
      <c r="H443" s="469">
        <v>44936.0</v>
      </c>
      <c r="I443" s="470">
        <v>45029.0</v>
      </c>
      <c r="J443" s="466" t="s">
        <v>399</v>
      </c>
      <c r="K443" s="466" t="s">
        <v>747</v>
      </c>
      <c r="L443" s="466" t="s">
        <v>230</v>
      </c>
      <c r="M443" s="463"/>
      <c r="N443" s="463"/>
      <c r="O443" s="463"/>
      <c r="P443" s="463"/>
      <c r="Q443" s="463"/>
      <c r="R443" s="466" t="s">
        <v>4120</v>
      </c>
      <c r="S443" s="387"/>
      <c r="T443" s="466" t="s">
        <v>747</v>
      </c>
      <c r="U443" s="466" t="s">
        <v>230</v>
      </c>
      <c r="V443" s="466" t="s">
        <v>1900</v>
      </c>
      <c r="W443" s="461">
        <v>45560.0</v>
      </c>
      <c r="X443" s="466" t="s">
        <v>3418</v>
      </c>
      <c r="Y443" s="462" t="s">
        <v>1948</v>
      </c>
      <c r="Z443" s="387"/>
      <c r="AA443" s="387"/>
      <c r="AB443" s="482" t="s">
        <v>316</v>
      </c>
      <c r="AC443" s="485" t="s">
        <v>4121</v>
      </c>
      <c r="AD443" s="485" t="s">
        <v>4122</v>
      </c>
      <c r="AE443" s="485" t="s">
        <v>4123</v>
      </c>
      <c r="AF443" s="486">
        <v>45560.520833333336</v>
      </c>
      <c r="AG443" s="487">
        <v>0.5208333333333334</v>
      </c>
      <c r="AH443" s="486">
        <v>45560.583333333336</v>
      </c>
      <c r="AI443" s="387"/>
      <c r="AJ443" s="387"/>
      <c r="AK443" s="387"/>
      <c r="AL443" s="387"/>
      <c r="AM443" s="387"/>
      <c r="AN443" s="387"/>
      <c r="AO443" s="387"/>
      <c r="AP443" s="387"/>
      <c r="AQ443" s="387"/>
      <c r="AR443" s="387"/>
      <c r="AS443" s="387"/>
      <c r="AT443" s="387"/>
    </row>
    <row r="444" ht="16.5" customHeight="1">
      <c r="A444" s="455">
        <v>2019.0</v>
      </c>
      <c r="B444" s="456">
        <v>45555.62403935185</v>
      </c>
      <c r="C444" s="455" t="s">
        <v>1453</v>
      </c>
      <c r="D444" s="457">
        <v>1.900016171E9</v>
      </c>
      <c r="E444" s="455" t="s">
        <v>1454</v>
      </c>
      <c r="F444" s="455">
        <v>8.5750803467E10</v>
      </c>
      <c r="G444" s="455" t="s">
        <v>4124</v>
      </c>
      <c r="H444" s="458">
        <v>45091.0</v>
      </c>
      <c r="I444" s="459">
        <v>45456.0</v>
      </c>
      <c r="J444" s="455" t="s">
        <v>399</v>
      </c>
      <c r="K444" s="455" t="s">
        <v>2922</v>
      </c>
      <c r="L444" s="455" t="s">
        <v>117</v>
      </c>
      <c r="M444" s="460"/>
      <c r="N444" s="460"/>
      <c r="O444" s="460"/>
      <c r="P444" s="460"/>
      <c r="Q444" s="460"/>
      <c r="R444" s="455" t="s">
        <v>4125</v>
      </c>
      <c r="S444" s="408"/>
      <c r="T444" s="455" t="s">
        <v>2922</v>
      </c>
      <c r="U444" s="455" t="s">
        <v>117</v>
      </c>
      <c r="V444" s="455" t="s">
        <v>1900</v>
      </c>
      <c r="W444" s="461">
        <v>45560.0</v>
      </c>
      <c r="X444" s="466" t="s">
        <v>987</v>
      </c>
      <c r="Y444" s="462" t="s">
        <v>1948</v>
      </c>
      <c r="Z444" s="408"/>
      <c r="AA444" s="408"/>
      <c r="AB444" s="482" t="s">
        <v>316</v>
      </c>
      <c r="AC444" s="485" t="s">
        <v>4126</v>
      </c>
      <c r="AD444" s="485" t="s">
        <v>4127</v>
      </c>
      <c r="AE444" s="485" t="s">
        <v>4123</v>
      </c>
      <c r="AF444" s="486">
        <v>45560.583333333336</v>
      </c>
      <c r="AG444" s="487">
        <v>0.5833333333333334</v>
      </c>
      <c r="AH444" s="486">
        <v>45560.645833333336</v>
      </c>
      <c r="AI444" s="408"/>
      <c r="AJ444" s="408"/>
      <c r="AK444" s="408"/>
      <c r="AL444" s="408"/>
      <c r="AM444" s="408"/>
      <c r="AN444" s="408"/>
      <c r="AO444" s="408"/>
      <c r="AP444" s="408"/>
      <c r="AQ444" s="408"/>
      <c r="AR444" s="408"/>
      <c r="AS444" s="408"/>
      <c r="AT444" s="408"/>
    </row>
    <row r="445" ht="16.5" customHeight="1">
      <c r="A445" s="455">
        <v>2020.0</v>
      </c>
      <c r="B445" s="456">
        <v>45556.446064814816</v>
      </c>
      <c r="C445" s="455" t="s">
        <v>2171</v>
      </c>
      <c r="D445" s="457">
        <v>2.000016037E9</v>
      </c>
      <c r="E445" s="455" t="s">
        <v>4128</v>
      </c>
      <c r="F445" s="455">
        <v>8.2259292628E10</v>
      </c>
      <c r="G445" s="455" t="s">
        <v>4129</v>
      </c>
      <c r="H445" s="458">
        <v>45229.0</v>
      </c>
      <c r="I445" s="459">
        <v>45306.0</v>
      </c>
      <c r="J445" s="455" t="s">
        <v>399</v>
      </c>
      <c r="K445" s="455" t="s">
        <v>183</v>
      </c>
      <c r="L445" s="455" t="s">
        <v>241</v>
      </c>
      <c r="M445" s="460"/>
      <c r="N445" s="460"/>
      <c r="O445" s="460"/>
      <c r="P445" s="460"/>
      <c r="Q445" s="460"/>
      <c r="R445" s="455" t="s">
        <v>4130</v>
      </c>
      <c r="S445" s="408"/>
      <c r="T445" s="455" t="s">
        <v>183</v>
      </c>
      <c r="U445" s="455" t="s">
        <v>241</v>
      </c>
      <c r="V445" s="466" t="s">
        <v>1900</v>
      </c>
      <c r="W445" s="461">
        <v>45562.0</v>
      </c>
      <c r="X445" s="455" t="s">
        <v>3406</v>
      </c>
      <c r="Y445" s="462" t="s">
        <v>1948</v>
      </c>
      <c r="Z445" s="408"/>
      <c r="AA445" s="408"/>
      <c r="AB445" s="482" t="s">
        <v>316</v>
      </c>
      <c r="AC445" s="485" t="s">
        <v>4131</v>
      </c>
      <c r="AD445" s="485" t="s">
        <v>4132</v>
      </c>
      <c r="AE445" s="485" t="s">
        <v>4123</v>
      </c>
      <c r="AF445" s="486">
        <v>45562.333333333336</v>
      </c>
      <c r="AG445" s="487">
        <v>0.3333333333333333</v>
      </c>
      <c r="AH445" s="486">
        <v>45562.395833333336</v>
      </c>
      <c r="AI445" s="408"/>
      <c r="AJ445" s="408"/>
      <c r="AK445" s="408"/>
      <c r="AL445" s="408"/>
      <c r="AM445" s="408"/>
      <c r="AN445" s="408"/>
      <c r="AO445" s="408"/>
      <c r="AP445" s="408"/>
      <c r="AQ445" s="408"/>
      <c r="AR445" s="408"/>
      <c r="AS445" s="408"/>
      <c r="AT445" s="408"/>
    </row>
    <row r="446" ht="16.5" customHeight="1">
      <c r="A446" s="466">
        <v>2020.0</v>
      </c>
      <c r="B446" s="467">
        <v>45558.92706018518</v>
      </c>
      <c r="C446" s="466" t="s">
        <v>2161</v>
      </c>
      <c r="D446" s="468">
        <v>2.000016115E9</v>
      </c>
      <c r="E446" s="466" t="s">
        <v>2162</v>
      </c>
      <c r="F446" s="466">
        <v>8.1286072821E10</v>
      </c>
      <c r="G446" s="466" t="s">
        <v>2164</v>
      </c>
      <c r="H446" s="469">
        <v>45239.0</v>
      </c>
      <c r="I446" s="470">
        <v>45306.0</v>
      </c>
      <c r="J446" s="466" t="s">
        <v>399</v>
      </c>
      <c r="K446" s="466" t="s">
        <v>183</v>
      </c>
      <c r="L446" s="466" t="s">
        <v>241</v>
      </c>
      <c r="M446" s="463"/>
      <c r="N446" s="463"/>
      <c r="O446" s="463"/>
      <c r="P446" s="463"/>
      <c r="Q446" s="463"/>
      <c r="R446" s="466" t="s">
        <v>4133</v>
      </c>
      <c r="S446" s="387"/>
      <c r="T446" s="466" t="s">
        <v>183</v>
      </c>
      <c r="U446" s="466" t="s">
        <v>241</v>
      </c>
      <c r="V446" s="481" t="s">
        <v>2922</v>
      </c>
      <c r="W446" s="461">
        <v>45563.0</v>
      </c>
      <c r="X446" s="466" t="s">
        <v>3418</v>
      </c>
      <c r="Y446" s="462" t="s">
        <v>1948</v>
      </c>
      <c r="Z446" s="387"/>
      <c r="AA446" s="387"/>
      <c r="AB446" s="482" t="s">
        <v>316</v>
      </c>
      <c r="AC446" s="485" t="s">
        <v>4131</v>
      </c>
      <c r="AD446" s="485" t="s">
        <v>4132</v>
      </c>
      <c r="AE446" s="485" t="s">
        <v>4126</v>
      </c>
      <c r="AF446" s="486">
        <v>45563.520833333336</v>
      </c>
      <c r="AG446" s="487">
        <v>0.5208333333333334</v>
      </c>
      <c r="AH446" s="486">
        <v>45563.583333333336</v>
      </c>
      <c r="AI446" s="387"/>
      <c r="AJ446" s="387"/>
      <c r="AK446" s="387"/>
      <c r="AL446" s="387"/>
      <c r="AM446" s="387"/>
      <c r="AN446" s="387"/>
      <c r="AO446" s="387"/>
      <c r="AP446" s="387"/>
      <c r="AQ446" s="387"/>
      <c r="AR446" s="387"/>
      <c r="AS446" s="387"/>
      <c r="AT446" s="387"/>
    </row>
    <row r="447" ht="16.5" customHeight="1">
      <c r="A447" s="466">
        <v>2019.0</v>
      </c>
      <c r="B447" s="467">
        <v>45562.59761574074</v>
      </c>
      <c r="C447" s="466" t="s">
        <v>2354</v>
      </c>
      <c r="D447" s="468">
        <v>1.90001605E9</v>
      </c>
      <c r="E447" s="466" t="s">
        <v>2355</v>
      </c>
      <c r="F447" s="466">
        <v>8.1248941409E10</v>
      </c>
      <c r="G447" s="466" t="s">
        <v>2357</v>
      </c>
      <c r="H447" s="469">
        <v>45078.0</v>
      </c>
      <c r="I447" s="470">
        <v>45321.0</v>
      </c>
      <c r="J447" s="466" t="s">
        <v>399</v>
      </c>
      <c r="K447" s="466" t="s">
        <v>2617</v>
      </c>
      <c r="L447" s="466" t="s">
        <v>2922</v>
      </c>
      <c r="M447" s="463"/>
      <c r="N447" s="463"/>
      <c r="O447" s="463"/>
      <c r="P447" s="463"/>
      <c r="Q447" s="463"/>
      <c r="R447" s="466" t="s">
        <v>4134</v>
      </c>
      <c r="S447" s="387"/>
      <c r="T447" s="466" t="s">
        <v>2617</v>
      </c>
      <c r="U447" s="466" t="s">
        <v>2922</v>
      </c>
      <c r="V447" s="466" t="s">
        <v>1900</v>
      </c>
      <c r="W447" s="471">
        <v>45568.0</v>
      </c>
      <c r="X447" s="466" t="s">
        <v>3791</v>
      </c>
      <c r="Y447" s="462" t="s">
        <v>1948</v>
      </c>
      <c r="Z447" s="387"/>
      <c r="AA447" s="387"/>
      <c r="AB447" s="482" t="s">
        <v>316</v>
      </c>
      <c r="AC447" s="485" t="s">
        <v>4135</v>
      </c>
      <c r="AD447" s="485" t="s">
        <v>4126</v>
      </c>
      <c r="AE447" s="485" t="s">
        <v>4123</v>
      </c>
      <c r="AF447" s="486">
        <v>45568.375</v>
      </c>
      <c r="AG447" s="487">
        <v>0.375</v>
      </c>
      <c r="AH447" s="486">
        <v>45568.4375</v>
      </c>
      <c r="AI447" s="387"/>
      <c r="AJ447" s="387"/>
      <c r="AK447" s="387"/>
      <c r="AL447" s="387"/>
      <c r="AM447" s="387"/>
      <c r="AN447" s="387"/>
      <c r="AO447" s="387"/>
      <c r="AP447" s="387"/>
      <c r="AQ447" s="387"/>
      <c r="AR447" s="387"/>
      <c r="AS447" s="387"/>
      <c r="AT447" s="387"/>
    </row>
    <row r="448" ht="16.5" customHeight="1">
      <c r="A448" s="455">
        <v>2019.0</v>
      </c>
      <c r="B448" s="456">
        <v>45567.61336805556</v>
      </c>
      <c r="C448" s="455" t="s">
        <v>1827</v>
      </c>
      <c r="D448" s="457">
        <v>1.90001613E9</v>
      </c>
      <c r="E448" s="455" t="s">
        <v>4136</v>
      </c>
      <c r="F448" s="455">
        <v>8.1247735492E10</v>
      </c>
      <c r="G448" s="455" t="s">
        <v>4137</v>
      </c>
      <c r="H448" s="458">
        <v>45208.0</v>
      </c>
      <c r="I448" s="459">
        <v>45254.0</v>
      </c>
      <c r="J448" s="455" t="s">
        <v>399</v>
      </c>
      <c r="K448" s="455" t="s">
        <v>183</v>
      </c>
      <c r="L448" s="455" t="s">
        <v>2922</v>
      </c>
      <c r="M448" s="460"/>
      <c r="N448" s="460"/>
      <c r="O448" s="460"/>
      <c r="P448" s="460"/>
      <c r="Q448" s="460"/>
      <c r="R448" s="455" t="s">
        <v>4138</v>
      </c>
      <c r="S448" s="408"/>
      <c r="T448" s="455" t="s">
        <v>183</v>
      </c>
      <c r="U448" s="455" t="s">
        <v>2922</v>
      </c>
      <c r="V448" s="455" t="s">
        <v>2916</v>
      </c>
      <c r="W448" s="461">
        <v>45574.0</v>
      </c>
      <c r="X448" s="455" t="s">
        <v>3418</v>
      </c>
      <c r="Y448" s="462" t="s">
        <v>1948</v>
      </c>
      <c r="Z448" s="408"/>
      <c r="AA448" s="408"/>
      <c r="AB448" s="462" t="s">
        <v>2955</v>
      </c>
      <c r="AC448" s="465" t="s">
        <v>4131</v>
      </c>
      <c r="AD448" s="465" t="s">
        <v>4126</v>
      </c>
      <c r="AE448" s="465" t="s">
        <v>4139</v>
      </c>
      <c r="AF448" s="488">
        <v>45574.520833333336</v>
      </c>
      <c r="AG448" s="489">
        <v>0.5208333333333334</v>
      </c>
      <c r="AH448" s="488">
        <v>45574.583333333336</v>
      </c>
      <c r="AI448" s="408"/>
      <c r="AJ448" s="465" t="s">
        <v>4140</v>
      </c>
      <c r="AK448" s="408"/>
      <c r="AL448" s="408"/>
      <c r="AM448" s="408"/>
      <c r="AN448" s="408"/>
      <c r="AO448" s="408"/>
      <c r="AP448" s="408"/>
      <c r="AQ448" s="408"/>
      <c r="AR448" s="408"/>
      <c r="AS448" s="408"/>
      <c r="AT448" s="408"/>
    </row>
    <row r="449" ht="16.5" customHeight="1">
      <c r="A449" s="455">
        <v>2019.0</v>
      </c>
      <c r="B449" s="456">
        <v>45569.59679398148</v>
      </c>
      <c r="C449" s="455" t="s">
        <v>4141</v>
      </c>
      <c r="D449" s="457">
        <v>1.900016191E9</v>
      </c>
      <c r="E449" s="455" t="s">
        <v>2396</v>
      </c>
      <c r="F449" s="455">
        <v>8.5740249383E10</v>
      </c>
      <c r="G449" s="455" t="s">
        <v>2398</v>
      </c>
      <c r="H449" s="458">
        <v>45292.0</v>
      </c>
      <c r="I449" s="459">
        <v>45441.0</v>
      </c>
      <c r="J449" s="455" t="s">
        <v>399</v>
      </c>
      <c r="K449" s="455" t="s">
        <v>117</v>
      </c>
      <c r="L449" s="455" t="s">
        <v>2922</v>
      </c>
      <c r="M449" s="460"/>
      <c r="N449" s="460"/>
      <c r="O449" s="460"/>
      <c r="P449" s="460"/>
      <c r="Q449" s="460"/>
      <c r="R449" s="455" t="s">
        <v>4142</v>
      </c>
      <c r="S449" s="408"/>
      <c r="T449" s="455" t="s">
        <v>117</v>
      </c>
      <c r="U449" s="455" t="s">
        <v>2922</v>
      </c>
      <c r="V449" s="455" t="s">
        <v>1900</v>
      </c>
      <c r="W449" s="461">
        <v>45574.0</v>
      </c>
      <c r="X449" s="455" t="s">
        <v>987</v>
      </c>
      <c r="Y449" s="462" t="s">
        <v>1948</v>
      </c>
      <c r="Z449" s="408"/>
      <c r="AA449" s="408"/>
      <c r="AB449" s="462" t="s">
        <v>2955</v>
      </c>
      <c r="AC449" s="465" t="s">
        <v>4127</v>
      </c>
      <c r="AD449" s="465" t="s">
        <v>4126</v>
      </c>
      <c r="AE449" s="465" t="s">
        <v>4123</v>
      </c>
      <c r="AF449" s="488">
        <v>45574.583333333336</v>
      </c>
      <c r="AG449" s="489">
        <v>0.5833333333333334</v>
      </c>
      <c r="AH449" s="488">
        <v>45574.645833333336</v>
      </c>
      <c r="AI449" s="408"/>
      <c r="AJ449" s="465" t="s">
        <v>4143</v>
      </c>
      <c r="AK449" s="408"/>
      <c r="AL449" s="408"/>
      <c r="AM449" s="408"/>
      <c r="AN449" s="408"/>
      <c r="AO449" s="408"/>
      <c r="AP449" s="408"/>
      <c r="AQ449" s="408"/>
      <c r="AR449" s="408"/>
      <c r="AS449" s="408"/>
      <c r="AT449" s="408"/>
    </row>
    <row r="450" ht="16.5" customHeight="1">
      <c r="A450" s="455">
        <v>2019.0</v>
      </c>
      <c r="B450" s="467">
        <v>45574.942928240744</v>
      </c>
      <c r="C450" s="466" t="s">
        <v>1720</v>
      </c>
      <c r="D450" s="468">
        <v>1.900016071E9</v>
      </c>
      <c r="E450" s="466" t="s">
        <v>1721</v>
      </c>
      <c r="F450" s="466">
        <v>8.2159823576E10</v>
      </c>
      <c r="G450" s="466" t="s">
        <v>1722</v>
      </c>
      <c r="H450" s="469">
        <v>45158.0</v>
      </c>
      <c r="I450" s="470">
        <v>45188.0</v>
      </c>
      <c r="J450" s="466" t="s">
        <v>399</v>
      </c>
      <c r="K450" s="466" t="s">
        <v>230</v>
      </c>
      <c r="L450" s="466" t="s">
        <v>2922</v>
      </c>
      <c r="M450" s="463"/>
      <c r="N450" s="463"/>
      <c r="O450" s="463"/>
      <c r="P450" s="463"/>
      <c r="Q450" s="463"/>
      <c r="R450" s="466" t="s">
        <v>4144</v>
      </c>
      <c r="S450" s="387"/>
      <c r="T450" s="466" t="s">
        <v>230</v>
      </c>
      <c r="U450" s="466" t="s">
        <v>2922</v>
      </c>
      <c r="V450" s="478" t="s">
        <v>1900</v>
      </c>
      <c r="W450" s="461">
        <v>45581.0</v>
      </c>
      <c r="X450" s="455" t="s">
        <v>3418</v>
      </c>
      <c r="Y450" s="462" t="s">
        <v>1948</v>
      </c>
      <c r="Z450" s="387"/>
      <c r="AA450" s="387"/>
      <c r="AB450" s="482" t="s">
        <v>2955</v>
      </c>
      <c r="AC450" s="387"/>
      <c r="AD450" s="387"/>
      <c r="AE450" s="387"/>
      <c r="AF450" s="488">
        <v>45581.520833333336</v>
      </c>
      <c r="AG450" s="489">
        <v>0.5208333333333334</v>
      </c>
      <c r="AH450" s="488">
        <v>45581.583333333336</v>
      </c>
      <c r="AI450" s="387"/>
      <c r="AJ450" s="465" t="s">
        <v>4145</v>
      </c>
      <c r="AK450" s="387"/>
      <c r="AL450" s="387"/>
      <c r="AM450" s="387"/>
      <c r="AN450" s="387"/>
      <c r="AO450" s="387"/>
      <c r="AP450" s="387"/>
      <c r="AQ450" s="387"/>
      <c r="AR450" s="387"/>
      <c r="AS450" s="387"/>
      <c r="AT450" s="387"/>
    </row>
    <row r="451" ht="16.5" customHeight="1">
      <c r="A451" s="457">
        <v>2020.0</v>
      </c>
      <c r="B451" s="456">
        <v>45578.47834490741</v>
      </c>
      <c r="C451" s="455" t="s">
        <v>2333</v>
      </c>
      <c r="D451" s="457">
        <v>2.000016131E9</v>
      </c>
      <c r="E451" s="455" t="s">
        <v>2334</v>
      </c>
      <c r="F451" s="455">
        <v>8.2132320019E10</v>
      </c>
      <c r="G451" s="455" t="s">
        <v>4146</v>
      </c>
      <c r="H451" s="458">
        <v>45200.0</v>
      </c>
      <c r="I451" s="459">
        <v>45511.0</v>
      </c>
      <c r="J451" s="455" t="s">
        <v>399</v>
      </c>
      <c r="K451" s="455" t="s">
        <v>183</v>
      </c>
      <c r="L451" s="455" t="s">
        <v>241</v>
      </c>
      <c r="M451" s="460"/>
      <c r="N451" s="460"/>
      <c r="O451" s="460"/>
      <c r="P451" s="460"/>
      <c r="Q451" s="460"/>
      <c r="R451" s="455" t="s">
        <v>4147</v>
      </c>
      <c r="S451" s="408"/>
      <c r="T451" s="455" t="s">
        <v>183</v>
      </c>
      <c r="U451" s="455" t="s">
        <v>241</v>
      </c>
      <c r="V451" s="455" t="s">
        <v>1900</v>
      </c>
      <c r="W451" s="461">
        <v>45582.0</v>
      </c>
      <c r="X451" s="455" t="s">
        <v>3418</v>
      </c>
      <c r="Y451" s="462" t="s">
        <v>1948</v>
      </c>
      <c r="Z451" s="408"/>
      <c r="AA451" s="408"/>
      <c r="AB451" s="482" t="s">
        <v>2955</v>
      </c>
      <c r="AC451" s="387"/>
      <c r="AD451" s="387"/>
      <c r="AE451" s="387"/>
      <c r="AF451" s="488">
        <v>45582.520833333336</v>
      </c>
      <c r="AG451" s="489">
        <v>0.5208333333333334</v>
      </c>
      <c r="AH451" s="488">
        <v>45582.583333333336</v>
      </c>
      <c r="AI451" s="387"/>
      <c r="AJ451" s="465" t="s">
        <v>4148</v>
      </c>
      <c r="AK451" s="408"/>
      <c r="AL451" s="408"/>
      <c r="AM451" s="408"/>
      <c r="AN451" s="408"/>
      <c r="AO451" s="408"/>
      <c r="AP451" s="408"/>
      <c r="AQ451" s="408"/>
      <c r="AR451" s="408"/>
      <c r="AS451" s="408"/>
      <c r="AT451" s="408"/>
    </row>
    <row r="452" ht="16.5" customHeight="1">
      <c r="A452" s="468">
        <v>2019.0</v>
      </c>
      <c r="B452" s="467">
        <v>45585.5952662037</v>
      </c>
      <c r="C452" s="466" t="s">
        <v>1923</v>
      </c>
      <c r="D452" s="468">
        <v>1.900016015E9</v>
      </c>
      <c r="E452" s="466" t="s">
        <v>1924</v>
      </c>
      <c r="F452" s="466">
        <v>8.5601112507E10</v>
      </c>
      <c r="G452" s="466" t="s">
        <v>4149</v>
      </c>
      <c r="H452" s="469">
        <v>44910.0</v>
      </c>
      <c r="I452" s="470">
        <v>45287.0</v>
      </c>
      <c r="J452" s="466" t="s">
        <v>399</v>
      </c>
      <c r="K452" s="466" t="s">
        <v>117</v>
      </c>
      <c r="L452" s="466" t="s">
        <v>2379</v>
      </c>
      <c r="M452" s="463"/>
      <c r="N452" s="463"/>
      <c r="O452" s="463"/>
      <c r="P452" s="463"/>
      <c r="Q452" s="463"/>
      <c r="R452" s="466" t="s">
        <v>4150</v>
      </c>
      <c r="S452" s="387"/>
      <c r="T452" s="466" t="s">
        <v>117</v>
      </c>
      <c r="U452" s="466" t="s">
        <v>2379</v>
      </c>
      <c r="V452" s="466" t="s">
        <v>241</v>
      </c>
      <c r="W452" s="461">
        <v>45591.0</v>
      </c>
      <c r="X452" s="466" t="s">
        <v>680</v>
      </c>
      <c r="Y452" s="462" t="s">
        <v>1948</v>
      </c>
      <c r="Z452" s="387"/>
      <c r="AA452" s="387"/>
      <c r="AB452" s="482" t="s">
        <v>2955</v>
      </c>
      <c r="AC452" s="387"/>
      <c r="AD452" s="387"/>
      <c r="AE452" s="387"/>
      <c r="AF452" s="488">
        <v>45591.333333333336</v>
      </c>
      <c r="AG452" s="489">
        <v>0.3333333333333333</v>
      </c>
      <c r="AH452" s="488">
        <v>45591.395833333336</v>
      </c>
      <c r="AI452" s="387"/>
      <c r="AJ452" s="465" t="s">
        <v>4151</v>
      </c>
      <c r="AK452" s="387"/>
      <c r="AL452" s="387"/>
      <c r="AM452" s="387"/>
      <c r="AN452" s="387"/>
      <c r="AO452" s="387"/>
      <c r="AP452" s="387"/>
      <c r="AQ452" s="387"/>
      <c r="AR452" s="387"/>
      <c r="AS452" s="387"/>
      <c r="AT452" s="387"/>
    </row>
    <row r="453" ht="16.5" customHeight="1">
      <c r="A453" s="468">
        <v>2020.0</v>
      </c>
      <c r="B453" s="467">
        <v>45607.4340625</v>
      </c>
      <c r="C453" s="466" t="s">
        <v>4152</v>
      </c>
      <c r="D453" s="468">
        <v>2.000016041E9</v>
      </c>
      <c r="E453" s="466" t="s">
        <v>2188</v>
      </c>
      <c r="F453" s="466">
        <v>8.1907577297E10</v>
      </c>
      <c r="G453" s="466" t="s">
        <v>4153</v>
      </c>
      <c r="H453" s="469">
        <v>45407.0</v>
      </c>
      <c r="I453" s="470">
        <v>45310.0</v>
      </c>
      <c r="J453" s="466" t="s">
        <v>399</v>
      </c>
      <c r="K453" s="466" t="s">
        <v>117</v>
      </c>
      <c r="L453" s="466" t="s">
        <v>2922</v>
      </c>
      <c r="M453" s="463"/>
      <c r="N453" s="463"/>
      <c r="O453" s="463"/>
      <c r="P453" s="463"/>
      <c r="Q453" s="463"/>
      <c r="R453" s="466" t="s">
        <v>4154</v>
      </c>
      <c r="S453" s="387"/>
      <c r="T453" s="466" t="s">
        <v>117</v>
      </c>
      <c r="U453" s="466" t="s">
        <v>2922</v>
      </c>
      <c r="V453" s="466" t="s">
        <v>1900</v>
      </c>
      <c r="W453" s="461">
        <v>45614.0</v>
      </c>
      <c r="X453" s="466" t="s">
        <v>3331</v>
      </c>
      <c r="Y453" s="462" t="s">
        <v>3893</v>
      </c>
      <c r="Z453" s="387"/>
      <c r="AA453" s="387"/>
      <c r="AB453" s="482" t="s">
        <v>2955</v>
      </c>
      <c r="AC453" s="387"/>
      <c r="AD453" s="387"/>
      <c r="AE453" s="387"/>
      <c r="AF453" s="488">
        <v>45614.333333333336</v>
      </c>
      <c r="AG453" s="489">
        <v>0.3333333333333333</v>
      </c>
      <c r="AH453" s="488">
        <v>45614.395833333336</v>
      </c>
      <c r="AI453" s="387"/>
      <c r="AJ453" s="465" t="s">
        <v>4155</v>
      </c>
      <c r="AK453" s="387"/>
      <c r="AL453" s="387"/>
      <c r="AM453" s="387"/>
      <c r="AN453" s="387"/>
      <c r="AO453" s="387"/>
      <c r="AP453" s="387"/>
      <c r="AQ453" s="387"/>
      <c r="AR453" s="387"/>
      <c r="AS453" s="387"/>
      <c r="AT453" s="387"/>
    </row>
    <row r="454" ht="16.5" customHeight="1">
      <c r="A454" s="468">
        <v>2020.0</v>
      </c>
      <c r="B454" s="467">
        <v>45610.72079861111</v>
      </c>
      <c r="C454" s="466" t="s">
        <v>2119</v>
      </c>
      <c r="D454" s="468">
        <v>2.000016114E9</v>
      </c>
      <c r="E454" s="466" t="s">
        <v>2120</v>
      </c>
      <c r="F454" s="466">
        <v>8.95614619499E11</v>
      </c>
      <c r="G454" s="466" t="s">
        <v>2122</v>
      </c>
      <c r="H454" s="469">
        <v>45229.0</v>
      </c>
      <c r="I454" s="470">
        <v>45309.0</v>
      </c>
      <c r="J454" s="466" t="s">
        <v>399</v>
      </c>
      <c r="K454" s="466" t="s">
        <v>2916</v>
      </c>
      <c r="L454" s="466" t="s">
        <v>117</v>
      </c>
      <c r="M454" s="463"/>
      <c r="N454" s="463"/>
      <c r="O454" s="463"/>
      <c r="P454" s="463"/>
      <c r="Q454" s="463"/>
      <c r="R454" s="466" t="s">
        <v>4156</v>
      </c>
      <c r="S454" s="387"/>
      <c r="T454" s="466" t="s">
        <v>2916</v>
      </c>
      <c r="U454" s="466" t="s">
        <v>117</v>
      </c>
      <c r="V454" s="466" t="s">
        <v>230</v>
      </c>
      <c r="W454" s="461">
        <v>45617.0</v>
      </c>
      <c r="X454" s="466" t="s">
        <v>4157</v>
      </c>
      <c r="Y454" s="462" t="s">
        <v>4158</v>
      </c>
      <c r="Z454" s="387"/>
      <c r="AA454" s="387"/>
      <c r="AB454" s="482" t="s">
        <v>2955</v>
      </c>
      <c r="AC454" s="387"/>
      <c r="AD454" s="387"/>
      <c r="AE454" s="387"/>
      <c r="AF454" s="488">
        <v>45617.5</v>
      </c>
      <c r="AG454" s="489">
        <v>0.5</v>
      </c>
      <c r="AH454" s="488">
        <v>45617.5625</v>
      </c>
      <c r="AI454" s="387"/>
      <c r="AJ454" s="465" t="s">
        <v>4159</v>
      </c>
      <c r="AK454" s="387"/>
      <c r="AL454" s="387"/>
      <c r="AM454" s="387"/>
      <c r="AN454" s="387"/>
      <c r="AO454" s="387"/>
      <c r="AP454" s="387"/>
      <c r="AQ454" s="387"/>
      <c r="AR454" s="387"/>
      <c r="AS454" s="387"/>
      <c r="AT454" s="387"/>
    </row>
    <row r="455" ht="16.5" customHeight="1">
      <c r="A455" s="468">
        <v>2020.0</v>
      </c>
      <c r="B455" s="467">
        <v>45614.67480324074</v>
      </c>
      <c r="C455" s="466" t="s">
        <v>4160</v>
      </c>
      <c r="D455" s="468">
        <v>2.000016074E9</v>
      </c>
      <c r="E455" s="466" t="s">
        <v>2244</v>
      </c>
      <c r="F455" s="466">
        <v>8.785343165E10</v>
      </c>
      <c r="G455" s="466" t="s">
        <v>4161</v>
      </c>
      <c r="H455" s="469">
        <v>45205.0</v>
      </c>
      <c r="I455" s="470">
        <v>45313.0</v>
      </c>
      <c r="J455" s="466" t="s">
        <v>399</v>
      </c>
      <c r="K455" s="466" t="s">
        <v>117</v>
      </c>
      <c r="L455" s="466" t="s">
        <v>2617</v>
      </c>
      <c r="M455" s="463"/>
      <c r="N455" s="463"/>
      <c r="O455" s="463"/>
      <c r="P455" s="463"/>
      <c r="Q455" s="463"/>
      <c r="R455" s="466" t="s">
        <v>4162</v>
      </c>
      <c r="S455" s="387"/>
      <c r="T455" s="466" t="s">
        <v>117</v>
      </c>
      <c r="U455" s="466" t="s">
        <v>2617</v>
      </c>
      <c r="V455" s="466" t="s">
        <v>1900</v>
      </c>
      <c r="W455" s="461">
        <v>45621.0</v>
      </c>
      <c r="X455" s="466" t="s">
        <v>3418</v>
      </c>
      <c r="Y455" s="462" t="s">
        <v>1948</v>
      </c>
      <c r="Z455" s="387"/>
      <c r="AA455" s="387"/>
      <c r="AB455" s="482" t="s">
        <v>2955</v>
      </c>
      <c r="AC455" s="387"/>
      <c r="AD455" s="387"/>
      <c r="AE455" s="387"/>
      <c r="AF455" s="488">
        <v>45621.520833333336</v>
      </c>
      <c r="AG455" s="489">
        <v>0.5208333333333334</v>
      </c>
      <c r="AH455" s="488">
        <v>45621.583333333336</v>
      </c>
      <c r="AI455" s="387"/>
      <c r="AJ455" s="465" t="s">
        <v>4163</v>
      </c>
      <c r="AK455" s="387"/>
      <c r="AL455" s="387"/>
      <c r="AM455" s="387"/>
      <c r="AN455" s="387"/>
      <c r="AO455" s="387"/>
      <c r="AP455" s="387"/>
      <c r="AQ455" s="387"/>
      <c r="AR455" s="387"/>
      <c r="AS455" s="387"/>
      <c r="AT455" s="387"/>
    </row>
    <row r="456" ht="16.5" customHeight="1">
      <c r="A456" s="468">
        <v>2020.0</v>
      </c>
      <c r="B456" s="467">
        <v>45624.53559027778</v>
      </c>
      <c r="C456" s="466" t="s">
        <v>2264</v>
      </c>
      <c r="D456" s="468">
        <v>2.000016127E9</v>
      </c>
      <c r="E456" s="466" t="s">
        <v>2265</v>
      </c>
      <c r="F456" s="466">
        <v>8.8806215277E10</v>
      </c>
      <c r="G456" s="466" t="s">
        <v>4164</v>
      </c>
      <c r="H456" s="469">
        <v>45253.0</v>
      </c>
      <c r="I456" s="470">
        <v>45309.0</v>
      </c>
      <c r="J456" s="466" t="s">
        <v>399</v>
      </c>
      <c r="K456" s="466" t="s">
        <v>2916</v>
      </c>
      <c r="L456" s="466" t="s">
        <v>241</v>
      </c>
      <c r="M456" s="463"/>
      <c r="N456" s="463"/>
      <c r="O456" s="463"/>
      <c r="P456" s="463"/>
      <c r="Q456" s="463"/>
      <c r="R456" s="466" t="s">
        <v>4165</v>
      </c>
      <c r="S456" s="387"/>
      <c r="T456" s="466" t="s">
        <v>2916</v>
      </c>
      <c r="U456" s="466" t="s">
        <v>241</v>
      </c>
      <c r="V456" s="478" t="s">
        <v>747</v>
      </c>
      <c r="W456" s="461">
        <v>45629.0</v>
      </c>
      <c r="X456" s="466" t="s">
        <v>2492</v>
      </c>
      <c r="Y456" s="462" t="s">
        <v>1948</v>
      </c>
      <c r="Z456" s="387"/>
      <c r="AA456" s="387"/>
      <c r="AB456" s="482" t="s">
        <v>2955</v>
      </c>
      <c r="AC456" s="387"/>
      <c r="AD456" s="387"/>
      <c r="AE456" s="387"/>
      <c r="AF456" s="488">
        <v>45629.3125</v>
      </c>
      <c r="AG456" s="489">
        <v>0.3125</v>
      </c>
      <c r="AH456" s="488">
        <v>45629.375</v>
      </c>
      <c r="AI456" s="387"/>
      <c r="AJ456" s="465" t="s">
        <v>4166</v>
      </c>
      <c r="AK456" s="387"/>
      <c r="AL456" s="387"/>
      <c r="AM456" s="387"/>
      <c r="AN456" s="387"/>
      <c r="AO456" s="387"/>
      <c r="AP456" s="387"/>
      <c r="AQ456" s="387"/>
      <c r="AR456" s="387"/>
      <c r="AS456" s="387"/>
      <c r="AT456" s="387"/>
    </row>
    <row r="457" ht="16.5" customHeight="1">
      <c r="A457" s="468">
        <v>2020.0</v>
      </c>
      <c r="B457" s="467">
        <v>45630.828310185185</v>
      </c>
      <c r="C457" s="466" t="s">
        <v>2002</v>
      </c>
      <c r="D457" s="468">
        <v>2.000016069E9</v>
      </c>
      <c r="E457" s="466" t="s">
        <v>2003</v>
      </c>
      <c r="F457" s="466">
        <v>8.122536897E10</v>
      </c>
      <c r="G457" s="466" t="s">
        <v>2005</v>
      </c>
      <c r="H457" s="469">
        <v>45352.0</v>
      </c>
      <c r="I457" s="470">
        <v>45307.0</v>
      </c>
      <c r="J457" s="466" t="s">
        <v>399</v>
      </c>
      <c r="K457" s="466" t="s">
        <v>1900</v>
      </c>
      <c r="L457" s="466" t="s">
        <v>230</v>
      </c>
      <c r="M457" s="463"/>
      <c r="N457" s="463"/>
      <c r="O457" s="463"/>
      <c r="P457" s="463"/>
      <c r="Q457" s="463"/>
      <c r="R457" s="466" t="s">
        <v>4167</v>
      </c>
      <c r="S457" s="387"/>
      <c r="T457" s="466" t="s">
        <v>1900</v>
      </c>
      <c r="U457" s="466" t="s">
        <v>230</v>
      </c>
      <c r="V457" s="466" t="s">
        <v>2922</v>
      </c>
      <c r="W457" s="461">
        <v>45635.0</v>
      </c>
      <c r="X457" s="466" t="s">
        <v>987</v>
      </c>
      <c r="Y457" s="462" t="s">
        <v>1948</v>
      </c>
      <c r="Z457" s="387"/>
      <c r="AA457" s="387"/>
      <c r="AB457" s="482" t="s">
        <v>2955</v>
      </c>
      <c r="AC457" s="387"/>
      <c r="AD457" s="387"/>
      <c r="AE457" s="387"/>
      <c r="AF457" s="488">
        <v>45635.583333333336</v>
      </c>
      <c r="AG457" s="489">
        <v>0.5833333333333334</v>
      </c>
      <c r="AH457" s="488">
        <v>45635.645833333336</v>
      </c>
      <c r="AI457" s="387"/>
      <c r="AJ457" s="465" t="s">
        <v>4168</v>
      </c>
      <c r="AK457" s="387"/>
      <c r="AL457" s="387"/>
      <c r="AM457" s="387"/>
      <c r="AN457" s="387"/>
      <c r="AO457" s="387"/>
      <c r="AP457" s="387"/>
      <c r="AQ457" s="387"/>
      <c r="AR457" s="387"/>
      <c r="AS457" s="387"/>
      <c r="AT457" s="387"/>
    </row>
    <row r="458" ht="16.5" customHeight="1">
      <c r="A458" s="468">
        <v>2019.0</v>
      </c>
      <c r="B458" s="467">
        <v>45631.422847222224</v>
      </c>
      <c r="C458" s="466" t="s">
        <v>2348</v>
      </c>
      <c r="D458" s="468">
        <v>1.900016026E9</v>
      </c>
      <c r="E458" s="466" t="s">
        <v>4169</v>
      </c>
      <c r="F458" s="466">
        <v>8.9661382675E10</v>
      </c>
      <c r="G458" s="466" t="s">
        <v>4170</v>
      </c>
      <c r="H458" s="469">
        <v>45231.0</v>
      </c>
      <c r="I458" s="470">
        <v>45321.0</v>
      </c>
      <c r="J458" s="466" t="s">
        <v>399</v>
      </c>
      <c r="K458" s="466" t="s">
        <v>2617</v>
      </c>
      <c r="L458" s="466" t="s">
        <v>2922</v>
      </c>
      <c r="M458" s="463"/>
      <c r="N458" s="463"/>
      <c r="O458" s="463"/>
      <c r="P458" s="463"/>
      <c r="Q458" s="463"/>
      <c r="R458" s="466" t="s">
        <v>4171</v>
      </c>
      <c r="S458" s="387"/>
      <c r="T458" s="466" t="s">
        <v>2617</v>
      </c>
      <c r="U458" s="466" t="s">
        <v>2922</v>
      </c>
      <c r="V458" s="466" t="s">
        <v>117</v>
      </c>
      <c r="W458" s="461">
        <v>45639.0</v>
      </c>
      <c r="X458" s="466" t="s">
        <v>3418</v>
      </c>
      <c r="Y458" s="462" t="s">
        <v>1948</v>
      </c>
      <c r="Z458" s="387"/>
      <c r="AA458" s="387"/>
      <c r="AB458" s="482" t="s">
        <v>2955</v>
      </c>
      <c r="AC458" s="387"/>
      <c r="AD458" s="387"/>
      <c r="AE458" s="387"/>
      <c r="AF458" s="488">
        <v>45639.520833333336</v>
      </c>
      <c r="AG458" s="489">
        <v>0.5208333333333334</v>
      </c>
      <c r="AH458" s="488">
        <v>45639.583333333336</v>
      </c>
      <c r="AI458" s="387"/>
      <c r="AJ458" s="465" t="s">
        <v>4172</v>
      </c>
      <c r="AK458" s="387"/>
      <c r="AL458" s="387"/>
      <c r="AM458" s="387"/>
      <c r="AN458" s="387"/>
      <c r="AO458" s="387"/>
      <c r="AP458" s="387"/>
      <c r="AQ458" s="387"/>
      <c r="AR458" s="387"/>
      <c r="AS458" s="387"/>
      <c r="AT458" s="387"/>
    </row>
    <row r="459" ht="16.5" customHeight="1">
      <c r="A459" s="468">
        <v>2018.0</v>
      </c>
      <c r="B459" s="467">
        <v>45631.99996527778</v>
      </c>
      <c r="C459" s="466" t="s">
        <v>2385</v>
      </c>
      <c r="D459" s="468">
        <v>1.800016019E9</v>
      </c>
      <c r="E459" s="466" t="s">
        <v>2386</v>
      </c>
      <c r="F459" s="466">
        <v>8.2297236251E10</v>
      </c>
      <c r="G459" s="466" t="s">
        <v>2388</v>
      </c>
      <c r="H459" s="469">
        <v>45252.0</v>
      </c>
      <c r="I459" s="470">
        <v>45416.0</v>
      </c>
      <c r="J459" s="466" t="s">
        <v>399</v>
      </c>
      <c r="K459" s="466" t="s">
        <v>230</v>
      </c>
      <c r="L459" s="466" t="s">
        <v>2922</v>
      </c>
      <c r="M459" s="463"/>
      <c r="N459" s="463"/>
      <c r="O459" s="463"/>
      <c r="P459" s="463"/>
      <c r="Q459" s="463"/>
      <c r="R459" s="466" t="s">
        <v>4173</v>
      </c>
      <c r="S459" s="387"/>
      <c r="T459" s="466" t="s">
        <v>230</v>
      </c>
      <c r="U459" s="466" t="s">
        <v>2922</v>
      </c>
      <c r="V459" s="466" t="s">
        <v>39</v>
      </c>
      <c r="W459" s="461">
        <v>45638.0</v>
      </c>
      <c r="X459" s="466" t="s">
        <v>987</v>
      </c>
      <c r="Y459" s="462" t="s">
        <v>1948</v>
      </c>
      <c r="Z459" s="387"/>
      <c r="AA459" s="387"/>
      <c r="AB459" s="482" t="s">
        <v>2955</v>
      </c>
      <c r="AC459" s="387"/>
      <c r="AD459" s="387"/>
      <c r="AE459" s="387"/>
      <c r="AF459" s="488">
        <v>45638.583333333336</v>
      </c>
      <c r="AG459" s="489">
        <v>0.5833333333333334</v>
      </c>
      <c r="AH459" s="488">
        <v>45638.645833333336</v>
      </c>
      <c r="AI459" s="387"/>
      <c r="AJ459" s="465" t="s">
        <v>4174</v>
      </c>
      <c r="AK459" s="387"/>
      <c r="AL459" s="387"/>
      <c r="AM459" s="387"/>
      <c r="AN459" s="387"/>
      <c r="AO459" s="387"/>
      <c r="AP459" s="387"/>
      <c r="AQ459" s="387"/>
      <c r="AR459" s="387"/>
      <c r="AS459" s="387"/>
      <c r="AT459" s="387"/>
    </row>
    <row r="460" ht="16.5" customHeight="1">
      <c r="A460" s="468">
        <v>2018.0</v>
      </c>
      <c r="B460" s="467">
        <v>45632.0</v>
      </c>
      <c r="C460" s="466" t="s">
        <v>2390</v>
      </c>
      <c r="D460" s="468">
        <v>1.800016108E9</v>
      </c>
      <c r="E460" s="466" t="s">
        <v>2391</v>
      </c>
      <c r="F460" s="466">
        <v>8.5788374164E10</v>
      </c>
      <c r="G460" s="466" t="s">
        <v>4175</v>
      </c>
      <c r="H460" s="469">
        <v>45222.0</v>
      </c>
      <c r="I460" s="470">
        <v>45416.0</v>
      </c>
      <c r="J460" s="466" t="s">
        <v>399</v>
      </c>
      <c r="K460" s="466" t="s">
        <v>230</v>
      </c>
      <c r="L460" s="466" t="s">
        <v>2922</v>
      </c>
      <c r="M460" s="463"/>
      <c r="N460" s="463"/>
      <c r="O460" s="463"/>
      <c r="P460" s="463"/>
      <c r="Q460" s="463"/>
      <c r="R460" s="466" t="s">
        <v>4176</v>
      </c>
      <c r="S460" s="387"/>
      <c r="T460" s="466" t="s">
        <v>230</v>
      </c>
      <c r="U460" s="466" t="s">
        <v>2922</v>
      </c>
      <c r="V460" s="466" t="s">
        <v>39</v>
      </c>
      <c r="W460" s="461">
        <v>45637.0</v>
      </c>
      <c r="X460" s="455" t="s">
        <v>3740</v>
      </c>
      <c r="Y460" s="462" t="s">
        <v>1948</v>
      </c>
      <c r="Z460" s="387"/>
      <c r="AA460" s="387"/>
      <c r="AB460" s="482" t="s">
        <v>2955</v>
      </c>
      <c r="AC460" s="387"/>
      <c r="AD460" s="387"/>
      <c r="AE460" s="387"/>
      <c r="AF460" s="488">
        <v>45637.291666666664</v>
      </c>
      <c r="AG460" s="489">
        <v>0.2916666666666667</v>
      </c>
      <c r="AH460" s="488">
        <v>45637.354166666664</v>
      </c>
      <c r="AI460" s="387"/>
      <c r="AJ460" s="465" t="s">
        <v>4177</v>
      </c>
      <c r="AK460" s="387"/>
      <c r="AL460" s="387"/>
      <c r="AM460" s="387"/>
      <c r="AN460" s="387"/>
      <c r="AO460" s="387"/>
      <c r="AP460" s="387"/>
      <c r="AQ460" s="387"/>
      <c r="AR460" s="387"/>
      <c r="AS460" s="387"/>
      <c r="AT460" s="387"/>
    </row>
    <row r="461" ht="16.5" customHeight="1">
      <c r="A461" s="468">
        <v>2018.0</v>
      </c>
      <c r="B461" s="467">
        <v>45635.51018518519</v>
      </c>
      <c r="C461" s="466" t="s">
        <v>2433</v>
      </c>
      <c r="D461" s="468">
        <v>1.800016077E9</v>
      </c>
      <c r="E461" s="466" t="s">
        <v>2434</v>
      </c>
      <c r="F461" s="466">
        <v>8.9623260253E10</v>
      </c>
      <c r="G461" s="466" t="s">
        <v>2436</v>
      </c>
      <c r="H461" s="469">
        <v>45505.0</v>
      </c>
      <c r="I461" s="470">
        <v>45478.0</v>
      </c>
      <c r="J461" s="466" t="s">
        <v>399</v>
      </c>
      <c r="K461" s="466" t="s">
        <v>2922</v>
      </c>
      <c r="L461" s="466" t="s">
        <v>117</v>
      </c>
      <c r="M461" s="463"/>
      <c r="N461" s="463"/>
      <c r="O461" s="463"/>
      <c r="P461" s="463"/>
      <c r="Q461" s="463"/>
      <c r="R461" s="466" t="s">
        <v>4178</v>
      </c>
      <c r="S461" s="387"/>
      <c r="T461" s="466" t="s">
        <v>2922</v>
      </c>
      <c r="U461" s="466" t="s">
        <v>117</v>
      </c>
      <c r="V461" s="466" t="s">
        <v>183</v>
      </c>
      <c r="W461" s="461">
        <v>45644.0</v>
      </c>
      <c r="X461" s="466" t="s">
        <v>3415</v>
      </c>
      <c r="Y461" s="462" t="s">
        <v>1948</v>
      </c>
      <c r="Z461" s="387"/>
      <c r="AA461" s="387"/>
      <c r="AB461" s="482" t="s">
        <v>2955</v>
      </c>
      <c r="AC461" s="387"/>
      <c r="AD461" s="387"/>
      <c r="AE461" s="387"/>
      <c r="AF461" s="488">
        <v>45644.520833333336</v>
      </c>
      <c r="AG461" s="489">
        <v>0.5208333333333334</v>
      </c>
      <c r="AH461" s="488">
        <v>45644.583333333336</v>
      </c>
      <c r="AI461" s="387"/>
      <c r="AJ461" s="465" t="s">
        <v>4179</v>
      </c>
      <c r="AK461" s="387"/>
      <c r="AL461" s="387"/>
      <c r="AM461" s="387"/>
      <c r="AN461" s="387"/>
      <c r="AO461" s="387"/>
      <c r="AP461" s="387"/>
      <c r="AQ461" s="387"/>
      <c r="AR461" s="387"/>
      <c r="AS461" s="387"/>
      <c r="AT461" s="387"/>
    </row>
    <row r="462" ht="16.5" customHeight="1">
      <c r="A462" s="468">
        <v>2020.0</v>
      </c>
      <c r="B462" s="467">
        <v>45636.359664351854</v>
      </c>
      <c r="C462" s="466" t="s">
        <v>2425</v>
      </c>
      <c r="D462" s="468">
        <v>2.0000161E9</v>
      </c>
      <c r="E462" s="466" t="s">
        <v>2426</v>
      </c>
      <c r="F462" s="466">
        <v>8.1280641757E10</v>
      </c>
      <c r="G462" s="466" t="s">
        <v>4180</v>
      </c>
      <c r="H462" s="469">
        <v>45427.0</v>
      </c>
      <c r="I462" s="470">
        <v>45468.0</v>
      </c>
      <c r="J462" s="466" t="s">
        <v>399</v>
      </c>
      <c r="K462" s="466" t="s">
        <v>230</v>
      </c>
      <c r="L462" s="466" t="s">
        <v>2922</v>
      </c>
      <c r="M462" s="463"/>
      <c r="N462" s="463"/>
      <c r="O462" s="463"/>
      <c r="P462" s="463"/>
      <c r="Q462" s="463"/>
      <c r="R462" s="466" t="s">
        <v>4181</v>
      </c>
      <c r="S462" s="387"/>
      <c r="T462" s="466" t="s">
        <v>230</v>
      </c>
      <c r="U462" s="466" t="s">
        <v>2922</v>
      </c>
      <c r="V462" s="466" t="s">
        <v>39</v>
      </c>
      <c r="W462" s="461">
        <v>45644.0</v>
      </c>
      <c r="X462" s="466" t="s">
        <v>3424</v>
      </c>
      <c r="Y462" s="462" t="s">
        <v>1948</v>
      </c>
      <c r="Z462" s="387"/>
      <c r="AA462" s="387"/>
      <c r="AB462" s="482" t="s">
        <v>2955</v>
      </c>
      <c r="AC462" s="387"/>
      <c r="AD462" s="387"/>
      <c r="AE462" s="387"/>
      <c r="AF462" s="488">
        <v>45644.3125</v>
      </c>
      <c r="AG462" s="489">
        <v>0.3125</v>
      </c>
      <c r="AH462" s="488">
        <v>45644.375</v>
      </c>
      <c r="AI462" s="387"/>
      <c r="AJ462" s="465" t="s">
        <v>4182</v>
      </c>
      <c r="AK462" s="387"/>
      <c r="AL462" s="387"/>
      <c r="AM462" s="387"/>
      <c r="AN462" s="387"/>
      <c r="AO462" s="387"/>
      <c r="AP462" s="387"/>
      <c r="AQ462" s="387"/>
      <c r="AR462" s="387"/>
      <c r="AS462" s="387"/>
      <c r="AT462" s="387"/>
    </row>
    <row r="463" ht="16.5" customHeight="1">
      <c r="A463" s="468">
        <v>2020.0</v>
      </c>
      <c r="B463" s="467">
        <v>45636.61819444445</v>
      </c>
      <c r="C463" s="466" t="s">
        <v>2144</v>
      </c>
      <c r="D463" s="468">
        <v>2.00001603E9</v>
      </c>
      <c r="E463" s="466" t="s">
        <v>2145</v>
      </c>
      <c r="F463" s="466">
        <v>8.516171572E10</v>
      </c>
      <c r="G463" s="466" t="s">
        <v>4183</v>
      </c>
      <c r="H463" s="469">
        <v>45248.0</v>
      </c>
      <c r="I463" s="470">
        <v>45307.0</v>
      </c>
      <c r="J463" s="466" t="s">
        <v>399</v>
      </c>
      <c r="K463" s="466" t="s">
        <v>1900</v>
      </c>
      <c r="L463" s="466" t="s">
        <v>2922</v>
      </c>
      <c r="M463" s="463"/>
      <c r="N463" s="463"/>
      <c r="O463" s="463"/>
      <c r="P463" s="463"/>
      <c r="Q463" s="463"/>
      <c r="R463" s="466" t="s">
        <v>4184</v>
      </c>
      <c r="S463" s="387"/>
      <c r="T463" s="466" t="s">
        <v>1900</v>
      </c>
      <c r="U463" s="466" t="s">
        <v>2922</v>
      </c>
      <c r="V463" s="466" t="s">
        <v>241</v>
      </c>
      <c r="W463" s="461">
        <v>45644.0</v>
      </c>
      <c r="X463" s="466" t="s">
        <v>4185</v>
      </c>
      <c r="Y463" s="462" t="s">
        <v>1948</v>
      </c>
      <c r="Z463" s="387"/>
      <c r="AA463" s="387"/>
      <c r="AB463" s="482" t="s">
        <v>2955</v>
      </c>
      <c r="AC463" s="387"/>
      <c r="AD463" s="387"/>
      <c r="AE463" s="387"/>
      <c r="AF463" s="488">
        <v>45644.395833333336</v>
      </c>
      <c r="AG463" s="489">
        <v>0.3958333333333333</v>
      </c>
      <c r="AH463" s="488">
        <v>45644.458333333336</v>
      </c>
      <c r="AI463" s="387"/>
      <c r="AJ463" s="465" t="s">
        <v>4186</v>
      </c>
      <c r="AK463" s="387"/>
      <c r="AL463" s="387"/>
      <c r="AM463" s="387"/>
      <c r="AN463" s="387"/>
      <c r="AO463" s="387"/>
      <c r="AP463" s="387"/>
      <c r="AQ463" s="387"/>
      <c r="AR463" s="387"/>
      <c r="AS463" s="387"/>
      <c r="AT463" s="387"/>
    </row>
    <row r="464" ht="16.5" customHeight="1">
      <c r="A464" s="468">
        <v>2019.0</v>
      </c>
      <c r="B464" s="467">
        <v>45637.52103009259</v>
      </c>
      <c r="C464" s="466" t="s">
        <v>1955</v>
      </c>
      <c r="D464" s="468">
        <v>1.900016199E9</v>
      </c>
      <c r="E464" s="466" t="s">
        <v>1956</v>
      </c>
      <c r="F464" s="466">
        <v>8.95360927053E11</v>
      </c>
      <c r="G464" s="466" t="s">
        <v>4187</v>
      </c>
      <c r="H464" s="469">
        <v>45272.0</v>
      </c>
      <c r="I464" s="470">
        <v>45308.0</v>
      </c>
      <c r="J464" s="466" t="s">
        <v>399</v>
      </c>
      <c r="K464" s="466" t="s">
        <v>183</v>
      </c>
      <c r="L464" s="466" t="s">
        <v>2922</v>
      </c>
      <c r="M464" s="463"/>
      <c r="N464" s="463"/>
      <c r="O464" s="463"/>
      <c r="P464" s="463"/>
      <c r="Q464" s="463"/>
      <c r="R464" s="466" t="s">
        <v>4188</v>
      </c>
      <c r="S464" s="387"/>
      <c r="T464" s="466" t="s">
        <v>183</v>
      </c>
      <c r="U464" s="466" t="s">
        <v>2922</v>
      </c>
      <c r="V464" s="466" t="s">
        <v>3136</v>
      </c>
      <c r="W464" s="461">
        <v>45645.0</v>
      </c>
      <c r="X464" s="466" t="s">
        <v>3434</v>
      </c>
      <c r="Y464" s="462" t="s">
        <v>1948</v>
      </c>
      <c r="Z464" s="387"/>
      <c r="AA464" s="387"/>
      <c r="AB464" s="482" t="s">
        <v>2955</v>
      </c>
      <c r="AC464" s="387"/>
      <c r="AD464" s="387"/>
      <c r="AE464" s="387"/>
      <c r="AF464" s="488">
        <v>45645.291666666664</v>
      </c>
      <c r="AG464" s="489">
        <v>0.2916666666666667</v>
      </c>
      <c r="AH464" s="488">
        <v>45645.354166666664</v>
      </c>
      <c r="AI464" s="387"/>
      <c r="AJ464" s="465" t="s">
        <v>4189</v>
      </c>
      <c r="AK464" s="387"/>
      <c r="AL464" s="387"/>
      <c r="AM464" s="387"/>
      <c r="AN464" s="387"/>
      <c r="AO464" s="387"/>
      <c r="AP464" s="387"/>
      <c r="AQ464" s="387"/>
      <c r="AR464" s="387"/>
      <c r="AS464" s="387"/>
      <c r="AT464" s="387"/>
    </row>
    <row r="465" ht="16.5" customHeight="1">
      <c r="A465" s="468">
        <v>2020.0</v>
      </c>
      <c r="B465" s="467">
        <v>45637.746412037035</v>
      </c>
      <c r="C465" s="466" t="s">
        <v>2224</v>
      </c>
      <c r="D465" s="468">
        <v>2.000016121E9</v>
      </c>
      <c r="E465" s="466" t="s">
        <v>2225</v>
      </c>
      <c r="F465" s="466">
        <v>8.2137676272E10</v>
      </c>
      <c r="G465" s="466" t="s">
        <v>2227</v>
      </c>
      <c r="H465" s="469">
        <v>45229.0</v>
      </c>
      <c r="I465" s="470">
        <v>45310.0</v>
      </c>
      <c r="J465" s="466" t="s">
        <v>399</v>
      </c>
      <c r="K465" s="466" t="s">
        <v>117</v>
      </c>
      <c r="L465" s="466" t="s">
        <v>230</v>
      </c>
      <c r="M465" s="463"/>
      <c r="N465" s="463"/>
      <c r="O465" s="463"/>
      <c r="P465" s="463"/>
      <c r="Q465" s="463"/>
      <c r="R465" s="466" t="s">
        <v>4190</v>
      </c>
      <c r="S465" s="387"/>
      <c r="T465" s="466" t="s">
        <v>117</v>
      </c>
      <c r="U465" s="466" t="s">
        <v>230</v>
      </c>
      <c r="V465" s="466" t="s">
        <v>39</v>
      </c>
      <c r="W465" s="461">
        <v>45645.0</v>
      </c>
      <c r="X465" s="466" t="s">
        <v>3415</v>
      </c>
      <c r="Y465" s="462" t="s">
        <v>1948</v>
      </c>
      <c r="Z465" s="387"/>
      <c r="AA465" s="387"/>
      <c r="AB465" s="482" t="s">
        <v>2955</v>
      </c>
      <c r="AC465" s="387"/>
      <c r="AD465" s="387"/>
      <c r="AE465" s="387"/>
      <c r="AF465" s="488">
        <v>45645.520833333336</v>
      </c>
      <c r="AG465" s="489">
        <v>0.5208333333333334</v>
      </c>
      <c r="AH465" s="488">
        <v>45645.583333333336</v>
      </c>
      <c r="AI465" s="387"/>
      <c r="AJ465" s="465" t="s">
        <v>4191</v>
      </c>
      <c r="AK465" s="387"/>
      <c r="AL465" s="387"/>
      <c r="AM465" s="387"/>
      <c r="AN465" s="387"/>
      <c r="AO465" s="387"/>
      <c r="AP465" s="387"/>
      <c r="AQ465" s="387"/>
      <c r="AR465" s="387"/>
      <c r="AS465" s="387"/>
      <c r="AT465" s="387"/>
    </row>
    <row r="466" ht="16.5" customHeight="1">
      <c r="A466" s="468">
        <v>2020.0</v>
      </c>
      <c r="B466" s="467">
        <v>45638.38348379629</v>
      </c>
      <c r="C466" s="466" t="s">
        <v>2317</v>
      </c>
      <c r="D466" s="468">
        <v>2.00001608E9</v>
      </c>
      <c r="E466" s="466" t="s">
        <v>2318</v>
      </c>
      <c r="F466" s="466">
        <v>8.7872789599E10</v>
      </c>
      <c r="G466" s="466" t="s">
        <v>4192</v>
      </c>
      <c r="H466" s="469">
        <v>45509.0</v>
      </c>
      <c r="I466" s="470">
        <v>45307.0</v>
      </c>
      <c r="J466" s="466" t="s">
        <v>399</v>
      </c>
      <c r="K466" s="466" t="s">
        <v>1900</v>
      </c>
      <c r="L466" s="466" t="s">
        <v>2922</v>
      </c>
      <c r="M466" s="463"/>
      <c r="N466" s="463"/>
      <c r="O466" s="463"/>
      <c r="P466" s="463"/>
      <c r="Q466" s="463"/>
      <c r="R466" s="466" t="s">
        <v>4193</v>
      </c>
      <c r="S466" s="387"/>
      <c r="T466" s="466" t="s">
        <v>1900</v>
      </c>
      <c r="U466" s="466" t="s">
        <v>2922</v>
      </c>
      <c r="V466" s="466" t="s">
        <v>117</v>
      </c>
      <c r="W466" s="461">
        <v>45646.0</v>
      </c>
      <c r="X466" s="466" t="s">
        <v>3415</v>
      </c>
      <c r="Y466" s="462" t="s">
        <v>1948</v>
      </c>
      <c r="Z466" s="387"/>
      <c r="AA466" s="387"/>
      <c r="AB466" s="482" t="s">
        <v>2955</v>
      </c>
      <c r="AC466" s="387"/>
      <c r="AD466" s="387"/>
      <c r="AE466" s="387"/>
      <c r="AF466" s="488">
        <v>45646.520833333336</v>
      </c>
      <c r="AG466" s="489">
        <v>0.5208333333333334</v>
      </c>
      <c r="AH466" s="488">
        <v>45646.583333333336</v>
      </c>
      <c r="AI466" s="387"/>
      <c r="AJ466" s="465" t="s">
        <v>4194</v>
      </c>
      <c r="AK466" s="387"/>
      <c r="AL466" s="387"/>
      <c r="AM466" s="387"/>
      <c r="AN466" s="387"/>
      <c r="AO466" s="387"/>
      <c r="AP466" s="387"/>
      <c r="AQ466" s="387"/>
      <c r="AR466" s="387"/>
      <c r="AS466" s="387"/>
      <c r="AT466" s="387"/>
    </row>
    <row r="467" ht="16.5" customHeight="1">
      <c r="A467" s="468">
        <v>2020.0</v>
      </c>
      <c r="B467" s="467">
        <v>45639.74928240741</v>
      </c>
      <c r="C467" s="466" t="s">
        <v>2077</v>
      </c>
      <c r="D467" s="468">
        <v>2.000016071E9</v>
      </c>
      <c r="E467" s="466" t="s">
        <v>2078</v>
      </c>
      <c r="F467" s="466">
        <v>8.9602525572E10</v>
      </c>
      <c r="G467" s="466" t="s">
        <v>2080</v>
      </c>
      <c r="H467" s="469">
        <v>45248.0</v>
      </c>
      <c r="I467" s="470">
        <v>45307.0</v>
      </c>
      <c r="J467" s="466" t="s">
        <v>399</v>
      </c>
      <c r="K467" s="466" t="s">
        <v>2916</v>
      </c>
      <c r="L467" s="466" t="s">
        <v>241</v>
      </c>
      <c r="M467" s="463"/>
      <c r="N467" s="463"/>
      <c r="O467" s="463"/>
      <c r="P467" s="463"/>
      <c r="Q467" s="463"/>
      <c r="R467" s="466" t="s">
        <v>4195</v>
      </c>
      <c r="S467" s="387"/>
      <c r="T467" s="466" t="s">
        <v>2916</v>
      </c>
      <c r="U467" s="466" t="s">
        <v>241</v>
      </c>
      <c r="V467" s="466" t="s">
        <v>183</v>
      </c>
      <c r="W467" s="461">
        <v>45645.0</v>
      </c>
      <c r="X467" s="466" t="s">
        <v>3415</v>
      </c>
      <c r="Y467" s="462" t="s">
        <v>1948</v>
      </c>
      <c r="Z467" s="387"/>
      <c r="AA467" s="387"/>
      <c r="AB467" s="482" t="s">
        <v>2955</v>
      </c>
      <c r="AC467" s="387"/>
      <c r="AD467" s="387"/>
      <c r="AE467" s="387"/>
      <c r="AF467" s="488">
        <v>45645.520833333336</v>
      </c>
      <c r="AG467" s="489">
        <v>0.5208333333333334</v>
      </c>
      <c r="AH467" s="488">
        <v>45645.583333333336</v>
      </c>
      <c r="AI467" s="387"/>
      <c r="AJ467" s="465" t="s">
        <v>4196</v>
      </c>
      <c r="AK467" s="387"/>
      <c r="AL467" s="387"/>
      <c r="AM467" s="387"/>
      <c r="AN467" s="387"/>
      <c r="AO467" s="387"/>
      <c r="AP467" s="387"/>
      <c r="AQ467" s="387"/>
      <c r="AR467" s="387"/>
      <c r="AS467" s="387"/>
      <c r="AT467" s="387"/>
    </row>
    <row r="468" ht="16.5" customHeight="1">
      <c r="A468" s="468">
        <v>2018.0</v>
      </c>
      <c r="B468" s="467">
        <v>45640.932962962965</v>
      </c>
      <c r="C468" s="466" t="s">
        <v>2406</v>
      </c>
      <c r="D468" s="468">
        <v>1.800016087E9</v>
      </c>
      <c r="E468" s="466" t="s">
        <v>2407</v>
      </c>
      <c r="F468" s="466">
        <v>8.2241834507E10</v>
      </c>
      <c r="G468" s="466" t="s">
        <v>4197</v>
      </c>
      <c r="H468" s="469">
        <v>45092.0</v>
      </c>
      <c r="I468" s="470">
        <v>45449.0</v>
      </c>
      <c r="J468" s="466" t="s">
        <v>399</v>
      </c>
      <c r="K468" s="466" t="s">
        <v>241</v>
      </c>
      <c r="L468" s="466" t="s">
        <v>1900</v>
      </c>
      <c r="M468" s="463"/>
      <c r="N468" s="463"/>
      <c r="O468" s="463"/>
      <c r="P468" s="463"/>
      <c r="Q468" s="463"/>
      <c r="R468" s="466" t="s">
        <v>4198</v>
      </c>
      <c r="S468" s="387"/>
      <c r="T468" s="466" t="s">
        <v>241</v>
      </c>
      <c r="U468" s="466" t="s">
        <v>1900</v>
      </c>
      <c r="V468" s="466" t="s">
        <v>747</v>
      </c>
      <c r="W468" s="461">
        <v>45652.0</v>
      </c>
      <c r="X468" s="466" t="s">
        <v>4199</v>
      </c>
      <c r="Y468" s="462" t="s">
        <v>1948</v>
      </c>
      <c r="Z468" s="387"/>
      <c r="AA468" s="387"/>
      <c r="AB468" s="482" t="s">
        <v>2955</v>
      </c>
      <c r="AC468" s="387"/>
      <c r="AD468" s="387"/>
      <c r="AE468" s="387"/>
      <c r="AF468" s="488">
        <v>45652.291666666664</v>
      </c>
      <c r="AG468" s="489">
        <v>0.2916666666666667</v>
      </c>
      <c r="AH468" s="488">
        <v>45652.354166666664</v>
      </c>
      <c r="AI468" s="387"/>
      <c r="AJ468" s="465" t="s">
        <v>4200</v>
      </c>
      <c r="AK468" s="387"/>
      <c r="AL468" s="387"/>
      <c r="AM468" s="387"/>
      <c r="AN468" s="387"/>
      <c r="AO468" s="387"/>
      <c r="AP468" s="387"/>
      <c r="AQ468" s="387"/>
      <c r="AR468" s="387"/>
      <c r="AS468" s="387"/>
      <c r="AT468" s="387"/>
    </row>
    <row r="469" ht="16.5" customHeight="1">
      <c r="A469" s="468">
        <v>2020.0</v>
      </c>
      <c r="B469" s="467">
        <v>45642.63710648148</v>
      </c>
      <c r="C469" s="466" t="s">
        <v>2213</v>
      </c>
      <c r="D469" s="468">
        <v>2.011016062E9</v>
      </c>
      <c r="E469" s="466" t="s">
        <v>2214</v>
      </c>
      <c r="F469" s="466">
        <v>8.5866310014E10</v>
      </c>
      <c r="G469" s="466" t="s">
        <v>2216</v>
      </c>
      <c r="H469" s="469">
        <v>45231.0</v>
      </c>
      <c r="I469" s="470">
        <v>45310.0</v>
      </c>
      <c r="J469" s="466" t="s">
        <v>399</v>
      </c>
      <c r="K469" s="466" t="s">
        <v>117</v>
      </c>
      <c r="L469" s="466" t="s">
        <v>1900</v>
      </c>
      <c r="M469" s="463"/>
      <c r="N469" s="463"/>
      <c r="O469" s="463"/>
      <c r="P469" s="463"/>
      <c r="Q469" s="463"/>
      <c r="R469" s="466" t="s">
        <v>4201</v>
      </c>
      <c r="S469" s="387"/>
      <c r="T469" s="466" t="s">
        <v>117</v>
      </c>
      <c r="U469" s="466" t="s">
        <v>1900</v>
      </c>
      <c r="V469" s="466" t="s">
        <v>241</v>
      </c>
      <c r="W469" s="461">
        <v>45652.0</v>
      </c>
      <c r="X469" s="466" t="s">
        <v>3468</v>
      </c>
      <c r="Y469" s="462" t="s">
        <v>1948</v>
      </c>
      <c r="Z469" s="387"/>
      <c r="AA469" s="387"/>
      <c r="AB469" s="482" t="s">
        <v>2955</v>
      </c>
      <c r="AC469" s="387"/>
      <c r="AD469" s="387"/>
      <c r="AE469" s="387"/>
      <c r="AF469" s="488">
        <v>45652.541666666664</v>
      </c>
      <c r="AG469" s="489">
        <v>0.5416666666666666</v>
      </c>
      <c r="AH469" s="488">
        <v>45652.604166666664</v>
      </c>
      <c r="AI469" s="387"/>
      <c r="AJ469" s="465" t="s">
        <v>4202</v>
      </c>
      <c r="AK469" s="387"/>
      <c r="AL469" s="387"/>
      <c r="AM469" s="387"/>
      <c r="AN469" s="387"/>
      <c r="AO469" s="387"/>
      <c r="AP469" s="387"/>
      <c r="AQ469" s="387"/>
      <c r="AR469" s="387"/>
      <c r="AS469" s="387"/>
      <c r="AT469" s="387"/>
    </row>
    <row r="470" ht="16.5" customHeight="1">
      <c r="A470" s="468">
        <v>2020.0</v>
      </c>
      <c r="B470" s="467">
        <v>45642.687523148146</v>
      </c>
      <c r="C470" s="466" t="s">
        <v>4203</v>
      </c>
      <c r="D470" s="468">
        <v>2.000016012E9</v>
      </c>
      <c r="E470" s="466" t="s">
        <v>4204</v>
      </c>
      <c r="F470" s="466">
        <v>8.5727442718E10</v>
      </c>
      <c r="G470" s="466" t="s">
        <v>4205</v>
      </c>
      <c r="H470" s="469">
        <v>45152.0</v>
      </c>
      <c r="I470" s="470">
        <v>45307.0</v>
      </c>
      <c r="J470" s="466" t="s">
        <v>399</v>
      </c>
      <c r="K470" s="466" t="s">
        <v>1900</v>
      </c>
      <c r="L470" s="466" t="s">
        <v>2922</v>
      </c>
      <c r="M470" s="463"/>
      <c r="N470" s="463"/>
      <c r="O470" s="463"/>
      <c r="P470" s="463"/>
      <c r="Q470" s="463"/>
      <c r="R470" s="466" t="s">
        <v>4206</v>
      </c>
      <c r="S470" s="387"/>
      <c r="T470" s="466" t="s">
        <v>1900</v>
      </c>
      <c r="U470" s="466" t="s">
        <v>2922</v>
      </c>
      <c r="V470" s="466" t="s">
        <v>117</v>
      </c>
      <c r="W470" s="461">
        <v>45652.0</v>
      </c>
      <c r="X470" s="466" t="s">
        <v>3992</v>
      </c>
      <c r="Y470" s="462" t="s">
        <v>1948</v>
      </c>
      <c r="Z470" s="387"/>
      <c r="AA470" s="387"/>
      <c r="AB470" s="482" t="s">
        <v>2955</v>
      </c>
      <c r="AC470" s="387"/>
      <c r="AD470" s="387"/>
      <c r="AE470" s="387"/>
      <c r="AF470" s="488">
        <v>45652.625</v>
      </c>
      <c r="AG470" s="489">
        <v>0.625</v>
      </c>
      <c r="AH470" s="488">
        <v>45652.6875</v>
      </c>
      <c r="AI470" s="387"/>
      <c r="AJ470" s="465" t="s">
        <v>4207</v>
      </c>
      <c r="AK470" s="387"/>
      <c r="AL470" s="387"/>
      <c r="AM470" s="387"/>
      <c r="AN470" s="387"/>
      <c r="AO470" s="387"/>
      <c r="AP470" s="387"/>
      <c r="AQ470" s="387"/>
      <c r="AR470" s="387"/>
      <c r="AS470" s="387"/>
      <c r="AT470" s="387"/>
    </row>
    <row r="471" ht="16.5" customHeight="1">
      <c r="A471" s="468">
        <v>2019.0</v>
      </c>
      <c r="B471" s="467">
        <v>45585.5952662037</v>
      </c>
      <c r="C471" s="466" t="s">
        <v>1923</v>
      </c>
      <c r="D471" s="468">
        <v>1.900016015E9</v>
      </c>
      <c r="E471" s="466" t="s">
        <v>1924</v>
      </c>
      <c r="F471" s="466">
        <v>8.5601112507E10</v>
      </c>
      <c r="G471" s="466" t="s">
        <v>4149</v>
      </c>
      <c r="H471" s="469">
        <v>44910.0</v>
      </c>
      <c r="I471" s="470">
        <v>45287.0</v>
      </c>
      <c r="J471" s="466" t="s">
        <v>399</v>
      </c>
      <c r="K471" s="466" t="s">
        <v>117</v>
      </c>
      <c r="L471" s="466" t="s">
        <v>2379</v>
      </c>
      <c r="M471" s="463"/>
      <c r="N471" s="463"/>
      <c r="O471" s="463"/>
      <c r="P471" s="463"/>
      <c r="Q471" s="463"/>
      <c r="R471" s="485" t="s">
        <v>4150</v>
      </c>
      <c r="S471" s="387"/>
      <c r="T471" s="466" t="s">
        <v>117</v>
      </c>
      <c r="U471" s="466" t="s">
        <v>2379</v>
      </c>
      <c r="V471" s="466" t="s">
        <v>2922</v>
      </c>
      <c r="W471" s="461">
        <v>45656.0</v>
      </c>
      <c r="X471" s="466" t="s">
        <v>3468</v>
      </c>
      <c r="Y471" s="462" t="s">
        <v>1948</v>
      </c>
      <c r="Z471" s="387"/>
      <c r="AA471" s="387"/>
      <c r="AB471" s="482" t="s">
        <v>2955</v>
      </c>
      <c r="AC471" s="387"/>
      <c r="AD471" s="387"/>
      <c r="AE471" s="387"/>
      <c r="AF471" s="488">
        <v>45656.541666666664</v>
      </c>
      <c r="AG471" s="489">
        <v>0.5416666666666666</v>
      </c>
      <c r="AH471" s="488">
        <v>45656.604166666664</v>
      </c>
      <c r="AI471" s="387"/>
      <c r="AJ471" s="465" t="s">
        <v>4208</v>
      </c>
      <c r="AK471" s="387"/>
      <c r="AL471" s="387"/>
      <c r="AM471" s="387"/>
      <c r="AN471" s="387"/>
      <c r="AO471" s="387"/>
      <c r="AP471" s="387"/>
      <c r="AQ471" s="387"/>
      <c r="AR471" s="387"/>
      <c r="AS471" s="387"/>
      <c r="AT471" s="387"/>
    </row>
    <row r="472" ht="16.5" customHeight="1">
      <c r="A472" s="468">
        <v>2019.0</v>
      </c>
      <c r="B472" s="467">
        <v>45651.348495370374</v>
      </c>
      <c r="C472" s="466" t="s">
        <v>2411</v>
      </c>
      <c r="D472" s="468">
        <v>1.900016005E9</v>
      </c>
      <c r="E472" s="466" t="s">
        <v>4209</v>
      </c>
      <c r="F472" s="466">
        <v>8.2169067903E10</v>
      </c>
      <c r="G472" s="466" t="s">
        <v>4210</v>
      </c>
      <c r="H472" s="469">
        <v>45490.0</v>
      </c>
      <c r="I472" s="470">
        <v>45463.0</v>
      </c>
      <c r="J472" s="466" t="s">
        <v>399</v>
      </c>
      <c r="K472" s="466" t="s">
        <v>230</v>
      </c>
      <c r="L472" s="466" t="s">
        <v>1900</v>
      </c>
      <c r="M472" s="463"/>
      <c r="N472" s="463"/>
      <c r="O472" s="463"/>
      <c r="P472" s="463"/>
      <c r="Q472" s="463"/>
      <c r="R472" s="466" t="s">
        <v>4211</v>
      </c>
      <c r="S472" s="387"/>
      <c r="T472" s="466" t="s">
        <v>230</v>
      </c>
      <c r="U472" s="466" t="s">
        <v>2922</v>
      </c>
      <c r="V472" s="466" t="s">
        <v>117</v>
      </c>
      <c r="W472" s="461">
        <v>45659.0</v>
      </c>
      <c r="X472" s="466" t="s">
        <v>987</v>
      </c>
      <c r="Y472" s="462" t="s">
        <v>1948</v>
      </c>
      <c r="Z472" s="387"/>
      <c r="AA472" s="387"/>
      <c r="AB472" s="482" t="s">
        <v>2955</v>
      </c>
      <c r="AC472" s="387"/>
      <c r="AD472" s="387"/>
      <c r="AE472" s="387"/>
      <c r="AF472" s="488">
        <v>45659.583333333336</v>
      </c>
      <c r="AG472" s="489">
        <v>0.5833333333333334</v>
      </c>
      <c r="AH472" s="488">
        <v>45659.645833333336</v>
      </c>
      <c r="AI472" s="387"/>
      <c r="AJ472" s="465" t="s">
        <v>4212</v>
      </c>
      <c r="AK472" s="387"/>
      <c r="AL472" s="387"/>
      <c r="AM472" s="387"/>
      <c r="AN472" s="387"/>
      <c r="AO472" s="387"/>
      <c r="AP472" s="387"/>
      <c r="AQ472" s="387"/>
      <c r="AR472" s="387"/>
      <c r="AS472" s="387"/>
      <c r="AT472" s="387"/>
    </row>
    <row r="473" ht="16.5" customHeight="1">
      <c r="A473" s="490">
        <v>2020.0</v>
      </c>
      <c r="B473" s="491">
        <v>45659.391435185185</v>
      </c>
      <c r="C473" s="492" t="s">
        <v>4213</v>
      </c>
      <c r="D473" s="490">
        <v>2.000016139E9</v>
      </c>
      <c r="E473" s="492" t="s">
        <v>2271</v>
      </c>
      <c r="F473" s="492">
        <v>8.2124049727E10</v>
      </c>
      <c r="G473" s="492" t="s">
        <v>4214</v>
      </c>
      <c r="H473" s="493">
        <v>45419.0</v>
      </c>
      <c r="I473" s="494">
        <v>45310.0</v>
      </c>
      <c r="J473" s="492" t="s">
        <v>399</v>
      </c>
      <c r="K473" s="492" t="s">
        <v>2916</v>
      </c>
      <c r="L473" s="492" t="s">
        <v>3013</v>
      </c>
      <c r="M473" s="495"/>
      <c r="N473" s="495"/>
      <c r="O473" s="495"/>
      <c r="P473" s="495"/>
      <c r="Q473" s="495"/>
      <c r="R473" s="492" t="s">
        <v>4215</v>
      </c>
      <c r="S473" s="496"/>
      <c r="T473" s="492" t="s">
        <v>2916</v>
      </c>
      <c r="U473" s="492" t="s">
        <v>3013</v>
      </c>
      <c r="V473" s="492" t="s">
        <v>117</v>
      </c>
      <c r="W473" s="497">
        <v>45665.0</v>
      </c>
      <c r="X473" s="492" t="s">
        <v>3791</v>
      </c>
      <c r="Y473" s="498" t="s">
        <v>1948</v>
      </c>
      <c r="Z473" s="496"/>
      <c r="AA473" s="496"/>
      <c r="AB473" s="499" t="s">
        <v>2955</v>
      </c>
      <c r="AC473" s="496"/>
      <c r="AD473" s="496"/>
      <c r="AE473" s="496"/>
      <c r="AF473" s="500">
        <v>45665.375</v>
      </c>
      <c r="AG473" s="501">
        <v>0.375</v>
      </c>
      <c r="AH473" s="500">
        <v>45665.4375</v>
      </c>
      <c r="AI473" s="496"/>
      <c r="AJ473" s="502" t="s">
        <v>4216</v>
      </c>
      <c r="AK473" s="496"/>
      <c r="AL473" s="496"/>
      <c r="AM473" s="496"/>
      <c r="AN473" s="496"/>
      <c r="AO473" s="496"/>
      <c r="AP473" s="496"/>
      <c r="AQ473" s="496"/>
      <c r="AR473" s="496"/>
      <c r="AS473" s="496"/>
      <c r="AT473" s="496"/>
    </row>
    <row r="474" ht="16.5" customHeight="1">
      <c r="A474" s="490">
        <v>2019.0</v>
      </c>
      <c r="B474" s="491">
        <v>45665.15321759259</v>
      </c>
      <c r="C474" s="492" t="s">
        <v>4217</v>
      </c>
      <c r="D474" s="490">
        <v>1.900016139E9</v>
      </c>
      <c r="E474" s="492" t="s">
        <v>2467</v>
      </c>
      <c r="F474" s="492">
        <v>8.2286347194E10</v>
      </c>
      <c r="G474" s="492" t="s">
        <v>2469</v>
      </c>
      <c r="H474" s="493">
        <v>45177.0</v>
      </c>
      <c r="I474" s="494">
        <v>45502.0</v>
      </c>
      <c r="J474" s="492" t="s">
        <v>399</v>
      </c>
      <c r="K474" s="492" t="s">
        <v>117</v>
      </c>
      <c r="L474" s="492" t="s">
        <v>1900</v>
      </c>
      <c r="M474" s="495"/>
      <c r="N474" s="495"/>
      <c r="O474" s="495"/>
      <c r="P474" s="495"/>
      <c r="Q474" s="495"/>
      <c r="R474" s="492" t="s">
        <v>4218</v>
      </c>
      <c r="S474" s="496"/>
      <c r="T474" s="492" t="s">
        <v>117</v>
      </c>
      <c r="U474" s="492" t="s">
        <v>1900</v>
      </c>
      <c r="V474" s="492" t="s">
        <v>3136</v>
      </c>
      <c r="W474" s="497">
        <v>45673.0</v>
      </c>
      <c r="X474" s="492" t="s">
        <v>3415</v>
      </c>
      <c r="Y474" s="498" t="s">
        <v>1948</v>
      </c>
      <c r="Z474" s="496"/>
      <c r="AA474" s="496"/>
      <c r="AB474" s="499" t="s">
        <v>2955</v>
      </c>
      <c r="AC474" s="496"/>
      <c r="AD474" s="496"/>
      <c r="AE474" s="496"/>
      <c r="AF474" s="500">
        <v>45673.520833333336</v>
      </c>
      <c r="AG474" s="501">
        <v>0.5208333333333334</v>
      </c>
      <c r="AH474" s="500">
        <v>45673.583333333336</v>
      </c>
      <c r="AI474" s="496"/>
      <c r="AJ474" s="502" t="s">
        <v>4219</v>
      </c>
      <c r="AK474" s="496"/>
      <c r="AL474" s="496"/>
      <c r="AM474" s="496"/>
      <c r="AN474" s="496"/>
      <c r="AO474" s="496"/>
      <c r="AP474" s="496"/>
      <c r="AQ474" s="496"/>
      <c r="AR474" s="496"/>
      <c r="AS474" s="496"/>
      <c r="AT474" s="496"/>
    </row>
    <row r="475" ht="16.5" customHeight="1">
      <c r="A475" s="490">
        <v>2019.0</v>
      </c>
      <c r="B475" s="491">
        <v>45665.60953703704</v>
      </c>
      <c r="C475" s="492" t="s">
        <v>4220</v>
      </c>
      <c r="D475" s="490">
        <v>1.900016094E9</v>
      </c>
      <c r="E475" s="492" t="s">
        <v>2451</v>
      </c>
      <c r="F475" s="492">
        <v>8.970471019E9</v>
      </c>
      <c r="G475" s="492" t="s">
        <v>4221</v>
      </c>
      <c r="H475" s="493">
        <v>45384.0</v>
      </c>
      <c r="I475" s="494">
        <v>45491.0</v>
      </c>
      <c r="J475" s="492" t="s">
        <v>399</v>
      </c>
      <c r="K475" s="492" t="s">
        <v>2617</v>
      </c>
      <c r="L475" s="492" t="s">
        <v>1900</v>
      </c>
      <c r="M475" s="495"/>
      <c r="N475" s="495"/>
      <c r="O475" s="495"/>
      <c r="P475" s="495"/>
      <c r="Q475" s="495"/>
      <c r="R475" s="492" t="s">
        <v>4222</v>
      </c>
      <c r="S475" s="496"/>
      <c r="T475" s="492" t="s">
        <v>2617</v>
      </c>
      <c r="U475" s="492" t="s">
        <v>1900</v>
      </c>
      <c r="V475" s="492" t="s">
        <v>2922</v>
      </c>
      <c r="W475" s="497">
        <v>45674.0</v>
      </c>
      <c r="X475" s="492" t="s">
        <v>3468</v>
      </c>
      <c r="Y475" s="498" t="s">
        <v>1948</v>
      </c>
      <c r="Z475" s="496"/>
      <c r="AA475" s="496"/>
      <c r="AB475" s="499" t="s">
        <v>2955</v>
      </c>
      <c r="AC475" s="496"/>
      <c r="AD475" s="496"/>
      <c r="AE475" s="496"/>
      <c r="AF475" s="500">
        <v>45674.541666666664</v>
      </c>
      <c r="AG475" s="501">
        <v>0.5416666666666666</v>
      </c>
      <c r="AH475" s="500">
        <v>45674.604166666664</v>
      </c>
      <c r="AI475" s="496"/>
      <c r="AJ475" s="502" t="s">
        <v>4223</v>
      </c>
      <c r="AK475" s="496"/>
      <c r="AL475" s="496"/>
      <c r="AM475" s="496"/>
      <c r="AN475" s="496"/>
      <c r="AO475" s="496"/>
      <c r="AP475" s="496"/>
      <c r="AQ475" s="496"/>
      <c r="AR475" s="496"/>
      <c r="AS475" s="496"/>
      <c r="AT475" s="496"/>
    </row>
    <row r="476" ht="16.5" customHeight="1">
      <c r="A476" s="490">
        <v>2020.0</v>
      </c>
      <c r="B476" s="491">
        <v>45668.77165509259</v>
      </c>
      <c r="C476" s="492" t="s">
        <v>2229</v>
      </c>
      <c r="D476" s="490">
        <v>2.000016059E9</v>
      </c>
      <c r="E476" s="492" t="s">
        <v>2230</v>
      </c>
      <c r="F476" s="492">
        <v>8.95348747864E11</v>
      </c>
      <c r="G476" s="492" t="s">
        <v>4224</v>
      </c>
      <c r="H476" s="493">
        <v>45566.0</v>
      </c>
      <c r="I476" s="494">
        <v>45310.0</v>
      </c>
      <c r="J476" s="492" t="s">
        <v>399</v>
      </c>
      <c r="K476" s="492" t="s">
        <v>117</v>
      </c>
      <c r="L476" s="492" t="s">
        <v>230</v>
      </c>
      <c r="M476" s="495"/>
      <c r="N476" s="495"/>
      <c r="O476" s="495"/>
      <c r="P476" s="495"/>
      <c r="Q476" s="495"/>
      <c r="R476" s="492" t="s">
        <v>4225</v>
      </c>
      <c r="S476" s="496"/>
      <c r="T476" s="492" t="s">
        <v>117</v>
      </c>
      <c r="U476" s="492" t="s">
        <v>230</v>
      </c>
      <c r="V476" s="492" t="s">
        <v>39</v>
      </c>
      <c r="W476" s="497">
        <v>45678.0</v>
      </c>
      <c r="X476" s="492" t="s">
        <v>3418</v>
      </c>
      <c r="Y476" s="498" t="s">
        <v>1948</v>
      </c>
      <c r="Z476" s="496"/>
      <c r="AA476" s="496"/>
      <c r="AB476" s="499" t="s">
        <v>2955</v>
      </c>
      <c r="AC476" s="496"/>
      <c r="AD476" s="496"/>
      <c r="AE476" s="496"/>
      <c r="AF476" s="500">
        <v>45678.520833333336</v>
      </c>
      <c r="AG476" s="501">
        <v>0.5208333333333334</v>
      </c>
      <c r="AH476" s="500">
        <v>45678.583333333336</v>
      </c>
      <c r="AI476" s="496"/>
      <c r="AJ476" s="502" t="s">
        <v>4226</v>
      </c>
      <c r="AK476" s="496"/>
      <c r="AL476" s="496"/>
      <c r="AM476" s="496"/>
      <c r="AN476" s="496"/>
      <c r="AO476" s="496"/>
      <c r="AP476" s="496"/>
      <c r="AQ476" s="496"/>
      <c r="AR476" s="496"/>
      <c r="AS476" s="496"/>
      <c r="AT476" s="496"/>
    </row>
    <row r="477" ht="16.5" customHeight="1">
      <c r="A477" s="490">
        <v>2019.0</v>
      </c>
      <c r="B477" s="491">
        <v>45675.6075462963</v>
      </c>
      <c r="C477" s="492" t="s">
        <v>1804</v>
      </c>
      <c r="D477" s="490">
        <v>1.900016196E9</v>
      </c>
      <c r="E477" s="492" t="s">
        <v>4227</v>
      </c>
      <c r="F477" s="492">
        <v>8.974526699E9</v>
      </c>
      <c r="G477" s="492" t="s">
        <v>4228</v>
      </c>
      <c r="H477" s="493">
        <v>44783.0</v>
      </c>
      <c r="I477" s="494">
        <v>45253.0</v>
      </c>
      <c r="J477" s="492" t="s">
        <v>399</v>
      </c>
      <c r="K477" s="492" t="s">
        <v>747</v>
      </c>
      <c r="L477" s="492" t="s">
        <v>2922</v>
      </c>
      <c r="M477" s="495"/>
      <c r="N477" s="495"/>
      <c r="O477" s="495"/>
      <c r="P477" s="495"/>
      <c r="Q477" s="495"/>
      <c r="R477" s="492" t="s">
        <v>4229</v>
      </c>
      <c r="S477" s="496"/>
      <c r="T477" s="492" t="s">
        <v>747</v>
      </c>
      <c r="U477" s="492" t="s">
        <v>2922</v>
      </c>
      <c r="V477" s="492" t="s">
        <v>39</v>
      </c>
      <c r="W477" s="497">
        <v>45681.0</v>
      </c>
      <c r="X477" s="492" t="s">
        <v>3791</v>
      </c>
      <c r="Y477" s="498" t="s">
        <v>1948</v>
      </c>
      <c r="Z477" s="496"/>
      <c r="AA477" s="496"/>
      <c r="AB477" s="499" t="s">
        <v>2955</v>
      </c>
      <c r="AC477" s="496"/>
      <c r="AD477" s="496"/>
      <c r="AE477" s="496"/>
      <c r="AF477" s="500">
        <v>45681.375</v>
      </c>
      <c r="AG477" s="501">
        <v>0.375</v>
      </c>
      <c r="AH477" s="500">
        <v>45681.4375</v>
      </c>
      <c r="AI477" s="496"/>
      <c r="AJ477" s="502" t="s">
        <v>4230</v>
      </c>
      <c r="AK477" s="496"/>
      <c r="AL477" s="496"/>
      <c r="AM477" s="496"/>
      <c r="AN477" s="496"/>
      <c r="AO477" s="496"/>
      <c r="AP477" s="496"/>
      <c r="AQ477" s="496"/>
      <c r="AR477" s="496"/>
      <c r="AS477" s="496"/>
      <c r="AT477" s="496"/>
    </row>
    <row r="478" ht="16.5" customHeight="1">
      <c r="A478" s="490">
        <v>2020.0</v>
      </c>
      <c r="B478" s="491">
        <v>45677.58699074074</v>
      </c>
      <c r="C478" s="492" t="s">
        <v>2234</v>
      </c>
      <c r="D478" s="490">
        <v>2.000016124E9</v>
      </c>
      <c r="E478" s="492" t="s">
        <v>2235</v>
      </c>
      <c r="F478" s="492">
        <v>8.95392139136E11</v>
      </c>
      <c r="G478" s="492" t="s">
        <v>4231</v>
      </c>
      <c r="H478" s="493">
        <v>45264.0</v>
      </c>
      <c r="I478" s="494">
        <v>45314.0</v>
      </c>
      <c r="J478" s="492" t="s">
        <v>399</v>
      </c>
      <c r="K478" s="492" t="s">
        <v>117</v>
      </c>
      <c r="L478" s="492" t="s">
        <v>2617</v>
      </c>
      <c r="M478" s="495"/>
      <c r="N478" s="495"/>
      <c r="O478" s="495"/>
      <c r="P478" s="495"/>
      <c r="Q478" s="495"/>
      <c r="R478" s="492" t="s">
        <v>4232</v>
      </c>
      <c r="S478" s="496"/>
      <c r="T478" s="492" t="s">
        <v>117</v>
      </c>
      <c r="U478" s="492" t="s">
        <v>2617</v>
      </c>
      <c r="V478" s="492" t="s">
        <v>2922</v>
      </c>
      <c r="W478" s="497">
        <v>45688.0</v>
      </c>
      <c r="X478" s="492" t="s">
        <v>3468</v>
      </c>
      <c r="Y478" s="498" t="s">
        <v>1948</v>
      </c>
      <c r="Z478" s="496"/>
      <c r="AA478" s="496"/>
      <c r="AB478" s="499" t="s">
        <v>2955</v>
      </c>
      <c r="AC478" s="496"/>
      <c r="AD478" s="496"/>
      <c r="AE478" s="496"/>
      <c r="AF478" s="500">
        <v>45688.541666666664</v>
      </c>
      <c r="AG478" s="501">
        <v>0.5416666666666666</v>
      </c>
      <c r="AH478" s="500">
        <v>45688.604166666664</v>
      </c>
      <c r="AI478" s="496"/>
      <c r="AJ478" s="502" t="s">
        <v>4233</v>
      </c>
      <c r="AK478" s="496"/>
      <c r="AL478" s="496"/>
      <c r="AM478" s="496"/>
      <c r="AN478" s="496"/>
      <c r="AO478" s="496"/>
      <c r="AP478" s="496"/>
      <c r="AQ478" s="496"/>
      <c r="AR478" s="496"/>
      <c r="AS478" s="496"/>
      <c r="AT478" s="496"/>
    </row>
    <row r="479" ht="16.5" customHeight="1">
      <c r="A479" s="490">
        <v>2018.0</v>
      </c>
      <c r="B479" s="491">
        <v>45678.37505787037</v>
      </c>
      <c r="C479" s="492" t="s">
        <v>2520</v>
      </c>
      <c r="D479" s="490">
        <v>1.800016114E9</v>
      </c>
      <c r="E479" s="492" t="s">
        <v>2521</v>
      </c>
      <c r="F479" s="492">
        <v>8.1344674664E10</v>
      </c>
      <c r="G479" s="492" t="s">
        <v>2523</v>
      </c>
      <c r="H479" s="493">
        <v>45560.0</v>
      </c>
      <c r="I479" s="494">
        <v>45616.0</v>
      </c>
      <c r="J479" s="492" t="s">
        <v>399</v>
      </c>
      <c r="K479" s="492" t="s">
        <v>241</v>
      </c>
      <c r="L479" s="492" t="s">
        <v>1900</v>
      </c>
      <c r="M479" s="495"/>
      <c r="N479" s="495"/>
      <c r="O479" s="495"/>
      <c r="P479" s="495"/>
      <c r="Q479" s="495"/>
      <c r="R479" s="492" t="s">
        <v>4234</v>
      </c>
      <c r="S479" s="496"/>
      <c r="T479" s="492" t="s">
        <v>241</v>
      </c>
      <c r="U479" s="492" t="s">
        <v>1900</v>
      </c>
      <c r="V479" s="492" t="s">
        <v>2922</v>
      </c>
      <c r="W479" s="497">
        <v>45687.0</v>
      </c>
      <c r="X479" s="492" t="s">
        <v>3406</v>
      </c>
      <c r="Y479" s="498" t="s">
        <v>1948</v>
      </c>
      <c r="Z479" s="496"/>
      <c r="AA479" s="496"/>
      <c r="AB479" s="499" t="s">
        <v>2955</v>
      </c>
      <c r="AC479" s="496"/>
      <c r="AD479" s="496"/>
      <c r="AE479" s="496"/>
      <c r="AF479" s="500">
        <v>45687.333333333336</v>
      </c>
      <c r="AG479" s="501">
        <v>0.3333333333333333</v>
      </c>
      <c r="AH479" s="500">
        <v>45687.395833333336</v>
      </c>
      <c r="AI479" s="496"/>
      <c r="AJ479" s="502" t="s">
        <v>4235</v>
      </c>
      <c r="AK479" s="496"/>
      <c r="AL479" s="496"/>
      <c r="AM479" s="496"/>
      <c r="AN479" s="496"/>
      <c r="AO479" s="496"/>
      <c r="AP479" s="496"/>
      <c r="AQ479" s="496"/>
      <c r="AR479" s="496"/>
      <c r="AS479" s="496"/>
      <c r="AT479" s="496"/>
    </row>
    <row r="480" ht="16.5" customHeight="1">
      <c r="A480" s="490">
        <v>2019.0</v>
      </c>
      <c r="B480" s="491">
        <v>45680.908171296294</v>
      </c>
      <c r="C480" s="492" t="s">
        <v>4236</v>
      </c>
      <c r="D480" s="490">
        <v>1.900016009E9</v>
      </c>
      <c r="E480" s="492" t="s">
        <v>1815</v>
      </c>
      <c r="F480" s="492">
        <v>8.1383846367E10</v>
      </c>
      <c r="G480" s="492" t="s">
        <v>4237</v>
      </c>
      <c r="H480" s="493">
        <v>45073.0</v>
      </c>
      <c r="I480" s="494">
        <v>45250.0</v>
      </c>
      <c r="J480" s="492" t="s">
        <v>399</v>
      </c>
      <c r="K480" s="492" t="s">
        <v>183</v>
      </c>
      <c r="L480" s="492" t="s">
        <v>241</v>
      </c>
      <c r="M480" s="495"/>
      <c r="N480" s="495"/>
      <c r="O480" s="495"/>
      <c r="P480" s="495"/>
      <c r="Q480" s="495"/>
      <c r="R480" s="492" t="s">
        <v>4238</v>
      </c>
      <c r="S480" s="496"/>
      <c r="T480" s="492" t="s">
        <v>183</v>
      </c>
      <c r="U480" s="492" t="s">
        <v>241</v>
      </c>
      <c r="V480" s="492" t="s">
        <v>3136</v>
      </c>
      <c r="W480" s="497">
        <v>45688.0</v>
      </c>
      <c r="X480" s="492" t="s">
        <v>3406</v>
      </c>
      <c r="Y480" s="498" t="s">
        <v>1948</v>
      </c>
      <c r="Z480" s="496"/>
      <c r="AA480" s="496"/>
      <c r="AB480" s="499" t="s">
        <v>2955</v>
      </c>
      <c r="AC480" s="496"/>
      <c r="AD480" s="496"/>
      <c r="AE480" s="496"/>
      <c r="AF480" s="500">
        <v>45688.333333333336</v>
      </c>
      <c r="AG480" s="501">
        <v>0.3333333333333333</v>
      </c>
      <c r="AH480" s="500">
        <v>45688.395833333336</v>
      </c>
      <c r="AI480" s="496"/>
      <c r="AJ480" s="502" t="s">
        <v>4239</v>
      </c>
      <c r="AK480" s="496"/>
      <c r="AL480" s="496"/>
      <c r="AM480" s="496"/>
      <c r="AN480" s="496"/>
      <c r="AO480" s="496"/>
      <c r="AP480" s="496"/>
      <c r="AQ480" s="496"/>
      <c r="AR480" s="496"/>
      <c r="AS480" s="496"/>
      <c r="AT480" s="496"/>
    </row>
    <row r="481" ht="16.5" customHeight="1">
      <c r="A481" s="490">
        <v>2019.0</v>
      </c>
      <c r="B481" s="491">
        <v>45682.98480324074</v>
      </c>
      <c r="C481" s="492" t="s">
        <v>1610</v>
      </c>
      <c r="D481" s="490">
        <v>1.900016179E9</v>
      </c>
      <c r="E481" s="492" t="s">
        <v>4240</v>
      </c>
      <c r="F481" s="492">
        <v>8.1226877495E10</v>
      </c>
      <c r="G481" s="492" t="s">
        <v>4241</v>
      </c>
      <c r="H481" s="493">
        <v>45027.0</v>
      </c>
      <c r="I481" s="494">
        <v>45139.0</v>
      </c>
      <c r="J481" s="492" t="s">
        <v>399</v>
      </c>
      <c r="K481" s="492" t="s">
        <v>117</v>
      </c>
      <c r="L481" s="492" t="s">
        <v>2922</v>
      </c>
      <c r="M481" s="495"/>
      <c r="N481" s="495"/>
      <c r="O481" s="495"/>
      <c r="P481" s="495"/>
      <c r="Q481" s="495"/>
      <c r="R481" s="492" t="s">
        <v>4242</v>
      </c>
      <c r="S481" s="496"/>
      <c r="T481" s="492" t="s">
        <v>117</v>
      </c>
      <c r="U481" s="492" t="s">
        <v>2922</v>
      </c>
      <c r="V481" s="492" t="s">
        <v>747</v>
      </c>
      <c r="W481" s="497">
        <v>45692.0</v>
      </c>
      <c r="X481" s="492" t="s">
        <v>3468</v>
      </c>
      <c r="Y481" s="498" t="s">
        <v>1948</v>
      </c>
      <c r="Z481" s="496"/>
      <c r="AA481" s="496"/>
      <c r="AB481" s="499" t="s">
        <v>316</v>
      </c>
      <c r="AC481" s="496"/>
      <c r="AD481" s="496"/>
      <c r="AE481" s="496"/>
      <c r="AF481" s="500">
        <v>45692.541666666664</v>
      </c>
      <c r="AG481" s="501">
        <v>0.5416666666666666</v>
      </c>
      <c r="AH481" s="500">
        <v>45692.604166666664</v>
      </c>
      <c r="AI481" s="496"/>
      <c r="AJ481" s="502" t="s">
        <v>4243</v>
      </c>
      <c r="AK481" s="496"/>
      <c r="AL481" s="496"/>
      <c r="AM481" s="496"/>
      <c r="AN481" s="496"/>
      <c r="AO481" s="496"/>
      <c r="AP481" s="496"/>
      <c r="AQ481" s="496"/>
      <c r="AR481" s="496"/>
      <c r="AS481" s="496"/>
      <c r="AT481" s="496"/>
    </row>
    <row r="482" ht="16.5" customHeight="1">
      <c r="A482" s="490">
        <v>2019.0</v>
      </c>
      <c r="B482" s="491">
        <v>45693.67696759259</v>
      </c>
      <c r="C482" s="492" t="s">
        <v>2533</v>
      </c>
      <c r="D482" s="490">
        <v>1.900016156E9</v>
      </c>
      <c r="E482" s="492" t="s">
        <v>2534</v>
      </c>
      <c r="F482" s="492">
        <v>8.8214234265E10</v>
      </c>
      <c r="G482" s="492" t="s">
        <v>2536</v>
      </c>
      <c r="H482" s="493">
        <v>45568.0</v>
      </c>
      <c r="I482" s="494">
        <v>45621.0</v>
      </c>
      <c r="J482" s="492" t="s">
        <v>399</v>
      </c>
      <c r="K482" s="492" t="s">
        <v>230</v>
      </c>
      <c r="L482" s="492" t="s">
        <v>2922</v>
      </c>
      <c r="M482" s="495"/>
      <c r="N482" s="495"/>
      <c r="O482" s="495"/>
      <c r="P482" s="495"/>
      <c r="Q482" s="495"/>
      <c r="R482" s="492" t="s">
        <v>4244</v>
      </c>
      <c r="S482" s="496"/>
      <c r="T482" s="492" t="s">
        <v>230</v>
      </c>
      <c r="U482" s="492" t="s">
        <v>2922</v>
      </c>
      <c r="V482" s="492" t="s">
        <v>241</v>
      </c>
      <c r="W482" s="497">
        <v>45702.0</v>
      </c>
      <c r="X482" s="492" t="s">
        <v>3406</v>
      </c>
      <c r="Y482" s="498" t="s">
        <v>1948</v>
      </c>
      <c r="Z482" s="496"/>
      <c r="AA482" s="496"/>
      <c r="AB482" s="499" t="s">
        <v>316</v>
      </c>
      <c r="AC482" s="496"/>
      <c r="AD482" s="496"/>
      <c r="AE482" s="496"/>
      <c r="AF482" s="500">
        <v>45702.333333333336</v>
      </c>
      <c r="AG482" s="501">
        <v>0.3333333333333333</v>
      </c>
      <c r="AH482" s="500">
        <v>45702.395833333336</v>
      </c>
      <c r="AI482" s="496"/>
      <c r="AJ482" s="502" t="s">
        <v>4245</v>
      </c>
      <c r="AK482" s="496"/>
      <c r="AL482" s="496"/>
      <c r="AM482" s="496"/>
      <c r="AN482" s="496"/>
      <c r="AO482" s="496"/>
      <c r="AP482" s="496"/>
      <c r="AQ482" s="496"/>
      <c r="AR482" s="496"/>
      <c r="AS482" s="496"/>
      <c r="AT482" s="496"/>
    </row>
    <row r="483" ht="16.5" customHeight="1">
      <c r="A483" s="490">
        <v>2019.0</v>
      </c>
      <c r="B483" s="491">
        <v>45697.64368055556</v>
      </c>
      <c r="C483" s="492" t="s">
        <v>1536</v>
      </c>
      <c r="D483" s="490">
        <v>1.911016122E9</v>
      </c>
      <c r="E483" s="492" t="s">
        <v>1537</v>
      </c>
      <c r="F483" s="492">
        <v>8.2322745166E10</v>
      </c>
      <c r="G483" s="492" t="s">
        <v>4246</v>
      </c>
      <c r="H483" s="493">
        <v>45125.0</v>
      </c>
      <c r="I483" s="494">
        <v>45125.0</v>
      </c>
      <c r="J483" s="492" t="s">
        <v>399</v>
      </c>
      <c r="K483" s="492" t="s">
        <v>747</v>
      </c>
      <c r="L483" s="492" t="s">
        <v>1900</v>
      </c>
      <c r="M483" s="495"/>
      <c r="N483" s="495"/>
      <c r="O483" s="495"/>
      <c r="P483" s="495"/>
      <c r="Q483" s="495"/>
      <c r="R483" s="492" t="s">
        <v>4247</v>
      </c>
      <c r="S483" s="496"/>
      <c r="T483" s="492" t="s">
        <v>747</v>
      </c>
      <c r="U483" s="492" t="s">
        <v>1900</v>
      </c>
      <c r="V483" s="492" t="s">
        <v>2922</v>
      </c>
      <c r="W483" s="497">
        <v>45702.0</v>
      </c>
      <c r="X483" s="492" t="s">
        <v>3468</v>
      </c>
      <c r="Y483" s="498" t="s">
        <v>1948</v>
      </c>
      <c r="Z483" s="496"/>
      <c r="AA483" s="496"/>
      <c r="AB483" s="499" t="s">
        <v>316</v>
      </c>
      <c r="AC483" s="496"/>
      <c r="AD483" s="496"/>
      <c r="AE483" s="496"/>
      <c r="AF483" s="500">
        <v>45702.541666666664</v>
      </c>
      <c r="AG483" s="501">
        <v>0.5416666666666666</v>
      </c>
      <c r="AH483" s="500">
        <v>45702.604166666664</v>
      </c>
      <c r="AI483" s="496"/>
      <c r="AJ483" s="502" t="s">
        <v>4248</v>
      </c>
      <c r="AK483" s="496"/>
      <c r="AL483" s="496"/>
      <c r="AM483" s="496"/>
      <c r="AN483" s="496"/>
      <c r="AO483" s="496"/>
      <c r="AP483" s="496"/>
      <c r="AQ483" s="496"/>
      <c r="AR483" s="496"/>
      <c r="AS483" s="496"/>
      <c r="AT483" s="496"/>
    </row>
    <row r="484" ht="16.5" customHeight="1">
      <c r="A484" s="490">
        <v>2018.0</v>
      </c>
      <c r="B484" s="491">
        <v>45701.97546296296</v>
      </c>
      <c r="C484" s="492" t="s">
        <v>2374</v>
      </c>
      <c r="D484" s="490">
        <v>1.800016154E9</v>
      </c>
      <c r="E484" s="492" t="s">
        <v>2375</v>
      </c>
      <c r="F484" s="492">
        <v>8.1266443825E10</v>
      </c>
      <c r="G484" s="492" t="s">
        <v>2377</v>
      </c>
      <c r="H484" s="493">
        <v>45496.0</v>
      </c>
      <c r="I484" s="494">
        <v>45364.0</v>
      </c>
      <c r="J484" s="492" t="s">
        <v>399</v>
      </c>
      <c r="K484" s="492" t="s">
        <v>1900</v>
      </c>
      <c r="L484" s="492" t="s">
        <v>230</v>
      </c>
      <c r="M484" s="495"/>
      <c r="N484" s="495"/>
      <c r="O484" s="495"/>
      <c r="P484" s="495"/>
      <c r="Q484" s="495"/>
      <c r="R484" s="492" t="s">
        <v>4249</v>
      </c>
      <c r="S484" s="496"/>
      <c r="T484" s="492" t="s">
        <v>1900</v>
      </c>
      <c r="U484" s="492" t="s">
        <v>230</v>
      </c>
      <c r="V484" s="492" t="s">
        <v>117</v>
      </c>
      <c r="W484" s="497">
        <v>45707.0</v>
      </c>
      <c r="X484" s="492" t="s">
        <v>3406</v>
      </c>
      <c r="Y484" s="498" t="s">
        <v>1948</v>
      </c>
      <c r="Z484" s="496"/>
      <c r="AA484" s="496"/>
      <c r="AB484" s="499" t="s">
        <v>316</v>
      </c>
      <c r="AC484" s="496"/>
      <c r="AD484" s="496"/>
      <c r="AE484" s="496"/>
      <c r="AF484" s="500">
        <v>45707.333333333336</v>
      </c>
      <c r="AG484" s="501">
        <v>0.3333333333333333</v>
      </c>
      <c r="AH484" s="500">
        <v>45707.395833333336</v>
      </c>
      <c r="AI484" s="496"/>
      <c r="AJ484" s="502" t="s">
        <v>4250</v>
      </c>
      <c r="AK484" s="496"/>
      <c r="AL484" s="496"/>
      <c r="AM484" s="496"/>
      <c r="AN484" s="496"/>
      <c r="AO484" s="496"/>
      <c r="AP484" s="496"/>
      <c r="AQ484" s="496"/>
      <c r="AR484" s="496"/>
      <c r="AS484" s="496"/>
      <c r="AT484" s="496"/>
    </row>
    <row r="485" ht="16.5" customHeight="1">
      <c r="A485" s="490">
        <v>2020.0</v>
      </c>
      <c r="B485" s="491">
        <v>45709.53771990741</v>
      </c>
      <c r="C485" s="492" t="s">
        <v>2248</v>
      </c>
      <c r="D485" s="490">
        <v>2.015016055E9</v>
      </c>
      <c r="E485" s="492" t="s">
        <v>2249</v>
      </c>
      <c r="F485" s="492">
        <v>8.8233220357E10</v>
      </c>
      <c r="G485" s="492" t="s">
        <v>4251</v>
      </c>
      <c r="H485" s="493">
        <v>45284.0</v>
      </c>
      <c r="I485" s="494">
        <v>45314.0</v>
      </c>
      <c r="J485" s="492" t="s">
        <v>399</v>
      </c>
      <c r="K485" s="492" t="s">
        <v>117</v>
      </c>
      <c r="L485" s="492" t="s">
        <v>2617</v>
      </c>
      <c r="M485" s="495"/>
      <c r="N485" s="495"/>
      <c r="O485" s="495"/>
      <c r="P485" s="495"/>
      <c r="Q485" s="495"/>
      <c r="R485" s="492" t="s">
        <v>4252</v>
      </c>
      <c r="S485" s="496"/>
      <c r="T485" s="503" t="s">
        <v>117</v>
      </c>
      <c r="U485" s="503" t="s">
        <v>2617</v>
      </c>
      <c r="V485" s="492" t="s">
        <v>241</v>
      </c>
      <c r="W485" s="497">
        <v>45714.0</v>
      </c>
      <c r="X485" s="492" t="s">
        <v>3418</v>
      </c>
      <c r="Y485" s="498" t="s">
        <v>1948</v>
      </c>
      <c r="Z485" s="496"/>
      <c r="AA485" s="496"/>
      <c r="AB485" s="499" t="s">
        <v>316</v>
      </c>
      <c r="AC485" s="496"/>
      <c r="AD485" s="496"/>
      <c r="AE485" s="496"/>
      <c r="AF485" s="500">
        <v>45714.520833333336</v>
      </c>
      <c r="AG485" s="501">
        <v>0.5208333333333334</v>
      </c>
      <c r="AH485" s="500">
        <v>45714.583333333336</v>
      </c>
      <c r="AI485" s="496"/>
      <c r="AJ485" s="502" t="s">
        <v>4253</v>
      </c>
      <c r="AK485" s="496"/>
      <c r="AL485" s="496"/>
      <c r="AM485" s="496"/>
      <c r="AN485" s="496"/>
      <c r="AO485" s="496"/>
      <c r="AP485" s="496"/>
      <c r="AQ485" s="496"/>
      <c r="AR485" s="496"/>
      <c r="AS485" s="496"/>
      <c r="AT485" s="496"/>
    </row>
    <row r="486" ht="16.5" customHeight="1">
      <c r="A486" s="490">
        <v>2020.0</v>
      </c>
      <c r="B486" s="491">
        <v>45710.418333333335</v>
      </c>
      <c r="C486" s="492" t="s">
        <v>2563</v>
      </c>
      <c r="D486" s="490">
        <v>2.000016036E9</v>
      </c>
      <c r="E486" s="492" t="s">
        <v>2564</v>
      </c>
      <c r="F486" s="492">
        <v>8.3179127156E10</v>
      </c>
      <c r="G486" s="492" t="s">
        <v>4254</v>
      </c>
      <c r="H486" s="493">
        <v>45656.0</v>
      </c>
      <c r="I486" s="494">
        <v>45530.0</v>
      </c>
      <c r="J486" s="492" t="s">
        <v>399</v>
      </c>
      <c r="K486" s="492" t="s">
        <v>2916</v>
      </c>
      <c r="L486" s="492" t="s">
        <v>183</v>
      </c>
      <c r="M486" s="495"/>
      <c r="N486" s="495"/>
      <c r="O486" s="495"/>
      <c r="P486" s="495"/>
      <c r="Q486" s="495"/>
      <c r="R486" s="492" t="s">
        <v>4255</v>
      </c>
      <c r="S486" s="496"/>
      <c r="T486" s="492" t="s">
        <v>2916</v>
      </c>
      <c r="U486" s="492" t="s">
        <v>183</v>
      </c>
      <c r="V486" s="492" t="s">
        <v>117</v>
      </c>
      <c r="W486" s="497">
        <v>45730.0</v>
      </c>
      <c r="X486" s="492" t="s">
        <v>3406</v>
      </c>
      <c r="Y486" s="498" t="s">
        <v>1948</v>
      </c>
      <c r="Z486" s="496"/>
      <c r="AA486" s="496"/>
      <c r="AB486" s="499" t="s">
        <v>316</v>
      </c>
      <c r="AC486" s="496"/>
      <c r="AD486" s="496"/>
      <c r="AE486" s="496"/>
      <c r="AF486" s="500">
        <v>45730.333333333336</v>
      </c>
      <c r="AG486" s="501">
        <v>0.3333333333333333</v>
      </c>
      <c r="AH486" s="500">
        <v>45730.395833333336</v>
      </c>
      <c r="AI486" s="496"/>
      <c r="AJ486" s="502" t="s">
        <v>4256</v>
      </c>
      <c r="AK486" s="496"/>
      <c r="AL486" s="496"/>
      <c r="AM486" s="496"/>
      <c r="AN486" s="496"/>
      <c r="AO486" s="496"/>
      <c r="AP486" s="496"/>
      <c r="AQ486" s="496"/>
      <c r="AR486" s="496"/>
      <c r="AS486" s="496"/>
      <c r="AT486" s="496"/>
    </row>
    <row r="487" ht="16.5" customHeight="1">
      <c r="A487" s="490">
        <v>2018.0</v>
      </c>
      <c r="B487" s="491">
        <v>45714.663252314815</v>
      </c>
      <c r="C487" s="492" t="s">
        <v>2512</v>
      </c>
      <c r="D487" s="490">
        <v>1.800016044E9</v>
      </c>
      <c r="E487" s="492" t="s">
        <v>2513</v>
      </c>
      <c r="F487" s="492">
        <v>8.1392055707E10</v>
      </c>
      <c r="G487" s="492" t="s">
        <v>4257</v>
      </c>
      <c r="H487" s="493">
        <v>45628.0</v>
      </c>
      <c r="I487" s="494">
        <v>45608.0</v>
      </c>
      <c r="J487" s="492" t="s">
        <v>399</v>
      </c>
      <c r="K487" s="492" t="s">
        <v>241</v>
      </c>
      <c r="L487" s="492" t="s">
        <v>183</v>
      </c>
      <c r="M487" s="495"/>
      <c r="N487" s="495"/>
      <c r="O487" s="495"/>
      <c r="P487" s="495"/>
      <c r="Q487" s="495"/>
      <c r="R487" s="492" t="s">
        <v>4258</v>
      </c>
      <c r="S487" s="496"/>
      <c r="T487" s="492" t="s">
        <v>241</v>
      </c>
      <c r="U487" s="492" t="s">
        <v>183</v>
      </c>
      <c r="V487" s="492" t="s">
        <v>747</v>
      </c>
      <c r="W487" s="497">
        <v>45722.0</v>
      </c>
      <c r="X487" s="492" t="s">
        <v>3406</v>
      </c>
      <c r="Y487" s="498" t="s">
        <v>1948</v>
      </c>
      <c r="Z487" s="496"/>
      <c r="AA487" s="496"/>
      <c r="AB487" s="499" t="s">
        <v>316</v>
      </c>
      <c r="AC487" s="496"/>
      <c r="AD487" s="496"/>
      <c r="AE487" s="496"/>
      <c r="AF487" s="500">
        <v>45722.333333333336</v>
      </c>
      <c r="AG487" s="501">
        <v>0.3333333333333333</v>
      </c>
      <c r="AH487" s="500">
        <v>45722.395833333336</v>
      </c>
      <c r="AI487" s="496"/>
      <c r="AJ487" s="502" t="s">
        <v>4259</v>
      </c>
      <c r="AK487" s="496"/>
      <c r="AL487" s="496"/>
      <c r="AM487" s="496"/>
      <c r="AN487" s="496"/>
      <c r="AO487" s="496"/>
      <c r="AP487" s="496"/>
      <c r="AQ487" s="496"/>
      <c r="AR487" s="496"/>
      <c r="AS487" s="496"/>
      <c r="AT487" s="496"/>
    </row>
    <row r="488" ht="16.5" customHeight="1">
      <c r="A488" s="490">
        <v>2021.0</v>
      </c>
      <c r="B488" s="491">
        <v>45731.52701388889</v>
      </c>
      <c r="C488" s="492" t="s">
        <v>2579</v>
      </c>
      <c r="D488" s="490">
        <v>2.100016042E9</v>
      </c>
      <c r="E488" s="492" t="s">
        <v>2580</v>
      </c>
      <c r="F488" s="492">
        <v>8.5372572705E10</v>
      </c>
      <c r="G488" s="492" t="s">
        <v>4260</v>
      </c>
      <c r="H488" s="493">
        <v>45667.0</v>
      </c>
      <c r="I488" s="494">
        <v>45642.0</v>
      </c>
      <c r="J488" s="492" t="s">
        <v>399</v>
      </c>
      <c r="K488" s="492" t="s">
        <v>747</v>
      </c>
      <c r="L488" s="492" t="s">
        <v>1900</v>
      </c>
      <c r="M488" s="495"/>
      <c r="N488" s="495"/>
      <c r="O488" s="495"/>
      <c r="P488" s="495"/>
      <c r="Q488" s="495"/>
      <c r="R488" s="492" t="s">
        <v>4261</v>
      </c>
      <c r="S488" s="496"/>
      <c r="T488" s="492" t="s">
        <v>747</v>
      </c>
      <c r="U488" s="492" t="s">
        <v>1900</v>
      </c>
      <c r="V488" s="492" t="s">
        <v>183</v>
      </c>
      <c r="W488" s="497">
        <v>45735.0</v>
      </c>
      <c r="X488" s="492" t="s">
        <v>2492</v>
      </c>
      <c r="Y488" s="498" t="s">
        <v>1948</v>
      </c>
      <c r="Z488" s="496"/>
      <c r="AA488" s="496"/>
      <c r="AB488" s="499" t="s">
        <v>316</v>
      </c>
      <c r="AC488" s="496"/>
      <c r="AD488" s="496"/>
      <c r="AE488" s="496"/>
      <c r="AF488" s="500">
        <v>45735.3125</v>
      </c>
      <c r="AG488" s="501">
        <v>0.3125</v>
      </c>
      <c r="AH488" s="500">
        <v>45735.375</v>
      </c>
      <c r="AI488" s="496"/>
      <c r="AJ488" s="502" t="s">
        <v>4262</v>
      </c>
      <c r="AK488" s="496"/>
      <c r="AL488" s="496"/>
      <c r="AM488" s="496"/>
      <c r="AN488" s="496"/>
      <c r="AO488" s="496"/>
      <c r="AP488" s="496"/>
      <c r="AQ488" s="496"/>
      <c r="AR488" s="496"/>
      <c r="AS488" s="496"/>
      <c r="AT488" s="496"/>
    </row>
    <row r="489" ht="16.5" customHeight="1">
      <c r="A489" s="490">
        <v>2021.0</v>
      </c>
      <c r="B489" s="491">
        <v>45731.52707175926</v>
      </c>
      <c r="C489" s="492" t="s">
        <v>2584</v>
      </c>
      <c r="D489" s="490">
        <v>2.100016035E9</v>
      </c>
      <c r="E489" s="492" t="s">
        <v>2585</v>
      </c>
      <c r="F489" s="492">
        <v>8.2258296793E10</v>
      </c>
      <c r="G489" s="492" t="s">
        <v>2587</v>
      </c>
      <c r="H489" s="493">
        <v>45664.0</v>
      </c>
      <c r="I489" s="494">
        <v>45642.0</v>
      </c>
      <c r="J489" s="492" t="s">
        <v>399</v>
      </c>
      <c r="K489" s="492" t="s">
        <v>747</v>
      </c>
      <c r="L489" s="492" t="s">
        <v>1900</v>
      </c>
      <c r="M489" s="495"/>
      <c r="N489" s="495"/>
      <c r="O489" s="495"/>
      <c r="P489" s="495"/>
      <c r="Q489" s="495"/>
      <c r="R489" s="492" t="s">
        <v>4263</v>
      </c>
      <c r="S489" s="496"/>
      <c r="T489" s="492" t="s">
        <v>747</v>
      </c>
      <c r="U489" s="492" t="s">
        <v>1900</v>
      </c>
      <c r="V489" s="492" t="s">
        <v>183</v>
      </c>
      <c r="W489" s="497">
        <v>45735.0</v>
      </c>
      <c r="X489" s="492" t="s">
        <v>3407</v>
      </c>
      <c r="Y489" s="498" t="s">
        <v>1948</v>
      </c>
      <c r="Z489" s="496"/>
      <c r="AA489" s="496"/>
      <c r="AB489" s="499" t="s">
        <v>316</v>
      </c>
      <c r="AC489" s="496"/>
      <c r="AD489" s="496"/>
      <c r="AE489" s="496"/>
      <c r="AF489" s="500">
        <v>45735.395833333336</v>
      </c>
      <c r="AG489" s="501">
        <v>0.3958333333333333</v>
      </c>
      <c r="AH489" s="500">
        <v>45735.458333333336</v>
      </c>
      <c r="AI489" s="496"/>
      <c r="AJ489" s="502" t="s">
        <v>4264</v>
      </c>
      <c r="AK489" s="496"/>
      <c r="AL489" s="496"/>
      <c r="AM489" s="496"/>
      <c r="AN489" s="496"/>
      <c r="AO489" s="496"/>
      <c r="AP489" s="496"/>
      <c r="AQ489" s="496"/>
      <c r="AR489" s="496"/>
      <c r="AS489" s="496"/>
      <c r="AT489" s="496"/>
    </row>
    <row r="490" ht="16.5" customHeight="1">
      <c r="A490" s="490">
        <v>2018.0</v>
      </c>
      <c r="B490" s="491">
        <v>45734.671747685185</v>
      </c>
      <c r="C490" s="492" t="s">
        <v>1202</v>
      </c>
      <c r="D490" s="490">
        <v>1.800016153E9</v>
      </c>
      <c r="E490" s="492" t="s">
        <v>1203</v>
      </c>
      <c r="F490" s="492">
        <v>8.5293411718E10</v>
      </c>
      <c r="G490" s="492" t="s">
        <v>4265</v>
      </c>
      <c r="H490" s="493">
        <v>44572.0</v>
      </c>
      <c r="I490" s="494">
        <v>44959.0</v>
      </c>
      <c r="J490" s="492" t="s">
        <v>399</v>
      </c>
      <c r="K490" s="492" t="s">
        <v>241</v>
      </c>
      <c r="L490" s="492" t="s">
        <v>183</v>
      </c>
      <c r="M490" s="495"/>
      <c r="N490" s="495"/>
      <c r="O490" s="495"/>
      <c r="P490" s="495"/>
      <c r="Q490" s="495"/>
      <c r="R490" s="492" t="s">
        <v>4266</v>
      </c>
      <c r="S490" s="496"/>
      <c r="T490" s="492" t="s">
        <v>241</v>
      </c>
      <c r="U490" s="492" t="s">
        <v>183</v>
      </c>
      <c r="V490" s="492" t="s">
        <v>117</v>
      </c>
      <c r="W490" s="497">
        <v>45737.0</v>
      </c>
      <c r="X490" s="492" t="s">
        <v>987</v>
      </c>
      <c r="Y490" s="498" t="s">
        <v>1948</v>
      </c>
      <c r="Z490" s="496"/>
      <c r="AA490" s="496"/>
      <c r="AB490" s="499" t="s">
        <v>316</v>
      </c>
      <c r="AC490" s="496"/>
      <c r="AD490" s="496"/>
      <c r="AE490" s="496"/>
      <c r="AF490" s="500">
        <v>45737.583333333336</v>
      </c>
      <c r="AG490" s="501">
        <v>0.5833333333333334</v>
      </c>
      <c r="AH490" s="500">
        <v>45737.645833333336</v>
      </c>
      <c r="AI490" s="496"/>
      <c r="AJ490" s="502" t="s">
        <v>4267</v>
      </c>
      <c r="AK490" s="496"/>
      <c r="AL490" s="496"/>
      <c r="AM490" s="496"/>
      <c r="AN490" s="496"/>
      <c r="AO490" s="496"/>
      <c r="AP490" s="496"/>
      <c r="AQ490" s="496"/>
      <c r="AR490" s="496"/>
      <c r="AS490" s="496"/>
      <c r="AT490" s="496"/>
    </row>
    <row r="491" ht="16.5" customHeight="1">
      <c r="A491" s="490">
        <v>2018.0</v>
      </c>
      <c r="B491" s="491">
        <v>45734.70337962963</v>
      </c>
      <c r="C491" s="492" t="s">
        <v>1800</v>
      </c>
      <c r="D491" s="490">
        <v>1.800016011E9</v>
      </c>
      <c r="E491" s="492" t="s">
        <v>1801</v>
      </c>
      <c r="F491" s="492">
        <v>8.7720316403E10</v>
      </c>
      <c r="G491" s="492" t="s">
        <v>4268</v>
      </c>
      <c r="H491" s="493">
        <v>45218.0</v>
      </c>
      <c r="I491" s="494">
        <v>45218.0</v>
      </c>
      <c r="J491" s="492" t="s">
        <v>399</v>
      </c>
      <c r="K491" s="492" t="s">
        <v>241</v>
      </c>
      <c r="L491" s="492" t="s">
        <v>117</v>
      </c>
      <c r="M491" s="495"/>
      <c r="N491" s="495"/>
      <c r="O491" s="495"/>
      <c r="P491" s="495"/>
      <c r="Q491" s="495"/>
      <c r="R491" s="492" t="s">
        <v>4269</v>
      </c>
      <c r="S491" s="496"/>
      <c r="T491" s="492" t="s">
        <v>241</v>
      </c>
      <c r="U491" s="492" t="s">
        <v>117</v>
      </c>
      <c r="V491" s="492" t="s">
        <v>2922</v>
      </c>
      <c r="W491" s="497">
        <v>45737.0</v>
      </c>
      <c r="X491" s="492" t="s">
        <v>3740</v>
      </c>
      <c r="Y491" s="498" t="s">
        <v>1948</v>
      </c>
      <c r="Z491" s="496"/>
      <c r="AA491" s="496"/>
      <c r="AB491" s="499" t="s">
        <v>316</v>
      </c>
      <c r="AC491" s="496"/>
      <c r="AD491" s="496"/>
      <c r="AE491" s="496"/>
      <c r="AF491" s="500">
        <v>45737.291666666664</v>
      </c>
      <c r="AG491" s="501">
        <v>0.2916666666666667</v>
      </c>
      <c r="AH491" s="500">
        <v>45737.354166666664</v>
      </c>
      <c r="AI491" s="496"/>
      <c r="AJ491" s="502" t="s">
        <v>4270</v>
      </c>
      <c r="AK491" s="496"/>
      <c r="AL491" s="496"/>
      <c r="AM491" s="496"/>
      <c r="AN491" s="496"/>
      <c r="AO491" s="496"/>
      <c r="AP491" s="496"/>
      <c r="AQ491" s="496"/>
      <c r="AR491" s="496"/>
      <c r="AS491" s="496"/>
      <c r="AT491" s="496"/>
    </row>
    <row r="492" ht="16.5" customHeight="1">
      <c r="A492" s="490">
        <v>2018.0</v>
      </c>
      <c r="B492" s="491">
        <v>45738.55336805555</v>
      </c>
      <c r="C492" s="492" t="s">
        <v>2537</v>
      </c>
      <c r="D492" s="490">
        <v>1.80001605E9</v>
      </c>
      <c r="E492" s="492" t="s">
        <v>2538</v>
      </c>
      <c r="F492" s="492">
        <v>8.562599724E9</v>
      </c>
      <c r="G492" s="492" t="s">
        <v>2540</v>
      </c>
      <c r="H492" s="493">
        <v>45635.0</v>
      </c>
      <c r="I492" s="494">
        <v>45625.0</v>
      </c>
      <c r="J492" s="492" t="s">
        <v>399</v>
      </c>
      <c r="K492" s="492" t="s">
        <v>241</v>
      </c>
      <c r="L492" s="492" t="s">
        <v>1900</v>
      </c>
      <c r="M492" s="495"/>
      <c r="N492" s="495"/>
      <c r="O492" s="495"/>
      <c r="P492" s="495"/>
      <c r="Q492" s="495"/>
      <c r="R492" s="492" t="s">
        <v>4271</v>
      </c>
      <c r="S492" s="496"/>
      <c r="T492" s="492" t="s">
        <v>241</v>
      </c>
      <c r="U492" s="492" t="s">
        <v>1900</v>
      </c>
      <c r="V492" s="492" t="s">
        <v>117</v>
      </c>
      <c r="W492" s="497">
        <v>45758.0</v>
      </c>
      <c r="X492" s="492" t="s">
        <v>987</v>
      </c>
      <c r="Y492" s="498" t="s">
        <v>1948</v>
      </c>
      <c r="Z492" s="496"/>
      <c r="AA492" s="496"/>
      <c r="AB492" s="499" t="s">
        <v>316</v>
      </c>
      <c r="AC492" s="496"/>
      <c r="AD492" s="496"/>
      <c r="AE492" s="496"/>
      <c r="AF492" s="500">
        <v>45758.583333333336</v>
      </c>
      <c r="AG492" s="501">
        <v>0.5833333333333334</v>
      </c>
      <c r="AH492" s="500">
        <v>45758.645833333336</v>
      </c>
      <c r="AI492" s="496"/>
      <c r="AJ492" s="502" t="s">
        <v>4272</v>
      </c>
      <c r="AK492" s="496"/>
      <c r="AL492" s="496"/>
      <c r="AM492" s="496"/>
      <c r="AN492" s="496"/>
      <c r="AO492" s="496"/>
      <c r="AP492" s="496"/>
      <c r="AQ492" s="496"/>
      <c r="AR492" s="496"/>
      <c r="AS492" s="496"/>
      <c r="AT492" s="496"/>
    </row>
    <row r="493" ht="16.5" customHeight="1">
      <c r="A493" s="490">
        <v>2019.0</v>
      </c>
      <c r="B493" s="491">
        <v>45742.97770833333</v>
      </c>
      <c r="C493" s="492" t="s">
        <v>1838</v>
      </c>
      <c r="D493" s="490">
        <v>1.900016174E9</v>
      </c>
      <c r="E493" s="492" t="s">
        <v>4273</v>
      </c>
      <c r="F493" s="492">
        <v>8.951297153E10</v>
      </c>
      <c r="G493" s="492" t="s">
        <v>1841</v>
      </c>
      <c r="H493" s="493">
        <v>45012.0</v>
      </c>
      <c r="I493" s="494">
        <v>45012.0</v>
      </c>
      <c r="J493" s="492" t="s">
        <v>399</v>
      </c>
      <c r="K493" s="492" t="s">
        <v>117</v>
      </c>
      <c r="L493" s="492" t="s">
        <v>1900</v>
      </c>
      <c r="M493" s="495"/>
      <c r="N493" s="495"/>
      <c r="O493" s="495"/>
      <c r="P493" s="495"/>
      <c r="Q493" s="495"/>
      <c r="R493" s="492" t="s">
        <v>4274</v>
      </c>
      <c r="S493" s="496"/>
      <c r="T493" s="492" t="s">
        <v>117</v>
      </c>
      <c r="U493" s="492" t="s">
        <v>1900</v>
      </c>
      <c r="V493" s="492" t="s">
        <v>2922</v>
      </c>
      <c r="W493" s="497">
        <v>45761.0</v>
      </c>
      <c r="X493" s="492" t="s">
        <v>3878</v>
      </c>
      <c r="Y493" s="498" t="s">
        <v>1948</v>
      </c>
      <c r="Z493" s="496"/>
      <c r="AA493" s="496"/>
      <c r="AB493" s="499" t="s">
        <v>316</v>
      </c>
      <c r="AC493" s="496"/>
      <c r="AD493" s="496"/>
      <c r="AE493" s="496"/>
      <c r="AF493" s="500">
        <v>45761.4375</v>
      </c>
      <c r="AG493" s="501">
        <v>0.4375</v>
      </c>
      <c r="AH493" s="500">
        <v>45761.5</v>
      </c>
      <c r="AI493" s="496"/>
      <c r="AJ493" s="502" t="s">
        <v>4275</v>
      </c>
      <c r="AK493" s="496"/>
      <c r="AL493" s="496"/>
      <c r="AM493" s="496"/>
      <c r="AN493" s="496"/>
      <c r="AO493" s="496"/>
      <c r="AP493" s="496"/>
      <c r="AQ493" s="496"/>
      <c r="AR493" s="496"/>
      <c r="AS493" s="496"/>
      <c r="AT493" s="496"/>
    </row>
    <row r="494" ht="16.5" customHeight="1">
      <c r="A494" s="490">
        <v>2018.0</v>
      </c>
      <c r="B494" s="491">
        <v>45755.667708333334</v>
      </c>
      <c r="C494" s="492" t="s">
        <v>2493</v>
      </c>
      <c r="D494" s="490">
        <v>1.800016037E9</v>
      </c>
      <c r="E494" s="492" t="s">
        <v>2494</v>
      </c>
      <c r="F494" s="492">
        <v>8.2238137456E10</v>
      </c>
      <c r="G494" s="492" t="s">
        <v>4276</v>
      </c>
      <c r="H494" s="493">
        <v>45577.0</v>
      </c>
      <c r="I494" s="494">
        <v>45601.0</v>
      </c>
      <c r="J494" s="492" t="s">
        <v>399</v>
      </c>
      <c r="K494" s="492" t="s">
        <v>241</v>
      </c>
      <c r="L494" s="492" t="s">
        <v>183</v>
      </c>
      <c r="M494" s="495"/>
      <c r="N494" s="495"/>
      <c r="O494" s="495"/>
      <c r="P494" s="495"/>
      <c r="Q494" s="495"/>
      <c r="R494" s="492" t="s">
        <v>4277</v>
      </c>
      <c r="S494" s="496"/>
      <c r="T494" s="492" t="s">
        <v>241</v>
      </c>
      <c r="U494" s="492" t="s">
        <v>183</v>
      </c>
      <c r="V494" s="492" t="s">
        <v>4278</v>
      </c>
      <c r="W494" s="497">
        <v>45761.0</v>
      </c>
      <c r="X494" s="492" t="s">
        <v>3418</v>
      </c>
      <c r="Y494" s="498" t="s">
        <v>1948</v>
      </c>
      <c r="Z494" s="496"/>
      <c r="AA494" s="496"/>
      <c r="AB494" s="499" t="s">
        <v>316</v>
      </c>
      <c r="AC494" s="496"/>
      <c r="AD494" s="496"/>
      <c r="AE494" s="496"/>
      <c r="AF494" s="500">
        <v>45761.520833333336</v>
      </c>
      <c r="AG494" s="501">
        <v>0.5208333333333334</v>
      </c>
      <c r="AH494" s="500">
        <v>45761.583333333336</v>
      </c>
      <c r="AI494" s="496"/>
      <c r="AJ494" s="502" t="s">
        <v>4279</v>
      </c>
      <c r="AK494" s="496"/>
      <c r="AL494" s="496"/>
      <c r="AM494" s="496"/>
      <c r="AN494" s="496"/>
      <c r="AO494" s="496"/>
      <c r="AP494" s="496"/>
      <c r="AQ494" s="496"/>
      <c r="AR494" s="496"/>
      <c r="AS494" s="496"/>
      <c r="AT494" s="496"/>
    </row>
    <row r="495" ht="16.5" customHeight="1">
      <c r="A495" s="490">
        <v>2021.0</v>
      </c>
      <c r="B495" s="491">
        <v>45762.45118055555</v>
      </c>
      <c r="C495" s="492" t="s">
        <v>2588</v>
      </c>
      <c r="D495" s="490">
        <v>2.100016081E9</v>
      </c>
      <c r="E495" s="492" t="s">
        <v>2589</v>
      </c>
      <c r="F495" s="492">
        <v>8.5832630272E10</v>
      </c>
      <c r="G495" s="492" t="s">
        <v>2591</v>
      </c>
      <c r="H495" s="493">
        <v>45551.0</v>
      </c>
      <c r="I495" s="494">
        <v>45643.0</v>
      </c>
      <c r="J495" s="492" t="s">
        <v>399</v>
      </c>
      <c r="K495" s="492" t="s">
        <v>747</v>
      </c>
      <c r="L495" s="492" t="s">
        <v>2922</v>
      </c>
      <c r="M495" s="495"/>
      <c r="N495" s="495"/>
      <c r="O495" s="495"/>
      <c r="P495" s="495"/>
      <c r="Q495" s="495"/>
      <c r="R495" s="492" t="s">
        <v>4280</v>
      </c>
      <c r="S495" s="496"/>
      <c r="T495" s="492" t="s">
        <v>747</v>
      </c>
      <c r="U495" s="492" t="s">
        <v>2922</v>
      </c>
      <c r="V495" s="492" t="s">
        <v>117</v>
      </c>
      <c r="W495" s="497">
        <v>45769.0</v>
      </c>
      <c r="X495" s="492" t="s">
        <v>3791</v>
      </c>
      <c r="Y495" s="498" t="s">
        <v>1948</v>
      </c>
      <c r="Z495" s="496"/>
      <c r="AA495" s="496"/>
      <c r="AB495" s="499" t="s">
        <v>316</v>
      </c>
      <c r="AC495" s="496"/>
      <c r="AD495" s="496"/>
      <c r="AE495" s="496"/>
      <c r="AF495" s="500">
        <v>45769.375</v>
      </c>
      <c r="AG495" s="501">
        <v>0.375</v>
      </c>
      <c r="AH495" s="500">
        <v>45769.4375</v>
      </c>
      <c r="AI495" s="496"/>
      <c r="AJ495" s="502" t="s">
        <v>4281</v>
      </c>
      <c r="AK495" s="496"/>
      <c r="AL495" s="496"/>
      <c r="AM495" s="496"/>
      <c r="AN495" s="496"/>
      <c r="AO495" s="496"/>
      <c r="AP495" s="496"/>
      <c r="AQ495" s="496"/>
      <c r="AR495" s="496"/>
      <c r="AS495" s="496"/>
      <c r="AT495" s="496"/>
    </row>
    <row r="496" ht="16.5" customHeight="1">
      <c r="A496" s="490">
        <v>2018.0</v>
      </c>
      <c r="B496" s="491">
        <v>45768.97388888889</v>
      </c>
      <c r="C496" s="492" t="s">
        <v>2516</v>
      </c>
      <c r="D496" s="490">
        <v>1.800016032E9</v>
      </c>
      <c r="E496" s="492" t="s">
        <v>2517</v>
      </c>
      <c r="F496" s="492">
        <v>8.5715258076E10</v>
      </c>
      <c r="G496" s="492" t="s">
        <v>4282</v>
      </c>
      <c r="H496" s="493">
        <v>45661.0</v>
      </c>
      <c r="I496" s="494">
        <v>45609.0</v>
      </c>
      <c r="J496" s="492" t="s">
        <v>399</v>
      </c>
      <c r="K496" s="492" t="s">
        <v>241</v>
      </c>
      <c r="L496" s="492" t="s">
        <v>183</v>
      </c>
      <c r="M496" s="495"/>
      <c r="N496" s="495"/>
      <c r="O496" s="495"/>
      <c r="P496" s="495"/>
      <c r="Q496" s="495"/>
      <c r="R496" s="492" t="s">
        <v>4283</v>
      </c>
      <c r="S496" s="496"/>
      <c r="T496" s="492" t="s">
        <v>241</v>
      </c>
      <c r="U496" s="492" t="s">
        <v>183</v>
      </c>
      <c r="V496" s="492" t="s">
        <v>117</v>
      </c>
      <c r="W496" s="497">
        <v>45773.0</v>
      </c>
      <c r="X496" s="492" t="s">
        <v>3791</v>
      </c>
      <c r="Y496" s="498" t="s">
        <v>1948</v>
      </c>
      <c r="Z496" s="496"/>
      <c r="AA496" s="496"/>
      <c r="AB496" s="499" t="s">
        <v>316</v>
      </c>
      <c r="AC496" s="496"/>
      <c r="AD496" s="496"/>
      <c r="AE496" s="496"/>
      <c r="AF496" s="500">
        <v>45773.375</v>
      </c>
      <c r="AG496" s="501">
        <v>0.375</v>
      </c>
      <c r="AH496" s="500">
        <v>45773.4375</v>
      </c>
      <c r="AI496" s="496"/>
      <c r="AJ496" s="502" t="s">
        <v>4284</v>
      </c>
      <c r="AK496" s="496"/>
      <c r="AL496" s="496"/>
      <c r="AM496" s="496"/>
      <c r="AN496" s="496"/>
      <c r="AO496" s="496"/>
      <c r="AP496" s="496"/>
      <c r="AQ496" s="496"/>
      <c r="AR496" s="496"/>
      <c r="AS496" s="496"/>
      <c r="AT496" s="496"/>
    </row>
    <row r="497" ht="16.5" customHeight="1">
      <c r="A497" s="490">
        <v>2021.0</v>
      </c>
      <c r="B497" s="491">
        <v>45781.72263888889</v>
      </c>
      <c r="C497" s="492" t="s">
        <v>2592</v>
      </c>
      <c r="D497" s="490">
        <v>2.100016087E9</v>
      </c>
      <c r="E497" s="492" t="s">
        <v>2593</v>
      </c>
      <c r="F497" s="492">
        <v>8.1382728775E10</v>
      </c>
      <c r="G497" s="492" t="s">
        <v>4285</v>
      </c>
      <c r="H497" s="493">
        <v>45661.0</v>
      </c>
      <c r="I497" s="494">
        <v>45645.0</v>
      </c>
      <c r="J497" s="492" t="s">
        <v>399</v>
      </c>
      <c r="K497" s="492" t="s">
        <v>2916</v>
      </c>
      <c r="L497" s="492" t="s">
        <v>183</v>
      </c>
      <c r="M497" s="495"/>
      <c r="N497" s="495"/>
      <c r="O497" s="495"/>
      <c r="P497" s="495"/>
      <c r="Q497" s="495"/>
      <c r="R497" s="492" t="s">
        <v>4286</v>
      </c>
      <c r="S497" s="496"/>
      <c r="T497" s="492" t="s">
        <v>2916</v>
      </c>
      <c r="U497" s="492" t="s">
        <v>183</v>
      </c>
      <c r="V497" s="492" t="s">
        <v>747</v>
      </c>
      <c r="W497" s="497">
        <v>45792.0</v>
      </c>
      <c r="X497" s="492" t="s">
        <v>2492</v>
      </c>
      <c r="Y497" s="498" t="s">
        <v>1948</v>
      </c>
      <c r="Z497" s="496"/>
      <c r="AA497" s="496"/>
      <c r="AB497" s="499" t="s">
        <v>316</v>
      </c>
      <c r="AC497" s="496"/>
      <c r="AD497" s="496"/>
      <c r="AE497" s="496"/>
      <c r="AF497" s="500">
        <v>45792.3125</v>
      </c>
      <c r="AG497" s="501">
        <v>0.3125</v>
      </c>
      <c r="AH497" s="500">
        <v>45792.375</v>
      </c>
      <c r="AI497" s="496"/>
      <c r="AJ497" s="502" t="s">
        <v>4287</v>
      </c>
      <c r="AK497" s="496"/>
      <c r="AL497" s="496"/>
      <c r="AM497" s="496"/>
      <c r="AN497" s="496"/>
      <c r="AO497" s="496"/>
      <c r="AP497" s="496"/>
      <c r="AQ497" s="496"/>
      <c r="AR497" s="496"/>
      <c r="AS497" s="496"/>
      <c r="AT497" s="496"/>
    </row>
    <row r="498" ht="16.5" customHeight="1">
      <c r="A498" s="490">
        <v>2019.0</v>
      </c>
      <c r="B498" s="491">
        <v>45786.43311342593</v>
      </c>
      <c r="C498" s="492" t="s">
        <v>1789</v>
      </c>
      <c r="D498" s="490">
        <v>1.900016162E9</v>
      </c>
      <c r="E498" s="492" t="s">
        <v>1790</v>
      </c>
      <c r="F498" s="492">
        <v>8.2295402486E10</v>
      </c>
      <c r="G498" s="492" t="s">
        <v>4288</v>
      </c>
      <c r="H498" s="493">
        <v>44990.0</v>
      </c>
      <c r="I498" s="494">
        <v>45208.0</v>
      </c>
      <c r="J498" s="492" t="s">
        <v>399</v>
      </c>
      <c r="K498" s="492" t="s">
        <v>183</v>
      </c>
      <c r="L498" s="492" t="s">
        <v>2379</v>
      </c>
      <c r="M498" s="495"/>
      <c r="N498" s="495"/>
      <c r="O498" s="495"/>
      <c r="P498" s="495"/>
      <c r="Q498" s="495"/>
      <c r="R498" s="492" t="s">
        <v>4289</v>
      </c>
      <c r="S498" s="496"/>
      <c r="T498" s="492" t="s">
        <v>183</v>
      </c>
      <c r="U498" s="492" t="s">
        <v>2379</v>
      </c>
      <c r="V498" s="492" t="s">
        <v>241</v>
      </c>
      <c r="W498" s="497">
        <v>45793.0</v>
      </c>
      <c r="X498" s="492" t="s">
        <v>2492</v>
      </c>
      <c r="Y498" s="498" t="s">
        <v>1948</v>
      </c>
      <c r="Z498" s="496"/>
      <c r="AA498" s="496"/>
      <c r="AB498" s="499" t="s">
        <v>316</v>
      </c>
      <c r="AC498" s="496"/>
      <c r="AD498" s="496"/>
      <c r="AE498" s="496"/>
      <c r="AF498" s="500">
        <v>45793.3125</v>
      </c>
      <c r="AG498" s="501">
        <v>0.3125</v>
      </c>
      <c r="AH498" s="500">
        <v>45793.375</v>
      </c>
      <c r="AI498" s="496"/>
      <c r="AJ498" s="502" t="s">
        <v>4290</v>
      </c>
      <c r="AK498" s="496"/>
      <c r="AL498" s="496"/>
      <c r="AM498" s="496"/>
      <c r="AN498" s="496"/>
      <c r="AO498" s="496"/>
      <c r="AP498" s="496"/>
      <c r="AQ498" s="496"/>
      <c r="AR498" s="496"/>
      <c r="AS498" s="496"/>
      <c r="AT498" s="496"/>
    </row>
    <row r="499" ht="16.5" customHeight="1">
      <c r="A499" s="490">
        <v>2019.0</v>
      </c>
      <c r="B499" s="491">
        <v>45793.612395833334</v>
      </c>
      <c r="C499" s="492" t="s">
        <v>2401</v>
      </c>
      <c r="D499" s="490">
        <v>1.90001601E9</v>
      </c>
      <c r="E499" s="492" t="s">
        <v>2402</v>
      </c>
      <c r="F499" s="492">
        <v>8.574118411E10</v>
      </c>
      <c r="G499" s="492" t="s">
        <v>2404</v>
      </c>
      <c r="H499" s="493">
        <v>45072.0</v>
      </c>
      <c r="I499" s="494">
        <v>45446.0</v>
      </c>
      <c r="J499" s="492" t="s">
        <v>399</v>
      </c>
      <c r="K499" s="492" t="s">
        <v>2922</v>
      </c>
      <c r="L499" s="492" t="s">
        <v>117</v>
      </c>
      <c r="M499" s="495"/>
      <c r="N499" s="495"/>
      <c r="O499" s="495"/>
      <c r="P499" s="495"/>
      <c r="Q499" s="495"/>
      <c r="R499" s="492" t="s">
        <v>4291</v>
      </c>
      <c r="S499" s="496"/>
      <c r="T499" s="492" t="s">
        <v>2922</v>
      </c>
      <c r="U499" s="492" t="s">
        <v>117</v>
      </c>
      <c r="V499" s="492" t="s">
        <v>39</v>
      </c>
      <c r="W499" s="497">
        <v>45799.0</v>
      </c>
      <c r="X499" s="492" t="s">
        <v>3406</v>
      </c>
      <c r="Y499" s="498" t="s">
        <v>1948</v>
      </c>
      <c r="Z499" s="496"/>
      <c r="AA499" s="496"/>
      <c r="AB499" s="499" t="s">
        <v>316</v>
      </c>
      <c r="AC499" s="496"/>
      <c r="AD499" s="496"/>
      <c r="AE499" s="496"/>
      <c r="AF499" s="500">
        <v>45799.333333333336</v>
      </c>
      <c r="AG499" s="501">
        <v>0.3333333333333333</v>
      </c>
      <c r="AH499" s="500">
        <v>45799.395833333336</v>
      </c>
      <c r="AI499" s="496"/>
      <c r="AJ499" s="502" t="s">
        <v>4292</v>
      </c>
      <c r="AK499" s="496"/>
      <c r="AL499" s="496"/>
      <c r="AM499" s="496"/>
      <c r="AN499" s="496"/>
      <c r="AO499" s="496"/>
      <c r="AP499" s="496"/>
      <c r="AQ499" s="496"/>
      <c r="AR499" s="496"/>
      <c r="AS499" s="496"/>
      <c r="AT499" s="496"/>
    </row>
    <row r="500" ht="16.5" customHeight="1">
      <c r="A500" s="490">
        <v>2019.0</v>
      </c>
      <c r="B500" s="491">
        <v>45796.56618055556</v>
      </c>
      <c r="C500" s="492" t="s">
        <v>2458</v>
      </c>
      <c r="D500" s="490">
        <v>1.900016014E9</v>
      </c>
      <c r="E500" s="492" t="s">
        <v>2459</v>
      </c>
      <c r="F500" s="492">
        <v>8.95421193177E11</v>
      </c>
      <c r="G500" s="492" t="s">
        <v>2461</v>
      </c>
      <c r="H500" s="493">
        <v>45566.0</v>
      </c>
      <c r="I500" s="494">
        <v>45491.0</v>
      </c>
      <c r="J500" s="492" t="s">
        <v>399</v>
      </c>
      <c r="K500" s="492" t="s">
        <v>1900</v>
      </c>
      <c r="L500" s="492" t="s">
        <v>2922</v>
      </c>
      <c r="M500" s="495"/>
      <c r="N500" s="495"/>
      <c r="O500" s="495"/>
      <c r="P500" s="495"/>
      <c r="Q500" s="495"/>
      <c r="R500" s="492" t="s">
        <v>4293</v>
      </c>
      <c r="S500" s="496"/>
      <c r="T500" s="492" t="s">
        <v>1900</v>
      </c>
      <c r="U500" s="492" t="s">
        <v>2922</v>
      </c>
      <c r="V500" s="492" t="s">
        <v>117</v>
      </c>
      <c r="W500" s="497">
        <v>45800.0</v>
      </c>
      <c r="X500" s="492" t="s">
        <v>3418</v>
      </c>
      <c r="Y500" s="498" t="s">
        <v>1948</v>
      </c>
      <c r="Z500" s="496"/>
      <c r="AA500" s="496"/>
      <c r="AB500" s="499" t="s">
        <v>316</v>
      </c>
      <c r="AC500" s="496"/>
      <c r="AD500" s="496"/>
      <c r="AE500" s="496"/>
      <c r="AF500" s="500">
        <v>45800.520833333336</v>
      </c>
      <c r="AG500" s="501">
        <v>0.5208333333333334</v>
      </c>
      <c r="AH500" s="500">
        <v>45800.583333333336</v>
      </c>
      <c r="AI500" s="496"/>
      <c r="AJ500" s="502" t="s">
        <v>4294</v>
      </c>
      <c r="AK500" s="496"/>
      <c r="AL500" s="496"/>
      <c r="AM500" s="496"/>
      <c r="AN500" s="496"/>
      <c r="AO500" s="496"/>
      <c r="AP500" s="496"/>
      <c r="AQ500" s="496"/>
      <c r="AR500" s="496"/>
      <c r="AS500" s="496"/>
      <c r="AT500" s="496"/>
    </row>
    <row r="501" ht="16.5" customHeight="1">
      <c r="A501" s="490">
        <v>2018.0</v>
      </c>
      <c r="B501" s="491">
        <v>45800.40954861111</v>
      </c>
      <c r="C501" s="492" t="s">
        <v>2541</v>
      </c>
      <c r="D501" s="490">
        <v>1.800016082E9</v>
      </c>
      <c r="E501" s="492" t="s">
        <v>2542</v>
      </c>
      <c r="F501" s="492">
        <v>8.2334032664E10</v>
      </c>
      <c r="G501" s="492" t="s">
        <v>2544</v>
      </c>
      <c r="H501" s="493">
        <v>45599.0</v>
      </c>
      <c r="I501" s="494">
        <v>45628.0</v>
      </c>
      <c r="J501" s="492" t="s">
        <v>399</v>
      </c>
      <c r="K501" s="492" t="s">
        <v>241</v>
      </c>
      <c r="L501" s="492" t="s">
        <v>183</v>
      </c>
      <c r="M501" s="495"/>
      <c r="N501" s="495"/>
      <c r="O501" s="495"/>
      <c r="P501" s="495"/>
      <c r="Q501" s="495"/>
      <c r="R501" s="492" t="s">
        <v>4295</v>
      </c>
      <c r="S501" s="496"/>
      <c r="T501" s="492" t="s">
        <v>241</v>
      </c>
      <c r="U501" s="492" t="s">
        <v>183</v>
      </c>
      <c r="V501" s="492" t="s">
        <v>117</v>
      </c>
      <c r="W501" s="497">
        <v>45805.0</v>
      </c>
      <c r="X501" s="492" t="s">
        <v>3418</v>
      </c>
      <c r="Y501" s="498" t="s">
        <v>1948</v>
      </c>
      <c r="Z501" s="496"/>
      <c r="AA501" s="496"/>
      <c r="AB501" s="499" t="s">
        <v>316</v>
      </c>
      <c r="AC501" s="496"/>
      <c r="AD501" s="496"/>
      <c r="AE501" s="496"/>
      <c r="AF501" s="500">
        <v>45805.520833333336</v>
      </c>
      <c r="AG501" s="501">
        <v>0.5208333333333334</v>
      </c>
      <c r="AH501" s="500">
        <v>45805.583333333336</v>
      </c>
      <c r="AI501" s="496"/>
      <c r="AJ501" s="502" t="s">
        <v>4296</v>
      </c>
      <c r="AK501" s="496"/>
      <c r="AL501" s="496"/>
      <c r="AM501" s="496"/>
      <c r="AN501" s="496"/>
      <c r="AO501" s="496"/>
      <c r="AP501" s="496"/>
      <c r="AQ501" s="496"/>
      <c r="AR501" s="496"/>
      <c r="AS501" s="496"/>
      <c r="AT501" s="496"/>
    </row>
    <row r="502" ht="16.5" customHeight="1">
      <c r="A502" s="490">
        <v>2018.0</v>
      </c>
      <c r="B502" s="491">
        <v>45800.87849537037</v>
      </c>
      <c r="C502" s="492" t="s">
        <v>4297</v>
      </c>
      <c r="D502" s="490">
        <v>1.800016051E9</v>
      </c>
      <c r="E502" s="492" t="s">
        <v>2546</v>
      </c>
      <c r="F502" s="492">
        <v>8.2324983182E10</v>
      </c>
      <c r="G502" s="492" t="s">
        <v>4298</v>
      </c>
      <c r="H502" s="493">
        <v>45484.0</v>
      </c>
      <c r="I502" s="494">
        <v>45626.0</v>
      </c>
      <c r="J502" s="492" t="s">
        <v>399</v>
      </c>
      <c r="K502" s="492" t="s">
        <v>241</v>
      </c>
      <c r="L502" s="492" t="s">
        <v>1900</v>
      </c>
      <c r="M502" s="495"/>
      <c r="N502" s="495"/>
      <c r="O502" s="495"/>
      <c r="P502" s="495"/>
      <c r="Q502" s="495"/>
      <c r="R502" s="492" t="s">
        <v>4299</v>
      </c>
      <c r="S502" s="496"/>
      <c r="T502" s="492" t="s">
        <v>241</v>
      </c>
      <c r="U502" s="492" t="s">
        <v>1900</v>
      </c>
      <c r="V502" s="492" t="s">
        <v>2922</v>
      </c>
      <c r="W502" s="497">
        <v>45804.0</v>
      </c>
      <c r="X502" s="492" t="s">
        <v>3406</v>
      </c>
      <c r="Y502" s="498" t="s">
        <v>1948</v>
      </c>
      <c r="Z502" s="496"/>
      <c r="AA502" s="496"/>
      <c r="AB502" s="499" t="s">
        <v>316</v>
      </c>
      <c r="AC502" s="496"/>
      <c r="AD502" s="496"/>
      <c r="AE502" s="496"/>
      <c r="AF502" s="500">
        <v>45804.333333333336</v>
      </c>
      <c r="AG502" s="501">
        <v>0.3333333333333333</v>
      </c>
      <c r="AH502" s="500">
        <v>45804.395833333336</v>
      </c>
      <c r="AI502" s="496"/>
      <c r="AJ502" s="502" t="s">
        <v>4300</v>
      </c>
      <c r="AK502" s="496"/>
      <c r="AL502" s="496"/>
      <c r="AM502" s="496"/>
      <c r="AN502" s="496"/>
      <c r="AO502" s="496"/>
      <c r="AP502" s="496"/>
      <c r="AQ502" s="496"/>
      <c r="AR502" s="496"/>
      <c r="AS502" s="496"/>
      <c r="AT502" s="496"/>
    </row>
    <row r="503" ht="16.5" customHeight="1">
      <c r="A503" s="490">
        <v>2021.0</v>
      </c>
      <c r="B503" s="491">
        <v>45803.35219907408</v>
      </c>
      <c r="C503" s="492" t="s">
        <v>2600</v>
      </c>
      <c r="D503" s="490">
        <v>2.100016012E9</v>
      </c>
      <c r="E503" s="492" t="s">
        <v>2601</v>
      </c>
      <c r="F503" s="492">
        <v>8.5176700253E10</v>
      </c>
      <c r="G503" s="492" t="s">
        <v>2603</v>
      </c>
      <c r="H503" s="493">
        <v>45668.0</v>
      </c>
      <c r="I503" s="494">
        <v>45667.0</v>
      </c>
      <c r="J503" s="492" t="s">
        <v>399</v>
      </c>
      <c r="K503" s="492" t="s">
        <v>1900</v>
      </c>
      <c r="L503" s="492" t="s">
        <v>2922</v>
      </c>
      <c r="M503" s="495"/>
      <c r="N503" s="495"/>
      <c r="O503" s="495"/>
      <c r="P503" s="495"/>
      <c r="Q503" s="495"/>
      <c r="R503" s="492" t="s">
        <v>4301</v>
      </c>
      <c r="S503" s="496"/>
      <c r="T503" s="492" t="s">
        <v>1900</v>
      </c>
      <c r="U503" s="492" t="s">
        <v>2922</v>
      </c>
      <c r="V503" s="492" t="s">
        <v>3136</v>
      </c>
      <c r="W503" s="497">
        <v>45810.0</v>
      </c>
      <c r="X503" s="492" t="s">
        <v>3878</v>
      </c>
      <c r="Y503" s="498" t="s">
        <v>1948</v>
      </c>
      <c r="Z503" s="496"/>
      <c r="AA503" s="496"/>
      <c r="AB503" s="499" t="s">
        <v>316</v>
      </c>
      <c r="AC503" s="496"/>
      <c r="AD503" s="496"/>
      <c r="AE503" s="496"/>
      <c r="AF503" s="500">
        <v>45810.4375</v>
      </c>
      <c r="AG503" s="501">
        <v>0.4375</v>
      </c>
      <c r="AH503" s="500">
        <v>45810.5</v>
      </c>
      <c r="AI503" s="496"/>
      <c r="AJ503" s="502" t="s">
        <v>4302</v>
      </c>
      <c r="AK503" s="496"/>
      <c r="AL503" s="496"/>
      <c r="AM503" s="496"/>
      <c r="AN503" s="496"/>
      <c r="AO503" s="496"/>
      <c r="AP503" s="496"/>
      <c r="AQ503" s="496"/>
      <c r="AR503" s="496"/>
      <c r="AS503" s="496"/>
      <c r="AT503" s="496"/>
    </row>
    <row r="504" ht="16.5" customHeight="1">
      <c r="A504" s="490">
        <v>2021.0</v>
      </c>
      <c r="B504" s="491">
        <v>45803.419583333336</v>
      </c>
      <c r="C504" s="492" t="s">
        <v>2575</v>
      </c>
      <c r="D504" s="490">
        <v>2.100016009E9</v>
      </c>
      <c r="E504" s="492" t="s">
        <v>2576</v>
      </c>
      <c r="F504" s="492">
        <v>8.2157041196E10</v>
      </c>
      <c r="G504" s="492" t="s">
        <v>2578</v>
      </c>
      <c r="H504" s="493">
        <v>45659.0</v>
      </c>
      <c r="I504" s="494">
        <v>46007.0</v>
      </c>
      <c r="J504" s="492" t="s">
        <v>399</v>
      </c>
      <c r="K504" s="492" t="s">
        <v>747</v>
      </c>
      <c r="L504" s="492" t="s">
        <v>1900</v>
      </c>
      <c r="M504" s="495"/>
      <c r="N504" s="495"/>
      <c r="O504" s="495"/>
      <c r="P504" s="495"/>
      <c r="Q504" s="495"/>
      <c r="R504" s="492" t="s">
        <v>4303</v>
      </c>
      <c r="S504" s="496"/>
      <c r="T504" s="492" t="s">
        <v>747</v>
      </c>
      <c r="U504" s="492" t="s">
        <v>1900</v>
      </c>
      <c r="V504" s="492" t="s">
        <v>3136</v>
      </c>
      <c r="W504" s="497">
        <v>45810.0</v>
      </c>
      <c r="X504" s="492" t="s">
        <v>3791</v>
      </c>
      <c r="Y504" s="498" t="s">
        <v>1948</v>
      </c>
      <c r="Z504" s="496"/>
      <c r="AA504" s="496"/>
      <c r="AB504" s="499" t="s">
        <v>316</v>
      </c>
      <c r="AC504" s="496"/>
      <c r="AD504" s="496"/>
      <c r="AE504" s="496"/>
      <c r="AF504" s="500">
        <v>45810.375</v>
      </c>
      <c r="AG504" s="501">
        <v>0.375</v>
      </c>
      <c r="AH504" s="500">
        <v>45810.4375</v>
      </c>
      <c r="AI504" s="496"/>
      <c r="AJ504" s="502" t="s">
        <v>4304</v>
      </c>
      <c r="AK504" s="496"/>
      <c r="AL504" s="496"/>
      <c r="AM504" s="496"/>
      <c r="AN504" s="496"/>
      <c r="AO504" s="496"/>
      <c r="AP504" s="496"/>
      <c r="AQ504" s="496"/>
      <c r="AR504" s="496"/>
      <c r="AS504" s="496"/>
      <c r="AT504" s="496"/>
    </row>
    <row r="505" ht="16.5" customHeight="1">
      <c r="A505" s="490">
        <v>2021.0</v>
      </c>
      <c r="B505" s="491">
        <v>45810.65887731482</v>
      </c>
      <c r="C505" s="492" t="s">
        <v>2648</v>
      </c>
      <c r="D505" s="490">
        <v>2.100016107E9</v>
      </c>
      <c r="E505" s="492" t="s">
        <v>2649</v>
      </c>
      <c r="F505" s="492">
        <v>8.2115251906E10</v>
      </c>
      <c r="G505" s="492" t="s">
        <v>4305</v>
      </c>
      <c r="H505" s="493">
        <v>45719.0</v>
      </c>
      <c r="I505" s="494">
        <v>45663.0</v>
      </c>
      <c r="J505" s="492" t="s">
        <v>399</v>
      </c>
      <c r="K505" s="492" t="s">
        <v>747</v>
      </c>
      <c r="L505" s="492" t="s">
        <v>117</v>
      </c>
      <c r="M505" s="495"/>
      <c r="N505" s="495"/>
      <c r="O505" s="495"/>
      <c r="P505" s="495"/>
      <c r="Q505" s="495"/>
      <c r="R505" s="492" t="s">
        <v>4306</v>
      </c>
      <c r="S505" s="496"/>
      <c r="T505" s="492" t="s">
        <v>747</v>
      </c>
      <c r="U505" s="492" t="s">
        <v>117</v>
      </c>
      <c r="V505" s="492" t="s">
        <v>39</v>
      </c>
      <c r="W505" s="497">
        <v>45819.0</v>
      </c>
      <c r="X505" s="492" t="s">
        <v>3418</v>
      </c>
      <c r="Y505" s="498" t="s">
        <v>1948</v>
      </c>
      <c r="Z505" s="496"/>
      <c r="AA505" s="496"/>
      <c r="AB505" s="499" t="s">
        <v>316</v>
      </c>
      <c r="AC505" s="496"/>
      <c r="AD505" s="496"/>
      <c r="AE505" s="496"/>
      <c r="AF505" s="500">
        <v>45819.520833333336</v>
      </c>
      <c r="AG505" s="501">
        <v>0.5208333333333334</v>
      </c>
      <c r="AH505" s="500">
        <v>45819.583333333336</v>
      </c>
      <c r="AI505" s="496"/>
      <c r="AJ505" s="502" t="s">
        <v>4307</v>
      </c>
      <c r="AK505" s="496"/>
      <c r="AL505" s="496"/>
      <c r="AM505" s="496"/>
      <c r="AN505" s="496"/>
      <c r="AO505" s="496"/>
      <c r="AP505" s="496"/>
      <c r="AQ505" s="496"/>
      <c r="AR505" s="496"/>
      <c r="AS505" s="496"/>
      <c r="AT505" s="496"/>
    </row>
    <row r="506" ht="16.5" customHeight="1">
      <c r="A506" s="490">
        <v>2020.0</v>
      </c>
      <c r="B506" s="491">
        <v>45812.672326388885</v>
      </c>
      <c r="C506" s="492" t="s">
        <v>2502</v>
      </c>
      <c r="D506" s="490">
        <v>2.000016106E9</v>
      </c>
      <c r="E506" s="492" t="s">
        <v>2503</v>
      </c>
      <c r="F506" s="492">
        <v>8.5174156785E10</v>
      </c>
      <c r="G506" s="492" t="s">
        <v>4308</v>
      </c>
      <c r="H506" s="493">
        <v>45509.0</v>
      </c>
      <c r="I506" s="494">
        <v>45572.0</v>
      </c>
      <c r="J506" s="492" t="s">
        <v>399</v>
      </c>
      <c r="K506" s="492" t="s">
        <v>747</v>
      </c>
      <c r="L506" s="492" t="s">
        <v>1900</v>
      </c>
      <c r="M506" s="495"/>
      <c r="N506" s="495"/>
      <c r="O506" s="495"/>
      <c r="P506" s="495"/>
      <c r="Q506" s="495"/>
      <c r="R506" s="492" t="s">
        <v>4309</v>
      </c>
      <c r="S506" s="496"/>
      <c r="T506" s="492" t="s">
        <v>747</v>
      </c>
      <c r="U506" s="492" t="s">
        <v>1900</v>
      </c>
      <c r="V506" s="492" t="s">
        <v>117</v>
      </c>
      <c r="W506" s="497">
        <v>45819.0</v>
      </c>
      <c r="X506" s="492" t="s">
        <v>3860</v>
      </c>
      <c r="Y506" s="498" t="s">
        <v>1948</v>
      </c>
      <c r="Z506" s="496"/>
      <c r="AA506" s="496"/>
      <c r="AB506" s="499" t="s">
        <v>316</v>
      </c>
      <c r="AC506" s="496"/>
      <c r="AD506" s="496"/>
      <c r="AE506" s="496"/>
      <c r="AF506" s="500">
        <v>45819.59027777778</v>
      </c>
      <c r="AG506" s="501">
        <v>0.5902777777777778</v>
      </c>
      <c r="AH506" s="500">
        <v>45819.65277777778</v>
      </c>
      <c r="AI506" s="496"/>
      <c r="AJ506" s="502" t="s">
        <v>4310</v>
      </c>
      <c r="AK506" s="496"/>
      <c r="AL506" s="496"/>
      <c r="AM506" s="496"/>
      <c r="AN506" s="496"/>
      <c r="AO506" s="496"/>
      <c r="AP506" s="496"/>
      <c r="AQ506" s="496"/>
      <c r="AR506" s="496"/>
      <c r="AS506" s="496"/>
      <c r="AT506" s="496"/>
    </row>
    <row r="507" ht="16.5" customHeight="1">
      <c r="A507" s="490">
        <v>2018.0</v>
      </c>
      <c r="B507" s="491">
        <v>45813.49755787037</v>
      </c>
      <c r="C507" s="492" t="s">
        <v>4311</v>
      </c>
      <c r="D507" s="490">
        <v>1.800016034E9</v>
      </c>
      <c r="E507" s="492" t="s">
        <v>4312</v>
      </c>
      <c r="F507" s="492">
        <v>8.2348162448E10</v>
      </c>
      <c r="G507" s="492" t="s">
        <v>4313</v>
      </c>
      <c r="H507" s="493">
        <v>45062.0</v>
      </c>
      <c r="I507" s="494">
        <v>45131.0</v>
      </c>
      <c r="J507" s="492" t="s">
        <v>399</v>
      </c>
      <c r="K507" s="492" t="s">
        <v>747</v>
      </c>
      <c r="L507" s="492" t="s">
        <v>1900</v>
      </c>
      <c r="M507" s="495"/>
      <c r="N507" s="495"/>
      <c r="O507" s="495"/>
      <c r="P507" s="495"/>
      <c r="Q507" s="495"/>
      <c r="R507" s="492" t="s">
        <v>4314</v>
      </c>
      <c r="S507" s="496"/>
      <c r="T507" s="492" t="s">
        <v>747</v>
      </c>
      <c r="U507" s="492" t="s">
        <v>1900</v>
      </c>
      <c r="V507" s="492" t="s">
        <v>2922</v>
      </c>
      <c r="W507" s="497">
        <v>45821.0</v>
      </c>
      <c r="X507" s="492" t="s">
        <v>3791</v>
      </c>
      <c r="Y507" s="498" t="s">
        <v>1948</v>
      </c>
      <c r="Z507" s="496"/>
      <c r="AA507" s="496"/>
      <c r="AB507" s="499" t="s">
        <v>316</v>
      </c>
      <c r="AC507" s="496"/>
      <c r="AD507" s="496"/>
      <c r="AE507" s="496"/>
      <c r="AF507" s="500">
        <v>45821.375</v>
      </c>
      <c r="AG507" s="501">
        <v>0.375</v>
      </c>
      <c r="AH507" s="500">
        <v>45821.4375</v>
      </c>
      <c r="AI507" s="496"/>
      <c r="AJ507" s="502" t="s">
        <v>4315</v>
      </c>
      <c r="AK507" s="496"/>
      <c r="AL507" s="496"/>
      <c r="AM507" s="496"/>
      <c r="AN507" s="496"/>
      <c r="AO507" s="496"/>
      <c r="AP507" s="496"/>
      <c r="AQ507" s="496"/>
      <c r="AR507" s="496"/>
      <c r="AS507" s="496"/>
      <c r="AT507" s="496"/>
    </row>
    <row r="508" ht="16.5" customHeight="1">
      <c r="A508" s="490">
        <v>2019.0</v>
      </c>
      <c r="B508" s="491">
        <v>45813.531689814816</v>
      </c>
      <c r="C508" s="492" t="s">
        <v>2480</v>
      </c>
      <c r="D508" s="490">
        <v>1.900016085E9</v>
      </c>
      <c r="E508" s="492" t="s">
        <v>2481</v>
      </c>
      <c r="F508" s="492">
        <v>8.1256705281E10</v>
      </c>
      <c r="G508" s="492" t="s">
        <v>2483</v>
      </c>
      <c r="H508" s="493">
        <v>45364.0</v>
      </c>
      <c r="I508" s="494">
        <v>45537.0</v>
      </c>
      <c r="J508" s="492" t="s">
        <v>399</v>
      </c>
      <c r="K508" s="492" t="s">
        <v>117</v>
      </c>
      <c r="L508" s="492" t="s">
        <v>241</v>
      </c>
      <c r="M508" s="495"/>
      <c r="N508" s="495"/>
      <c r="O508" s="495"/>
      <c r="P508" s="495"/>
      <c r="Q508" s="495"/>
      <c r="R508" s="492" t="s">
        <v>4316</v>
      </c>
      <c r="S508" s="496"/>
      <c r="T508" s="492" t="s">
        <v>117</v>
      </c>
      <c r="U508" s="492" t="s">
        <v>241</v>
      </c>
      <c r="V508" s="492" t="s">
        <v>2922</v>
      </c>
      <c r="W508" s="497">
        <v>45818.0</v>
      </c>
      <c r="X508" s="492" t="s">
        <v>3592</v>
      </c>
      <c r="Y508" s="498" t="s">
        <v>1948</v>
      </c>
      <c r="Z508" s="496"/>
      <c r="AA508" s="496"/>
      <c r="AB508" s="499" t="s">
        <v>316</v>
      </c>
      <c r="AC508" s="496"/>
      <c r="AD508" s="496"/>
      <c r="AE508" s="496"/>
      <c r="AF508" s="500">
        <v>45818.416666666664</v>
      </c>
      <c r="AG508" s="501">
        <v>0.4166666666666667</v>
      </c>
      <c r="AH508" s="500">
        <v>45818.479166666664</v>
      </c>
      <c r="AI508" s="496"/>
      <c r="AJ508" s="502" t="s">
        <v>4317</v>
      </c>
      <c r="AK508" s="496"/>
      <c r="AL508" s="496"/>
      <c r="AM508" s="496"/>
      <c r="AN508" s="496"/>
      <c r="AO508" s="496"/>
      <c r="AP508" s="496"/>
      <c r="AQ508" s="496"/>
      <c r="AR508" s="496"/>
      <c r="AS508" s="496"/>
      <c r="AT508" s="496"/>
    </row>
    <row r="509" ht="16.5" customHeight="1">
      <c r="A509" s="490">
        <v>2020.0</v>
      </c>
      <c r="B509" s="491">
        <v>45813.86568287037</v>
      </c>
      <c r="C509" s="492" t="s">
        <v>2745</v>
      </c>
      <c r="D509" s="490">
        <v>2.000016138E9</v>
      </c>
      <c r="E509" s="492" t="s">
        <v>2746</v>
      </c>
      <c r="F509" s="492">
        <v>8.9676575531E10</v>
      </c>
      <c r="G509" s="492" t="s">
        <v>4318</v>
      </c>
      <c r="H509" s="493">
        <v>45739.0</v>
      </c>
      <c r="I509" s="494">
        <v>45673.0</v>
      </c>
      <c r="J509" s="492" t="s">
        <v>399</v>
      </c>
      <c r="K509" s="492" t="s">
        <v>2916</v>
      </c>
      <c r="L509" s="492" t="s">
        <v>1900</v>
      </c>
      <c r="M509" s="495"/>
      <c r="N509" s="495"/>
      <c r="O509" s="495"/>
      <c r="P509" s="495"/>
      <c r="Q509" s="495"/>
      <c r="R509" s="492" t="s">
        <v>4319</v>
      </c>
      <c r="S509" s="496"/>
      <c r="T509" s="492" t="s">
        <v>2916</v>
      </c>
      <c r="U509" s="492" t="s">
        <v>1900</v>
      </c>
      <c r="V509" s="492" t="s">
        <v>241</v>
      </c>
      <c r="W509" s="497">
        <v>45826.0</v>
      </c>
      <c r="X509" s="492" t="s">
        <v>2492</v>
      </c>
      <c r="Y509" s="498" t="s">
        <v>1948</v>
      </c>
      <c r="Z509" s="496"/>
      <c r="AA509" s="496"/>
      <c r="AB509" s="499" t="s">
        <v>316</v>
      </c>
      <c r="AC509" s="496"/>
      <c r="AD509" s="496"/>
      <c r="AE509" s="496"/>
      <c r="AF509" s="500">
        <v>45826.3125</v>
      </c>
      <c r="AG509" s="501">
        <v>0.3125</v>
      </c>
      <c r="AH509" s="500">
        <v>45826.375</v>
      </c>
      <c r="AI509" s="496"/>
      <c r="AJ509" s="502" t="s">
        <v>4320</v>
      </c>
      <c r="AK509" s="496"/>
      <c r="AL509" s="496"/>
      <c r="AM509" s="496"/>
      <c r="AN509" s="496"/>
      <c r="AO509" s="496"/>
      <c r="AP509" s="496"/>
      <c r="AQ509" s="496"/>
      <c r="AR509" s="496"/>
      <c r="AS509" s="496"/>
      <c r="AT509" s="496"/>
    </row>
    <row r="510" ht="16.5" customHeight="1">
      <c r="A510" s="490">
        <v>2021.0</v>
      </c>
      <c r="B510" s="491">
        <v>45818.38201388889</v>
      </c>
      <c r="C510" s="492" t="s">
        <v>2725</v>
      </c>
      <c r="D510" s="490">
        <v>2.100016016E9</v>
      </c>
      <c r="E510" s="492" t="s">
        <v>2726</v>
      </c>
      <c r="F510" s="492">
        <v>8.2118211033E10</v>
      </c>
      <c r="G510" s="492" t="s">
        <v>4321</v>
      </c>
      <c r="H510" s="493">
        <v>45584.0</v>
      </c>
      <c r="I510" s="494">
        <v>45673.0</v>
      </c>
      <c r="J510" s="492" t="s">
        <v>399</v>
      </c>
      <c r="K510" s="492" t="s">
        <v>2916</v>
      </c>
      <c r="L510" s="492" t="s">
        <v>241</v>
      </c>
      <c r="M510" s="495"/>
      <c r="N510" s="495"/>
      <c r="O510" s="495"/>
      <c r="P510" s="495"/>
      <c r="Q510" s="495"/>
      <c r="R510" s="492" t="s">
        <v>4322</v>
      </c>
      <c r="S510" s="496"/>
      <c r="T510" s="492" t="s">
        <v>2916</v>
      </c>
      <c r="U510" s="492" t="s">
        <v>241</v>
      </c>
      <c r="V510" s="492" t="s">
        <v>117</v>
      </c>
      <c r="W510" s="497">
        <v>45826.0</v>
      </c>
      <c r="X510" s="492" t="s">
        <v>3418</v>
      </c>
      <c r="Y510" s="498" t="s">
        <v>1948</v>
      </c>
      <c r="Z510" s="496"/>
      <c r="AA510" s="496"/>
      <c r="AB510" s="499" t="s">
        <v>316</v>
      </c>
      <c r="AC510" s="496"/>
      <c r="AD510" s="496"/>
      <c r="AE510" s="496"/>
      <c r="AF510" s="500">
        <v>45826.520833333336</v>
      </c>
      <c r="AG510" s="501">
        <v>0.5208333333333334</v>
      </c>
      <c r="AH510" s="500">
        <v>45826.583333333336</v>
      </c>
      <c r="AI510" s="496"/>
      <c r="AJ510" s="502" t="s">
        <v>4323</v>
      </c>
      <c r="AK510" s="496"/>
      <c r="AL510" s="496"/>
      <c r="AM510" s="496"/>
      <c r="AN510" s="496"/>
      <c r="AO510" s="496"/>
      <c r="AP510" s="496"/>
      <c r="AQ510" s="496"/>
      <c r="AR510" s="496"/>
      <c r="AS510" s="496"/>
      <c r="AT510" s="496"/>
    </row>
    <row r="511" ht="16.5" customHeight="1">
      <c r="A511" s="490">
        <v>2019.0</v>
      </c>
      <c r="B511" s="491">
        <v>45819.64884259259</v>
      </c>
      <c r="C511" s="492" t="s">
        <v>4324</v>
      </c>
      <c r="D511" s="490">
        <v>1.900016058E9</v>
      </c>
      <c r="E511" s="492" t="s">
        <v>2455</v>
      </c>
      <c r="F511" s="492">
        <v>8.5643823998E10</v>
      </c>
      <c r="G511" s="492" t="s">
        <v>4325</v>
      </c>
      <c r="H511" s="493">
        <v>45025.0</v>
      </c>
      <c r="I511" s="494">
        <v>45489.0</v>
      </c>
      <c r="J511" s="492" t="s">
        <v>399</v>
      </c>
      <c r="K511" s="492" t="s">
        <v>117</v>
      </c>
      <c r="L511" s="492" t="s">
        <v>1900</v>
      </c>
      <c r="M511" s="495"/>
      <c r="N511" s="495"/>
      <c r="O511" s="495"/>
      <c r="P511" s="495"/>
      <c r="Q511" s="495"/>
      <c r="R511" s="492" t="s">
        <v>4326</v>
      </c>
      <c r="S511" s="496"/>
      <c r="T511" s="492" t="s">
        <v>117</v>
      </c>
      <c r="U511" s="492" t="s">
        <v>1900</v>
      </c>
      <c r="V511" s="492" t="s">
        <v>2922</v>
      </c>
      <c r="W511" s="497">
        <v>45825.0</v>
      </c>
      <c r="X511" s="492" t="s">
        <v>4327</v>
      </c>
      <c r="Y511" s="498" t="s">
        <v>1948</v>
      </c>
      <c r="Z511" s="496"/>
      <c r="AA511" s="496"/>
      <c r="AB511" s="499" t="s">
        <v>316</v>
      </c>
      <c r="AC511" s="496"/>
      <c r="AD511" s="496"/>
      <c r="AE511" s="496"/>
      <c r="AF511" s="500">
        <v>45825.416666666664</v>
      </c>
      <c r="AG511" s="501">
        <v>0.4166666666666667</v>
      </c>
      <c r="AH511" s="500">
        <v>45825.479166666664</v>
      </c>
      <c r="AI511" s="496"/>
      <c r="AJ511" s="502" t="s">
        <v>4328</v>
      </c>
      <c r="AK511" s="496"/>
      <c r="AL511" s="496"/>
      <c r="AM511" s="496"/>
      <c r="AN511" s="496"/>
      <c r="AO511" s="496"/>
      <c r="AP511" s="496"/>
      <c r="AQ511" s="496"/>
      <c r="AR511" s="496"/>
      <c r="AS511" s="496"/>
      <c r="AT511" s="496"/>
    </row>
    <row r="512" ht="16.5" customHeight="1">
      <c r="A512" s="490">
        <v>2019.0</v>
      </c>
      <c r="B512" s="491">
        <v>45820.675775462965</v>
      </c>
      <c r="C512" s="492" t="s">
        <v>1809</v>
      </c>
      <c r="D512" s="490">
        <v>1.900016037E9</v>
      </c>
      <c r="E512" s="492" t="s">
        <v>1810</v>
      </c>
      <c r="F512" s="492">
        <v>8.2342042271E10</v>
      </c>
      <c r="G512" s="492" t="s">
        <v>4329</v>
      </c>
      <c r="H512" s="493">
        <v>45272.0</v>
      </c>
      <c r="I512" s="494">
        <v>45247.0</v>
      </c>
      <c r="J512" s="492" t="s">
        <v>399</v>
      </c>
      <c r="K512" s="492" t="s">
        <v>2922</v>
      </c>
      <c r="L512" s="492" t="s">
        <v>117</v>
      </c>
      <c r="M512" s="495"/>
      <c r="N512" s="495"/>
      <c r="O512" s="495"/>
      <c r="P512" s="495"/>
      <c r="Q512" s="495"/>
      <c r="R512" s="492" t="s">
        <v>4330</v>
      </c>
      <c r="S512" s="496"/>
      <c r="T512" s="492" t="s">
        <v>2922</v>
      </c>
      <c r="U512" s="492" t="s">
        <v>117</v>
      </c>
      <c r="V512" s="492" t="s">
        <v>39</v>
      </c>
      <c r="W512" s="497">
        <v>45827.0</v>
      </c>
      <c r="X512" s="492" t="s">
        <v>3468</v>
      </c>
      <c r="Y512" s="498" t="s">
        <v>1948</v>
      </c>
      <c r="Z512" s="496"/>
      <c r="AA512" s="496"/>
      <c r="AB512" s="499" t="s">
        <v>316</v>
      </c>
      <c r="AC512" s="496"/>
      <c r="AD512" s="496"/>
      <c r="AE512" s="496"/>
      <c r="AF512" s="500">
        <v>45827.541666666664</v>
      </c>
      <c r="AG512" s="501">
        <v>0.5416666666666666</v>
      </c>
      <c r="AH512" s="500">
        <v>45827.604166666664</v>
      </c>
      <c r="AI512" s="496"/>
      <c r="AJ512" s="502" t="s">
        <v>4331</v>
      </c>
      <c r="AK512" s="496"/>
      <c r="AL512" s="496"/>
      <c r="AM512" s="496"/>
      <c r="AN512" s="496"/>
      <c r="AO512" s="496"/>
      <c r="AP512" s="496"/>
      <c r="AQ512" s="496"/>
      <c r="AR512" s="496"/>
      <c r="AS512" s="496"/>
      <c r="AT512" s="496"/>
    </row>
    <row r="513" ht="16.5" customHeight="1">
      <c r="A513" s="54"/>
      <c r="B513" s="504">
        <v>45825.49222222222</v>
      </c>
      <c r="C513" s="60" t="s">
        <v>2219</v>
      </c>
      <c r="D513" s="47">
        <v>2.000016026E9</v>
      </c>
      <c r="E513" s="60" t="s">
        <v>2220</v>
      </c>
      <c r="F513" s="60">
        <v>8.1277857566E10</v>
      </c>
      <c r="G513" s="60" t="s">
        <v>4332</v>
      </c>
      <c r="H513" s="505">
        <v>45271.0</v>
      </c>
      <c r="I513" s="506">
        <v>45313.0</v>
      </c>
      <c r="J513" s="60" t="s">
        <v>399</v>
      </c>
      <c r="K513" s="60" t="s">
        <v>117</v>
      </c>
      <c r="L513" s="60" t="s">
        <v>2617</v>
      </c>
      <c r="M513" s="507"/>
      <c r="N513" s="507"/>
      <c r="O513" s="507"/>
      <c r="P513" s="507"/>
      <c r="Q513" s="507"/>
      <c r="R513" s="60" t="s">
        <v>4333</v>
      </c>
      <c r="S513" s="54"/>
      <c r="T513" s="54"/>
      <c r="U513" s="54"/>
      <c r="V513" s="54"/>
      <c r="W513" s="54"/>
      <c r="X513" s="54"/>
      <c r="Y513" s="350"/>
      <c r="Z513" s="54"/>
      <c r="AA513" s="54"/>
      <c r="AB513" s="54"/>
      <c r="AC513" s="54"/>
      <c r="AD513" s="54"/>
      <c r="AE513" s="54"/>
      <c r="AF513" s="508">
        <v>0.0</v>
      </c>
      <c r="AG513" s="502">
        <v>0.0</v>
      </c>
      <c r="AH513" s="500">
        <v>0.0625</v>
      </c>
      <c r="AI513" s="496"/>
      <c r="AJ513" s="509"/>
      <c r="AK513" s="54"/>
      <c r="AL513" s="54"/>
      <c r="AM513" s="54"/>
      <c r="AN513" s="54"/>
      <c r="AO513" s="54"/>
      <c r="AP513" s="54"/>
      <c r="AQ513" s="54"/>
      <c r="AR513" s="54"/>
      <c r="AS513" s="54"/>
      <c r="AT513" s="54"/>
    </row>
    <row r="514" ht="16.5" customHeight="1">
      <c r="A514" s="54"/>
      <c r="B514" s="504">
        <v>45825.74153935185</v>
      </c>
      <c r="C514" s="60" t="s">
        <v>2571</v>
      </c>
      <c r="D514" s="47">
        <v>2.115016108E9</v>
      </c>
      <c r="E514" s="60" t="s">
        <v>2572</v>
      </c>
      <c r="F514" s="60">
        <v>8.1359216755E10</v>
      </c>
      <c r="G514" s="60" t="s">
        <v>4334</v>
      </c>
      <c r="H514" s="505">
        <v>45566.0</v>
      </c>
      <c r="I514" s="506">
        <v>45642.0</v>
      </c>
      <c r="J514" s="60" t="s">
        <v>399</v>
      </c>
      <c r="K514" s="60" t="s">
        <v>747</v>
      </c>
      <c r="L514" s="60" t="s">
        <v>2922</v>
      </c>
      <c r="M514" s="507"/>
      <c r="N514" s="507"/>
      <c r="O514" s="507"/>
      <c r="P514" s="507"/>
      <c r="Q514" s="507"/>
      <c r="R514" s="60" t="s">
        <v>4335</v>
      </c>
      <c r="S514" s="54"/>
      <c r="T514" s="54"/>
      <c r="U514" s="54"/>
      <c r="V514" s="54"/>
      <c r="W514" s="54"/>
      <c r="X514" s="54"/>
      <c r="Y514" s="350"/>
      <c r="Z514" s="54"/>
      <c r="AA514" s="54"/>
      <c r="AB514" s="54"/>
      <c r="AC514" s="54"/>
      <c r="AD514" s="54"/>
      <c r="AE514" s="54"/>
      <c r="AF514" s="508">
        <v>0.0</v>
      </c>
      <c r="AG514" s="502">
        <v>0.0</v>
      </c>
      <c r="AH514" s="500">
        <v>0.0625</v>
      </c>
      <c r="AI514" s="496"/>
      <c r="AJ514" s="509"/>
      <c r="AK514" s="54"/>
      <c r="AL514" s="54"/>
      <c r="AM514" s="54"/>
      <c r="AN514" s="54"/>
      <c r="AO514" s="54"/>
      <c r="AP514" s="54"/>
      <c r="AQ514" s="54"/>
      <c r="AR514" s="54"/>
      <c r="AS514" s="54"/>
      <c r="AT514" s="54"/>
    </row>
    <row r="515" ht="16.5" customHeight="1">
      <c r="A515" s="54"/>
      <c r="B515" s="504">
        <v>45826.9809375</v>
      </c>
      <c r="C515" s="60" t="s">
        <v>2364</v>
      </c>
      <c r="D515" s="47">
        <v>1.900016081E9</v>
      </c>
      <c r="E515" s="60" t="s">
        <v>2365</v>
      </c>
      <c r="F515" s="60">
        <v>8.1578878839E10</v>
      </c>
      <c r="G515" s="60" t="s">
        <v>4336</v>
      </c>
      <c r="H515" s="505">
        <v>45660.0</v>
      </c>
      <c r="I515" s="506">
        <v>45334.0</v>
      </c>
      <c r="J515" s="60" t="s">
        <v>399</v>
      </c>
      <c r="K515" s="60" t="s">
        <v>2916</v>
      </c>
      <c r="L515" s="60" t="s">
        <v>241</v>
      </c>
      <c r="M515" s="507"/>
      <c r="N515" s="507"/>
      <c r="O515" s="507"/>
      <c r="P515" s="507"/>
      <c r="Q515" s="507"/>
      <c r="R515" s="60" t="s">
        <v>4337</v>
      </c>
      <c r="S515" s="54"/>
      <c r="T515" s="54"/>
      <c r="U515" s="54"/>
      <c r="V515" s="54"/>
      <c r="W515" s="54"/>
      <c r="X515" s="54"/>
      <c r="Y515" s="350"/>
      <c r="Z515" s="54"/>
      <c r="AA515" s="54"/>
      <c r="AB515" s="54"/>
      <c r="AC515" s="54"/>
      <c r="AD515" s="54"/>
      <c r="AE515" s="54"/>
      <c r="AF515" s="508">
        <v>0.0</v>
      </c>
      <c r="AG515" s="502">
        <v>0.0</v>
      </c>
      <c r="AH515" s="500">
        <v>0.0625</v>
      </c>
      <c r="AI515" s="496"/>
      <c r="AJ515" s="509"/>
      <c r="AK515" s="54"/>
      <c r="AL515" s="54"/>
      <c r="AM515" s="54"/>
      <c r="AN515" s="54"/>
      <c r="AO515" s="54"/>
      <c r="AP515" s="54"/>
      <c r="AQ515" s="54"/>
      <c r="AR515" s="54"/>
      <c r="AS515" s="54"/>
      <c r="AT515" s="54"/>
    </row>
    <row r="516" ht="16.5" customHeight="1">
      <c r="A516" s="54"/>
      <c r="B516" s="504">
        <v>45827.62923611111</v>
      </c>
      <c r="C516" s="60" t="s">
        <v>2693</v>
      </c>
      <c r="D516" s="47">
        <v>2.100016096E9</v>
      </c>
      <c r="E516" s="60" t="s">
        <v>2694</v>
      </c>
      <c r="F516" s="60">
        <v>8.95355547722E11</v>
      </c>
      <c r="G516" s="60" t="s">
        <v>2696</v>
      </c>
      <c r="H516" s="505">
        <v>45672.0</v>
      </c>
      <c r="I516" s="506">
        <v>45671.0</v>
      </c>
      <c r="J516" s="60" t="s">
        <v>399</v>
      </c>
      <c r="K516" s="60" t="s">
        <v>1900</v>
      </c>
      <c r="L516" s="60" t="s">
        <v>2922</v>
      </c>
      <c r="M516" s="507"/>
      <c r="N516" s="507"/>
      <c r="O516" s="507"/>
      <c r="P516" s="507"/>
      <c r="Q516" s="507"/>
      <c r="R516" s="60" t="s">
        <v>4338</v>
      </c>
      <c r="S516" s="54"/>
      <c r="T516" s="54"/>
      <c r="U516" s="54"/>
      <c r="V516" s="54"/>
      <c r="W516" s="54"/>
      <c r="X516" s="54"/>
      <c r="Y516" s="350"/>
      <c r="Z516" s="54"/>
      <c r="AA516" s="54"/>
      <c r="AB516" s="54"/>
      <c r="AC516" s="54"/>
      <c r="AD516" s="54"/>
      <c r="AE516" s="54"/>
      <c r="AF516" s="508">
        <v>0.0</v>
      </c>
      <c r="AG516" s="502">
        <v>0.0</v>
      </c>
      <c r="AH516" s="500">
        <v>0.0625</v>
      </c>
      <c r="AI516" s="496"/>
      <c r="AJ516" s="509"/>
      <c r="AK516" s="54"/>
      <c r="AL516" s="54"/>
      <c r="AM516" s="54"/>
      <c r="AN516" s="54"/>
      <c r="AO516" s="54"/>
      <c r="AP516" s="54"/>
      <c r="AQ516" s="54"/>
      <c r="AR516" s="54"/>
      <c r="AS516" s="54"/>
      <c r="AT516" s="54"/>
    </row>
    <row r="517" ht="16.5" customHeight="1">
      <c r="A517" s="54"/>
      <c r="B517" s="504">
        <v>45828.1762962963</v>
      </c>
      <c r="C517" s="60" t="s">
        <v>2764</v>
      </c>
      <c r="D517" s="47">
        <v>2.100016008E9</v>
      </c>
      <c r="E517" s="60" t="s">
        <v>2765</v>
      </c>
      <c r="F517" s="60">
        <v>8.2186069178E10</v>
      </c>
      <c r="G517" s="60" t="s">
        <v>4339</v>
      </c>
      <c r="H517" s="505">
        <v>45597.0</v>
      </c>
      <c r="I517" s="506">
        <v>45677.0</v>
      </c>
      <c r="J517" s="60" t="s">
        <v>399</v>
      </c>
      <c r="K517" s="60" t="s">
        <v>1900</v>
      </c>
      <c r="L517" s="60" t="s">
        <v>2922</v>
      </c>
      <c r="M517" s="507"/>
      <c r="N517" s="507"/>
      <c r="O517" s="507"/>
      <c r="P517" s="507"/>
      <c r="Q517" s="507"/>
      <c r="R517" s="60" t="s">
        <v>4340</v>
      </c>
      <c r="S517" s="54"/>
      <c r="T517" s="54"/>
      <c r="U517" s="54"/>
      <c r="V517" s="54"/>
      <c r="W517" s="54"/>
      <c r="X517" s="54"/>
      <c r="Y517" s="350"/>
      <c r="Z517" s="54"/>
      <c r="AA517" s="54"/>
      <c r="AB517" s="54"/>
      <c r="AC517" s="54"/>
      <c r="AD517" s="54"/>
      <c r="AE517" s="54"/>
      <c r="AF517" s="508">
        <v>0.0</v>
      </c>
      <c r="AG517" s="502">
        <v>0.0</v>
      </c>
      <c r="AH517" s="500">
        <v>0.0625</v>
      </c>
      <c r="AI517" s="496"/>
      <c r="AJ517" s="509"/>
      <c r="AK517" s="54"/>
      <c r="AL517" s="54"/>
      <c r="AM517" s="54"/>
      <c r="AN517" s="54"/>
      <c r="AO517" s="54"/>
      <c r="AP517" s="54"/>
      <c r="AQ517" s="54"/>
      <c r="AR517" s="54"/>
      <c r="AS517" s="54"/>
      <c r="AT517" s="54"/>
    </row>
    <row r="518" ht="16.5" customHeight="1">
      <c r="A518" s="54"/>
      <c r="B518" s="504">
        <v>45827.60664351852</v>
      </c>
      <c r="C518" s="60" t="s">
        <v>4341</v>
      </c>
      <c r="D518" s="47">
        <v>1.800016089E9</v>
      </c>
      <c r="E518" s="60" t="s">
        <v>2924</v>
      </c>
      <c r="F518" s="60">
        <v>8.5821213735E10</v>
      </c>
      <c r="G518" s="60" t="s">
        <v>2926</v>
      </c>
      <c r="H518" s="505">
        <v>45714.0</v>
      </c>
      <c r="I518" s="506">
        <v>45779.0</v>
      </c>
      <c r="J518" s="60" t="s">
        <v>399</v>
      </c>
      <c r="K518" s="60" t="s">
        <v>2916</v>
      </c>
      <c r="L518" s="60" t="s">
        <v>2922</v>
      </c>
      <c r="M518" s="507"/>
      <c r="N518" s="507"/>
      <c r="O518" s="507"/>
      <c r="P518" s="507"/>
      <c r="Q518" s="507"/>
      <c r="R518" s="60" t="s">
        <v>4342</v>
      </c>
      <c r="S518" s="54"/>
      <c r="T518" s="54"/>
      <c r="U518" s="54"/>
      <c r="V518" s="54"/>
      <c r="W518" s="54"/>
      <c r="X518" s="54"/>
      <c r="Y518" s="350"/>
      <c r="Z518" s="54"/>
      <c r="AA518" s="54"/>
      <c r="AB518" s="54"/>
      <c r="AC518" s="54"/>
      <c r="AD518" s="54"/>
      <c r="AE518" s="54"/>
      <c r="AF518" s="508">
        <v>0.0</v>
      </c>
      <c r="AG518" s="502">
        <v>0.0</v>
      </c>
      <c r="AH518" s="500">
        <v>0.0625</v>
      </c>
      <c r="AI518" s="496"/>
      <c r="AJ518" s="509"/>
      <c r="AK518" s="54"/>
      <c r="AL518" s="54"/>
      <c r="AM518" s="54"/>
      <c r="AN518" s="54"/>
      <c r="AO518" s="54"/>
      <c r="AP518" s="54"/>
      <c r="AQ518" s="54"/>
      <c r="AR518" s="54"/>
      <c r="AS518" s="54"/>
      <c r="AT518" s="54"/>
    </row>
    <row r="519" ht="16.5" customHeight="1">
      <c r="A519" s="54"/>
      <c r="B519" s="504">
        <v>45835.523206018515</v>
      </c>
      <c r="C519" s="60" t="s">
        <v>2759</v>
      </c>
      <c r="D519" s="47">
        <v>2.100016088E9</v>
      </c>
      <c r="E519" s="60" t="s">
        <v>2760</v>
      </c>
      <c r="F519" s="60">
        <v>8.7874442693E10</v>
      </c>
      <c r="G519" s="60" t="s">
        <v>2762</v>
      </c>
      <c r="H519" s="505">
        <v>45551.0</v>
      </c>
      <c r="I519" s="506">
        <v>45679.0</v>
      </c>
      <c r="J519" s="60" t="s">
        <v>399</v>
      </c>
      <c r="K519" s="60" t="s">
        <v>747</v>
      </c>
      <c r="L519" s="60" t="s">
        <v>1900</v>
      </c>
      <c r="M519" s="507"/>
      <c r="N519" s="507"/>
      <c r="O519" s="507"/>
      <c r="P519" s="507"/>
      <c r="Q519" s="507"/>
      <c r="R519" s="60" t="s">
        <v>4343</v>
      </c>
      <c r="S519" s="54"/>
      <c r="T519" s="54"/>
      <c r="U519" s="54"/>
      <c r="V519" s="54"/>
      <c r="W519" s="54"/>
      <c r="X519" s="54"/>
      <c r="Y519" s="350"/>
      <c r="Z519" s="54"/>
      <c r="AA519" s="54"/>
      <c r="AB519" s="54"/>
      <c r="AC519" s="54"/>
      <c r="AD519" s="54"/>
      <c r="AE519" s="54"/>
      <c r="AF519" s="508">
        <v>0.0</v>
      </c>
      <c r="AG519" s="502">
        <v>0.0</v>
      </c>
      <c r="AH519" s="500">
        <v>0.0625</v>
      </c>
      <c r="AI519" s="496"/>
      <c r="AJ519" s="509"/>
      <c r="AK519" s="54"/>
      <c r="AL519" s="54"/>
      <c r="AM519" s="54"/>
      <c r="AN519" s="54"/>
      <c r="AO519" s="54"/>
      <c r="AP519" s="54"/>
      <c r="AQ519" s="54"/>
      <c r="AR519" s="54"/>
      <c r="AS519" s="54"/>
      <c r="AT519" s="54"/>
    </row>
    <row r="520" ht="16.5" customHeight="1">
      <c r="A520" s="54"/>
      <c r="B520" s="504">
        <v>45835.52885416667</v>
      </c>
      <c r="C520" s="60" t="s">
        <v>2673</v>
      </c>
      <c r="D520" s="47">
        <v>2.100016126E9</v>
      </c>
      <c r="E520" s="60" t="s">
        <v>2674</v>
      </c>
      <c r="F520" s="60">
        <v>8.1391639636E10</v>
      </c>
      <c r="G520" s="60" t="s">
        <v>4344</v>
      </c>
      <c r="H520" s="505">
        <v>45551.0</v>
      </c>
      <c r="I520" s="506">
        <v>45668.0</v>
      </c>
      <c r="J520" s="60" t="s">
        <v>399</v>
      </c>
      <c r="K520" s="60" t="s">
        <v>183</v>
      </c>
      <c r="L520" s="60" t="s">
        <v>230</v>
      </c>
      <c r="M520" s="507"/>
      <c r="N520" s="507"/>
      <c r="O520" s="507"/>
      <c r="P520" s="507"/>
      <c r="Q520" s="507"/>
      <c r="R520" s="60" t="s">
        <v>4345</v>
      </c>
      <c r="S520" s="54"/>
      <c r="T520" s="54"/>
      <c r="U520" s="54"/>
      <c r="V520" s="54"/>
      <c r="W520" s="54"/>
      <c r="X520" s="54"/>
      <c r="Y520" s="350"/>
      <c r="Z520" s="54"/>
      <c r="AA520" s="54"/>
      <c r="AB520" s="54"/>
      <c r="AC520" s="54"/>
      <c r="AD520" s="54"/>
      <c r="AE520" s="54"/>
      <c r="AF520" s="508">
        <v>0.0</v>
      </c>
      <c r="AG520" s="502">
        <v>0.0</v>
      </c>
      <c r="AH520" s="500">
        <v>0.0625</v>
      </c>
      <c r="AI520" s="496"/>
      <c r="AJ520" s="509"/>
      <c r="AK520" s="54"/>
      <c r="AL520" s="54"/>
      <c r="AM520" s="54"/>
      <c r="AN520" s="54"/>
      <c r="AO520" s="54"/>
      <c r="AP520" s="54"/>
      <c r="AQ520" s="54"/>
      <c r="AR520" s="54"/>
      <c r="AS520" s="54"/>
      <c r="AT520" s="54"/>
    </row>
    <row r="521" ht="16.5" customHeight="1">
      <c r="A521" s="54"/>
      <c r="B521" s="504">
        <v>45838.6253125</v>
      </c>
      <c r="C521" s="60" t="s">
        <v>2596</v>
      </c>
      <c r="D521" s="47">
        <v>2.111016057E9</v>
      </c>
      <c r="E521" s="60" t="s">
        <v>2597</v>
      </c>
      <c r="F521" s="60">
        <v>8.7839599254E10</v>
      </c>
      <c r="G521" s="60" t="s">
        <v>2599</v>
      </c>
      <c r="H521" s="505">
        <v>45687.0</v>
      </c>
      <c r="I521" s="506">
        <v>45663.0</v>
      </c>
      <c r="J521" s="60" t="s">
        <v>399</v>
      </c>
      <c r="K521" s="60" t="s">
        <v>1900</v>
      </c>
      <c r="L521" s="60" t="s">
        <v>2922</v>
      </c>
      <c r="M521" s="507"/>
      <c r="N521" s="507"/>
      <c r="O521" s="507"/>
      <c r="P521" s="507"/>
      <c r="Q521" s="507"/>
      <c r="R521" s="60" t="s">
        <v>4346</v>
      </c>
      <c r="S521" s="54"/>
      <c r="T521" s="54"/>
      <c r="U521" s="54"/>
      <c r="V521" s="54"/>
      <c r="W521" s="54"/>
      <c r="X521" s="54"/>
      <c r="Y521" s="350"/>
      <c r="Z521" s="54"/>
      <c r="AA521" s="54"/>
      <c r="AB521" s="54"/>
      <c r="AC521" s="54"/>
      <c r="AD521" s="54"/>
      <c r="AE521" s="54"/>
      <c r="AF521" s="508">
        <v>0.0</v>
      </c>
      <c r="AG521" s="502">
        <v>0.0</v>
      </c>
      <c r="AH521" s="500">
        <v>0.0625</v>
      </c>
      <c r="AI521" s="496"/>
      <c r="AJ521" s="509"/>
      <c r="AK521" s="54"/>
      <c r="AL521" s="54"/>
      <c r="AM521" s="54"/>
      <c r="AN521" s="54"/>
      <c r="AO521" s="54"/>
      <c r="AP521" s="54"/>
      <c r="AQ521" s="54"/>
      <c r="AR521" s="54"/>
      <c r="AS521" s="54"/>
      <c r="AT521" s="54"/>
    </row>
    <row r="522" ht="16.5" customHeight="1">
      <c r="A522" s="54"/>
      <c r="B522" s="504">
        <v>45840.53655092593</v>
      </c>
      <c r="C522" s="60" t="s">
        <v>2528</v>
      </c>
      <c r="D522" s="47">
        <v>1.800016057E9</v>
      </c>
      <c r="E522" s="60" t="s">
        <v>2529</v>
      </c>
      <c r="F522" s="60" t="s">
        <v>4347</v>
      </c>
      <c r="G522" s="60" t="s">
        <v>2531</v>
      </c>
      <c r="H522" s="505">
        <v>45566.0</v>
      </c>
      <c r="I522" s="506">
        <v>45646.0</v>
      </c>
      <c r="J522" s="60" t="s">
        <v>399</v>
      </c>
      <c r="K522" s="60" t="s">
        <v>241</v>
      </c>
      <c r="L522" s="60" t="s">
        <v>1900</v>
      </c>
      <c r="M522" s="507"/>
      <c r="N522" s="507"/>
      <c r="O522" s="507"/>
      <c r="P522" s="507"/>
      <c r="Q522" s="507"/>
      <c r="R522" s="60" t="s">
        <v>4348</v>
      </c>
      <c r="S522" s="54"/>
      <c r="T522" s="54"/>
      <c r="U522" s="54"/>
      <c r="V522" s="54"/>
      <c r="W522" s="54"/>
      <c r="X522" s="54"/>
      <c r="Y522" s="350"/>
      <c r="Z522" s="54"/>
      <c r="AA522" s="54"/>
      <c r="AB522" s="54"/>
      <c r="AC522" s="54"/>
      <c r="AD522" s="54"/>
      <c r="AE522" s="54"/>
      <c r="AF522" s="508">
        <v>0.0</v>
      </c>
      <c r="AG522" s="502">
        <v>0.0</v>
      </c>
      <c r="AH522" s="500">
        <v>0.0625</v>
      </c>
      <c r="AI522" s="496"/>
      <c r="AJ522" s="509"/>
      <c r="AK522" s="54"/>
      <c r="AL522" s="54"/>
      <c r="AM522" s="54"/>
      <c r="AN522" s="54"/>
      <c r="AO522" s="54"/>
      <c r="AP522" s="54"/>
      <c r="AQ522" s="54"/>
      <c r="AR522" s="54"/>
      <c r="AS522" s="54"/>
      <c r="AT522" s="54"/>
    </row>
    <row r="523" ht="16.5" customHeight="1">
      <c r="A523" s="54"/>
      <c r="B523" s="504">
        <v>45840.91552083333</v>
      </c>
      <c r="C523" s="60" t="s">
        <v>2421</v>
      </c>
      <c r="D523" s="47">
        <v>2.000016053E9</v>
      </c>
      <c r="E523" s="60" t="s">
        <v>2422</v>
      </c>
      <c r="F523" s="60">
        <v>8.1383627496E10</v>
      </c>
      <c r="G523" s="60" t="s">
        <v>2424</v>
      </c>
      <c r="H523" s="505">
        <v>45400.0</v>
      </c>
      <c r="I523" s="506">
        <v>45468.0</v>
      </c>
      <c r="J523" s="60" t="s">
        <v>399</v>
      </c>
      <c r="K523" s="60" t="s">
        <v>230</v>
      </c>
      <c r="L523" s="60" t="s">
        <v>241</v>
      </c>
      <c r="M523" s="507"/>
      <c r="N523" s="507"/>
      <c r="O523" s="507"/>
      <c r="P523" s="507"/>
      <c r="Q523" s="507"/>
      <c r="R523" s="60" t="s">
        <v>4349</v>
      </c>
      <c r="S523" s="54"/>
      <c r="T523" s="54"/>
      <c r="U523" s="54"/>
      <c r="V523" s="54"/>
      <c r="W523" s="54"/>
      <c r="X523" s="54"/>
      <c r="Y523" s="350"/>
      <c r="Z523" s="54"/>
      <c r="AA523" s="54"/>
      <c r="AB523" s="54"/>
      <c r="AC523" s="54"/>
      <c r="AD523" s="54"/>
      <c r="AE523" s="54"/>
      <c r="AF523" s="508">
        <v>0.0</v>
      </c>
      <c r="AG523" s="502">
        <v>0.0</v>
      </c>
      <c r="AH523" s="500">
        <v>0.0625</v>
      </c>
      <c r="AI523" s="496"/>
      <c r="AJ523" s="509"/>
      <c r="AK523" s="54"/>
      <c r="AL523" s="54"/>
      <c r="AM523" s="54"/>
      <c r="AN523" s="54"/>
      <c r="AO523" s="54"/>
      <c r="AP523" s="54"/>
      <c r="AQ523" s="54"/>
      <c r="AR523" s="54"/>
      <c r="AS523" s="54"/>
      <c r="AT523" s="54"/>
    </row>
    <row r="524" ht="16.5" customHeight="1">
      <c r="A524" s="54"/>
      <c r="B524" s="504">
        <v>45842.60238425926</v>
      </c>
      <c r="C524" s="60" t="s">
        <v>4350</v>
      </c>
      <c r="D524" s="47">
        <v>2.000016142E9</v>
      </c>
      <c r="E524" s="60" t="s">
        <v>2477</v>
      </c>
      <c r="F524" s="60">
        <v>8.3150109354E10</v>
      </c>
      <c r="G524" s="60" t="s">
        <v>4351</v>
      </c>
      <c r="H524" s="505">
        <v>45278.0</v>
      </c>
      <c r="I524" s="506">
        <v>45525.0</v>
      </c>
      <c r="J524" s="60" t="s">
        <v>399</v>
      </c>
      <c r="K524" s="60" t="s">
        <v>2922</v>
      </c>
      <c r="L524" s="60" t="s">
        <v>183</v>
      </c>
      <c r="M524" s="507"/>
      <c r="N524" s="507"/>
      <c r="O524" s="507"/>
      <c r="P524" s="507"/>
      <c r="Q524" s="507"/>
      <c r="R524" s="60" t="s">
        <v>4352</v>
      </c>
      <c r="S524" s="54"/>
      <c r="T524" s="54"/>
      <c r="U524" s="54"/>
      <c r="V524" s="54"/>
      <c r="W524" s="54"/>
      <c r="X524" s="54"/>
      <c r="Y524" s="350"/>
      <c r="Z524" s="54"/>
      <c r="AA524" s="54"/>
      <c r="AB524" s="54"/>
      <c r="AC524" s="54"/>
      <c r="AD524" s="54"/>
      <c r="AE524" s="54"/>
      <c r="AF524" s="508">
        <v>0.0</v>
      </c>
      <c r="AG524" s="502">
        <v>0.0</v>
      </c>
      <c r="AH524" s="500">
        <v>0.0625</v>
      </c>
      <c r="AI524" s="496"/>
      <c r="AJ524" s="509"/>
      <c r="AK524" s="54"/>
      <c r="AL524" s="54"/>
      <c r="AM524" s="54"/>
      <c r="AN524" s="54"/>
      <c r="AO524" s="54"/>
      <c r="AP524" s="54"/>
      <c r="AQ524" s="54"/>
      <c r="AR524" s="54"/>
      <c r="AS524" s="54"/>
      <c r="AT524" s="54"/>
    </row>
    <row r="525" ht="16.5" customHeight="1">
      <c r="A525" s="54"/>
      <c r="B525" s="504">
        <v>45843.46733796296</v>
      </c>
      <c r="C525" s="60" t="s">
        <v>2856</v>
      </c>
      <c r="D525" s="47">
        <v>2.100016075E9</v>
      </c>
      <c r="E525" s="60" t="s">
        <v>2857</v>
      </c>
      <c r="F525" s="60">
        <v>8.3843710698E10</v>
      </c>
      <c r="G525" s="60" t="s">
        <v>4353</v>
      </c>
      <c r="H525" s="505">
        <v>45566.0</v>
      </c>
      <c r="I525" s="506">
        <v>45679.0</v>
      </c>
      <c r="J525" s="60" t="s">
        <v>399</v>
      </c>
      <c r="K525" s="60" t="s">
        <v>747</v>
      </c>
      <c r="L525" s="60" t="s">
        <v>183</v>
      </c>
      <c r="M525" s="507"/>
      <c r="N525" s="507"/>
      <c r="O525" s="507"/>
      <c r="P525" s="507"/>
      <c r="Q525" s="507"/>
      <c r="R525" s="60" t="s">
        <v>4354</v>
      </c>
      <c r="S525" s="54"/>
      <c r="T525" s="54"/>
      <c r="U525" s="54"/>
      <c r="V525" s="54"/>
      <c r="W525" s="54"/>
      <c r="X525" s="54"/>
      <c r="Y525" s="350"/>
      <c r="Z525" s="54"/>
      <c r="AA525" s="54"/>
      <c r="AB525" s="54"/>
      <c r="AC525" s="54"/>
      <c r="AD525" s="54"/>
      <c r="AE525" s="54"/>
      <c r="AF525" s="508">
        <v>0.0</v>
      </c>
      <c r="AG525" s="502">
        <v>0.0</v>
      </c>
      <c r="AH525" s="500">
        <v>0.0625</v>
      </c>
      <c r="AI525" s="496"/>
      <c r="AJ525" s="509"/>
      <c r="AK525" s="54"/>
      <c r="AL525" s="54"/>
      <c r="AM525" s="54"/>
      <c r="AN525" s="54"/>
      <c r="AO525" s="54"/>
      <c r="AP525" s="54"/>
      <c r="AQ525" s="54"/>
      <c r="AR525" s="54"/>
      <c r="AS525" s="54"/>
      <c r="AT525" s="54"/>
    </row>
    <row r="526" ht="16.5" customHeight="1">
      <c r="A526" s="54"/>
      <c r="B526" s="504">
        <v>45843.472905092596</v>
      </c>
      <c r="C526" s="60" t="s">
        <v>2768</v>
      </c>
      <c r="D526" s="47">
        <v>2.10001612E9</v>
      </c>
      <c r="E526" s="60" t="s">
        <v>2769</v>
      </c>
      <c r="F526" s="60">
        <v>8.5921048716E10</v>
      </c>
      <c r="G526" s="60" t="s">
        <v>2771</v>
      </c>
      <c r="H526" s="505">
        <v>45573.0</v>
      </c>
      <c r="I526" s="506">
        <v>45682.0</v>
      </c>
      <c r="J526" s="60" t="s">
        <v>399</v>
      </c>
      <c r="K526" s="60" t="s">
        <v>747</v>
      </c>
      <c r="L526" s="60" t="s">
        <v>117</v>
      </c>
      <c r="M526" s="507"/>
      <c r="N526" s="507"/>
      <c r="O526" s="507"/>
      <c r="P526" s="507"/>
      <c r="Q526" s="507"/>
      <c r="R526" s="60" t="s">
        <v>4355</v>
      </c>
      <c r="S526" s="54"/>
      <c r="T526" s="54"/>
      <c r="U526" s="54"/>
      <c r="V526" s="54"/>
      <c r="W526" s="54"/>
      <c r="X526" s="54"/>
      <c r="Y526" s="350"/>
      <c r="Z526" s="54"/>
      <c r="AA526" s="54"/>
      <c r="AB526" s="54"/>
      <c r="AC526" s="54"/>
      <c r="AD526" s="54"/>
      <c r="AE526" s="54"/>
      <c r="AF526" s="54"/>
      <c r="AG526" s="54"/>
      <c r="AH526" s="54"/>
      <c r="AI526" s="54"/>
      <c r="AJ526" s="54"/>
      <c r="AK526" s="54"/>
      <c r="AL526" s="54"/>
      <c r="AM526" s="54"/>
      <c r="AN526" s="54"/>
      <c r="AO526" s="54"/>
      <c r="AP526" s="54"/>
      <c r="AQ526" s="54"/>
      <c r="AR526" s="54"/>
      <c r="AS526" s="54"/>
      <c r="AT526" s="54"/>
    </row>
    <row r="527" ht="16.5" customHeight="1">
      <c r="A527" s="54"/>
      <c r="B527" s="504">
        <v>45843.66918981481</v>
      </c>
      <c r="C527" s="60" t="s">
        <v>1731</v>
      </c>
      <c r="D527" s="47">
        <v>1.800016079E9</v>
      </c>
      <c r="E527" s="60" t="s">
        <v>1732</v>
      </c>
      <c r="F527" s="60">
        <v>8.1225195778E10</v>
      </c>
      <c r="G527" s="60" t="s">
        <v>4356</v>
      </c>
      <c r="H527" s="505">
        <v>45187.0</v>
      </c>
      <c r="I527" s="506">
        <v>45180.0</v>
      </c>
      <c r="J527" s="60" t="s">
        <v>399</v>
      </c>
      <c r="K527" s="60" t="s">
        <v>117</v>
      </c>
      <c r="L527" s="60" t="s">
        <v>2922</v>
      </c>
      <c r="M527" s="507"/>
      <c r="N527" s="507"/>
      <c r="O527" s="507"/>
      <c r="P527" s="507"/>
      <c r="Q527" s="507"/>
      <c r="R527" s="60" t="s">
        <v>4357</v>
      </c>
      <c r="S527" s="54"/>
      <c r="T527" s="54"/>
      <c r="U527" s="54"/>
      <c r="V527" s="54"/>
      <c r="W527" s="54"/>
      <c r="X527" s="54"/>
      <c r="Y527" s="350"/>
      <c r="Z527" s="54"/>
      <c r="AA527" s="54"/>
      <c r="AB527" s="54"/>
      <c r="AC527" s="54"/>
      <c r="AD527" s="54"/>
      <c r="AE527" s="54"/>
      <c r="AF527" s="54"/>
      <c r="AG527" s="54"/>
      <c r="AH527" s="54"/>
      <c r="AI527" s="54"/>
      <c r="AJ527" s="54"/>
      <c r="AK527" s="54"/>
      <c r="AL527" s="54"/>
      <c r="AM527" s="54"/>
      <c r="AN527" s="54"/>
      <c r="AO527" s="54"/>
      <c r="AP527" s="54"/>
      <c r="AQ527" s="54"/>
      <c r="AR527" s="54"/>
      <c r="AS527" s="54"/>
      <c r="AT527" s="54"/>
    </row>
    <row r="528" ht="16.5" customHeight="1">
      <c r="A528" s="54"/>
      <c r="B528" s="504">
        <v>45844.55300925926</v>
      </c>
      <c r="C528" s="60" t="s">
        <v>2677</v>
      </c>
      <c r="D528" s="47">
        <v>2.115016112E9</v>
      </c>
      <c r="E528" s="60" t="s">
        <v>2678</v>
      </c>
      <c r="F528" s="60">
        <v>8.5394264723E10</v>
      </c>
      <c r="G528" s="60" t="s">
        <v>4358</v>
      </c>
      <c r="H528" s="505">
        <v>45570.0</v>
      </c>
      <c r="I528" s="506">
        <v>45668.0</v>
      </c>
      <c r="J528" s="60" t="s">
        <v>399</v>
      </c>
      <c r="K528" s="60" t="s">
        <v>183</v>
      </c>
      <c r="L528" s="60" t="s">
        <v>241</v>
      </c>
      <c r="M528" s="507"/>
      <c r="N528" s="507"/>
      <c r="O528" s="507"/>
      <c r="P528" s="507"/>
      <c r="Q528" s="507"/>
      <c r="R528" s="60" t="s">
        <v>4359</v>
      </c>
      <c r="S528" s="54"/>
      <c r="T528" s="54"/>
      <c r="U528" s="54"/>
      <c r="V528" s="54"/>
      <c r="W528" s="54"/>
      <c r="X528" s="54"/>
      <c r="Y528" s="350"/>
      <c r="Z528" s="54"/>
      <c r="AA528" s="54"/>
      <c r="AB528" s="54"/>
      <c r="AC528" s="54"/>
      <c r="AD528" s="54"/>
      <c r="AE528" s="54"/>
      <c r="AF528" s="54"/>
      <c r="AG528" s="54"/>
      <c r="AH528" s="54"/>
      <c r="AI528" s="54"/>
      <c r="AJ528" s="54"/>
      <c r="AK528" s="54"/>
      <c r="AL528" s="54"/>
      <c r="AM528" s="54"/>
      <c r="AN528" s="54"/>
      <c r="AO528" s="54"/>
      <c r="AP528" s="54"/>
      <c r="AQ528" s="54"/>
      <c r="AR528" s="54"/>
      <c r="AS528" s="54"/>
      <c r="AT528" s="54"/>
    </row>
    <row r="529" ht="16.5" customHeight="1">
      <c r="A529" s="54"/>
      <c r="B529" s="504">
        <v>45846.33170138889</v>
      </c>
      <c r="C529" s="60" t="s">
        <v>2685</v>
      </c>
      <c r="D529" s="47">
        <v>2.111016046E9</v>
      </c>
      <c r="E529" s="60" t="s">
        <v>2686</v>
      </c>
      <c r="F529" s="60">
        <v>8.1325472698E10</v>
      </c>
      <c r="G529" s="60" t="s">
        <v>2688</v>
      </c>
      <c r="H529" s="505">
        <v>45572.0</v>
      </c>
      <c r="I529" s="506">
        <v>45670.0</v>
      </c>
      <c r="J529" s="60" t="s">
        <v>399</v>
      </c>
      <c r="K529" s="60" t="s">
        <v>747</v>
      </c>
      <c r="L529" s="60" t="s">
        <v>2922</v>
      </c>
      <c r="M529" s="507"/>
      <c r="N529" s="507"/>
      <c r="O529" s="507"/>
      <c r="P529" s="507"/>
      <c r="Q529" s="507"/>
      <c r="R529" s="60" t="s">
        <v>4360</v>
      </c>
      <c r="S529" s="54"/>
      <c r="T529" s="54"/>
      <c r="U529" s="54"/>
      <c r="V529" s="54"/>
      <c r="W529" s="54"/>
      <c r="X529" s="54"/>
      <c r="Y529" s="350"/>
      <c r="Z529" s="54"/>
      <c r="AA529" s="54"/>
      <c r="AB529" s="54"/>
      <c r="AC529" s="54"/>
      <c r="AD529" s="54"/>
      <c r="AE529" s="54"/>
      <c r="AF529" s="54"/>
      <c r="AG529" s="54"/>
      <c r="AH529" s="54"/>
      <c r="AI529" s="54"/>
      <c r="AJ529" s="54"/>
      <c r="AK529" s="54"/>
      <c r="AL529" s="54"/>
      <c r="AM529" s="54"/>
      <c r="AN529" s="54"/>
      <c r="AO529" s="54"/>
      <c r="AP529" s="54"/>
      <c r="AQ529" s="54"/>
      <c r="AR529" s="54"/>
      <c r="AS529" s="54"/>
      <c r="AT529" s="54"/>
    </row>
    <row r="530" ht="16.5" customHeight="1">
      <c r="A530" s="54"/>
      <c r="B530" s="504">
        <v>45846.57405092593</v>
      </c>
      <c r="C530" s="60" t="s">
        <v>2608</v>
      </c>
      <c r="D530" s="47">
        <v>1.900016193E9</v>
      </c>
      <c r="E530" s="60" t="s">
        <v>2609</v>
      </c>
      <c r="F530" s="60">
        <v>8.2220756913E10</v>
      </c>
      <c r="G530" s="60" t="s">
        <v>2611</v>
      </c>
      <c r="H530" s="505">
        <v>45156.0</v>
      </c>
      <c r="I530" s="506">
        <v>45667.0</v>
      </c>
      <c r="J530" s="60" t="s">
        <v>399</v>
      </c>
      <c r="K530" s="60" t="s">
        <v>1900</v>
      </c>
      <c r="L530" s="60" t="s">
        <v>230</v>
      </c>
      <c r="M530" s="507"/>
      <c r="N530" s="507"/>
      <c r="O530" s="507"/>
      <c r="P530" s="507"/>
      <c r="Q530" s="507"/>
      <c r="R530" s="60" t="s">
        <v>4361</v>
      </c>
      <c r="S530" s="54"/>
      <c r="T530" s="54"/>
      <c r="U530" s="54"/>
      <c r="V530" s="54"/>
      <c r="W530" s="54"/>
      <c r="X530" s="54"/>
      <c r="Y530" s="350"/>
      <c r="Z530" s="54"/>
      <c r="AA530" s="54"/>
      <c r="AB530" s="54"/>
      <c r="AC530" s="54"/>
      <c r="AD530" s="54"/>
      <c r="AE530" s="54"/>
      <c r="AF530" s="54"/>
      <c r="AG530" s="54"/>
      <c r="AH530" s="54"/>
      <c r="AI530" s="54"/>
      <c r="AJ530" s="54"/>
      <c r="AK530" s="54"/>
      <c r="AL530" s="54"/>
      <c r="AM530" s="54"/>
      <c r="AN530" s="54"/>
      <c r="AO530" s="54"/>
      <c r="AP530" s="54"/>
      <c r="AQ530" s="54"/>
      <c r="AR530" s="54"/>
      <c r="AS530" s="54"/>
      <c r="AT530" s="54"/>
    </row>
    <row r="531" ht="16.5" customHeight="1">
      <c r="A531" s="54"/>
      <c r="B531" s="504">
        <v>45849.54684027778</v>
      </c>
      <c r="C531" s="60" t="s">
        <v>4362</v>
      </c>
      <c r="D531" s="47">
        <v>2.111016048E9</v>
      </c>
      <c r="E531" s="60" t="s">
        <v>2706</v>
      </c>
      <c r="F531" s="60">
        <v>8.59175514456E11</v>
      </c>
      <c r="G531" s="60" t="s">
        <v>4363</v>
      </c>
      <c r="H531" s="505">
        <v>45689.0</v>
      </c>
      <c r="I531" s="506">
        <v>45671.0</v>
      </c>
      <c r="J531" s="60" t="s">
        <v>399</v>
      </c>
      <c r="K531" s="60" t="s">
        <v>1900</v>
      </c>
      <c r="L531" s="60" t="s">
        <v>241</v>
      </c>
      <c r="M531" s="507"/>
      <c r="N531" s="507"/>
      <c r="O531" s="507"/>
      <c r="P531" s="507"/>
      <c r="Q531" s="507"/>
      <c r="R531" s="60" t="s">
        <v>4364</v>
      </c>
      <c r="S531" s="54"/>
      <c r="T531" s="54"/>
      <c r="U531" s="54"/>
      <c r="V531" s="54"/>
      <c r="W531" s="54"/>
      <c r="X531" s="54"/>
      <c r="Y531" s="350"/>
      <c r="Z531" s="54"/>
      <c r="AA531" s="54"/>
      <c r="AB531" s="54"/>
      <c r="AC531" s="54"/>
      <c r="AD531" s="54"/>
      <c r="AE531" s="54"/>
      <c r="AF531" s="54"/>
      <c r="AG531" s="54"/>
      <c r="AH531" s="54"/>
      <c r="AI531" s="54"/>
      <c r="AJ531" s="54"/>
      <c r="AK531" s="54"/>
      <c r="AL531" s="54"/>
      <c r="AM531" s="54"/>
      <c r="AN531" s="54"/>
      <c r="AO531" s="54"/>
      <c r="AP531" s="54"/>
      <c r="AQ531" s="54"/>
      <c r="AR531" s="54"/>
      <c r="AS531" s="54"/>
      <c r="AT531" s="54"/>
    </row>
    <row r="532" ht="16.5" customHeight="1">
      <c r="A532" s="54"/>
      <c r="B532" s="504">
        <v>45851.0321412037</v>
      </c>
      <c r="C532" s="60" t="s">
        <v>2754</v>
      </c>
      <c r="D532" s="47">
        <v>2.100016014E9</v>
      </c>
      <c r="E532" s="60" t="s">
        <v>2755</v>
      </c>
      <c r="F532" s="60">
        <v>8.3802496394E10</v>
      </c>
      <c r="G532" s="60" t="s">
        <v>2757</v>
      </c>
      <c r="H532" s="505">
        <v>45570.0</v>
      </c>
      <c r="I532" s="506">
        <v>45678.0</v>
      </c>
      <c r="J532" s="60" t="s">
        <v>399</v>
      </c>
      <c r="K532" s="60" t="s">
        <v>747</v>
      </c>
      <c r="L532" s="60" t="s">
        <v>1900</v>
      </c>
      <c r="M532" s="507"/>
      <c r="N532" s="507"/>
      <c r="O532" s="507"/>
      <c r="P532" s="507"/>
      <c r="Q532" s="507"/>
      <c r="R532" s="60" t="s">
        <v>4365</v>
      </c>
      <c r="S532" s="54"/>
      <c r="T532" s="54"/>
      <c r="U532" s="54"/>
      <c r="V532" s="54"/>
      <c r="W532" s="54"/>
      <c r="X532" s="54"/>
      <c r="Y532" s="350"/>
      <c r="Z532" s="54"/>
      <c r="AA532" s="54"/>
      <c r="AB532" s="54"/>
      <c r="AC532" s="54"/>
      <c r="AD532" s="54"/>
      <c r="AE532" s="54"/>
      <c r="AF532" s="54"/>
      <c r="AG532" s="54"/>
      <c r="AH532" s="54"/>
      <c r="AI532" s="54"/>
      <c r="AJ532" s="54"/>
      <c r="AK532" s="54"/>
      <c r="AL532" s="54"/>
      <c r="AM532" s="54"/>
      <c r="AN532" s="54"/>
      <c r="AO532" s="54"/>
      <c r="AP532" s="54"/>
      <c r="AQ532" s="54"/>
      <c r="AR532" s="54"/>
      <c r="AS532" s="54"/>
      <c r="AT532" s="54"/>
    </row>
    <row r="533" ht="16.5" customHeight="1">
      <c r="A533" s="54"/>
      <c r="B533" s="504">
        <v>45851.511041666665</v>
      </c>
      <c r="C533" s="60" t="s">
        <v>2660</v>
      </c>
      <c r="D533" s="47">
        <v>2.100016061E9</v>
      </c>
      <c r="E533" s="60" t="s">
        <v>2661</v>
      </c>
      <c r="F533" s="60">
        <v>8.5738011281E10</v>
      </c>
      <c r="G533" s="60" t="s">
        <v>2663</v>
      </c>
      <c r="H533" s="505">
        <v>45579.0</v>
      </c>
      <c r="I533" s="506">
        <v>45665.0</v>
      </c>
      <c r="J533" s="60" t="s">
        <v>399</v>
      </c>
      <c r="K533" s="60" t="s">
        <v>2916</v>
      </c>
      <c r="L533" s="60" t="s">
        <v>2922</v>
      </c>
      <c r="M533" s="507"/>
      <c r="N533" s="507"/>
      <c r="O533" s="507"/>
      <c r="P533" s="507"/>
      <c r="Q533" s="507"/>
      <c r="R533" s="60" t="s">
        <v>4366</v>
      </c>
      <c r="S533" s="54"/>
      <c r="T533" s="54"/>
      <c r="U533" s="54"/>
      <c r="V533" s="54"/>
      <c r="W533" s="54"/>
      <c r="X533" s="54"/>
      <c r="Y533" s="350"/>
      <c r="Z533" s="54"/>
      <c r="AA533" s="54"/>
      <c r="AB533" s="54"/>
      <c r="AC533" s="54"/>
      <c r="AD533" s="54"/>
      <c r="AE533" s="54"/>
      <c r="AF533" s="54"/>
      <c r="AG533" s="54"/>
      <c r="AH533" s="54"/>
      <c r="AI533" s="54"/>
      <c r="AJ533" s="54"/>
      <c r="AK533" s="54"/>
      <c r="AL533" s="54"/>
      <c r="AM533" s="54"/>
      <c r="AN533" s="54"/>
      <c r="AO533" s="54"/>
      <c r="AP533" s="54"/>
      <c r="AQ533" s="54"/>
      <c r="AR533" s="54"/>
      <c r="AS533" s="54"/>
      <c r="AT533" s="54"/>
    </row>
    <row r="534" ht="16.5" customHeight="1">
      <c r="A534" s="54"/>
      <c r="B534" s="504">
        <v>45852.579930555556</v>
      </c>
      <c r="C534" s="60" t="s">
        <v>4367</v>
      </c>
      <c r="D534" s="47">
        <v>1.900016143E9</v>
      </c>
      <c r="E534" s="60" t="s">
        <v>2498</v>
      </c>
      <c r="F534" s="60">
        <v>8.1438053852E10</v>
      </c>
      <c r="G534" s="60" t="s">
        <v>2500</v>
      </c>
      <c r="H534" s="505">
        <v>45516.0</v>
      </c>
      <c r="I534" s="506">
        <v>45572.0</v>
      </c>
      <c r="J534" s="60" t="s">
        <v>399</v>
      </c>
      <c r="K534" s="60" t="s">
        <v>747</v>
      </c>
      <c r="L534" s="60" t="s">
        <v>230</v>
      </c>
      <c r="M534" s="507"/>
      <c r="N534" s="507"/>
      <c r="O534" s="507"/>
      <c r="P534" s="507"/>
      <c r="Q534" s="507"/>
      <c r="R534" s="60" t="s">
        <v>4368</v>
      </c>
      <c r="S534" s="54"/>
      <c r="T534" s="54"/>
      <c r="U534" s="54"/>
      <c r="V534" s="54"/>
      <c r="W534" s="54"/>
      <c r="X534" s="54"/>
      <c r="Y534" s="350"/>
      <c r="Z534" s="54"/>
      <c r="AA534" s="54"/>
      <c r="AB534" s="54"/>
      <c r="AC534" s="54"/>
      <c r="AD534" s="54"/>
      <c r="AE534" s="54"/>
      <c r="AF534" s="54"/>
      <c r="AG534" s="54"/>
      <c r="AH534" s="54"/>
      <c r="AI534" s="54"/>
      <c r="AJ534" s="54"/>
      <c r="AK534" s="54"/>
      <c r="AL534" s="54"/>
      <c r="AM534" s="54"/>
      <c r="AN534" s="54"/>
      <c r="AO534" s="54"/>
      <c r="AP534" s="54"/>
      <c r="AQ534" s="54"/>
      <c r="AR534" s="54"/>
      <c r="AS534" s="54"/>
      <c r="AT534" s="54"/>
    </row>
    <row r="535" ht="16.5" customHeight="1">
      <c r="A535" s="54"/>
      <c r="B535" s="504">
        <v>45853.89805555555</v>
      </c>
      <c r="C535" s="60" t="s">
        <v>2749</v>
      </c>
      <c r="D535" s="47">
        <v>2.100016082E9</v>
      </c>
      <c r="E535" s="60" t="s">
        <v>2750</v>
      </c>
      <c r="F535" s="60">
        <v>8.1395929399E10</v>
      </c>
      <c r="G535" s="60" t="s">
        <v>4369</v>
      </c>
      <c r="H535" s="505">
        <v>45678.0</v>
      </c>
      <c r="I535" s="506">
        <v>45678.0</v>
      </c>
      <c r="J535" s="60" t="s">
        <v>399</v>
      </c>
      <c r="K535" s="60" t="s">
        <v>747</v>
      </c>
      <c r="L535" s="60" t="s">
        <v>1900</v>
      </c>
      <c r="M535" s="507"/>
      <c r="N535" s="507"/>
      <c r="O535" s="507"/>
      <c r="P535" s="507"/>
      <c r="Q535" s="507"/>
      <c r="R535" s="60" t="s">
        <v>4370</v>
      </c>
      <c r="S535" s="54"/>
      <c r="T535" s="54"/>
      <c r="U535" s="54"/>
      <c r="V535" s="54"/>
      <c r="W535" s="54"/>
      <c r="X535" s="54"/>
      <c r="Y535" s="350"/>
      <c r="Z535" s="54"/>
      <c r="AA535" s="54"/>
      <c r="AB535" s="54"/>
      <c r="AC535" s="54"/>
      <c r="AD535" s="54"/>
      <c r="AE535" s="54"/>
      <c r="AF535" s="54"/>
      <c r="AG535" s="54"/>
      <c r="AH535" s="54"/>
      <c r="AI535" s="54"/>
      <c r="AJ535" s="54"/>
      <c r="AK535" s="54"/>
      <c r="AL535" s="54"/>
      <c r="AM535" s="54"/>
      <c r="AN535" s="54"/>
      <c r="AO535" s="54"/>
      <c r="AP535" s="54"/>
      <c r="AQ535" s="54"/>
      <c r="AR535" s="54"/>
      <c r="AS535" s="54"/>
      <c r="AT535" s="54"/>
    </row>
    <row r="536" ht="16.5" customHeight="1">
      <c r="A536" s="54"/>
      <c r="B536" s="504">
        <v>45854.627650462964</v>
      </c>
      <c r="C536" s="60" t="s">
        <v>2928</v>
      </c>
      <c r="D536" s="47">
        <v>2.100016106E9</v>
      </c>
      <c r="E536" s="60" t="s">
        <v>2698</v>
      </c>
      <c r="F536" s="60">
        <v>8.564051392E10</v>
      </c>
      <c r="G536" s="60" t="s">
        <v>4371</v>
      </c>
      <c r="H536" s="505">
        <v>45748.0</v>
      </c>
      <c r="I536" s="506">
        <v>45784.0</v>
      </c>
      <c r="J536" s="60" t="s">
        <v>399</v>
      </c>
      <c r="K536" s="60" t="s">
        <v>230</v>
      </c>
      <c r="L536" s="60" t="s">
        <v>3013</v>
      </c>
      <c r="M536" s="507"/>
      <c r="N536" s="507"/>
      <c r="O536" s="507"/>
      <c r="P536" s="507"/>
      <c r="Q536" s="507"/>
      <c r="R536" s="60" t="s">
        <v>4372</v>
      </c>
      <c r="S536" s="54"/>
      <c r="T536" s="54"/>
      <c r="U536" s="54"/>
      <c r="V536" s="54"/>
      <c r="W536" s="54"/>
      <c r="X536" s="54"/>
      <c r="Y536" s="350"/>
      <c r="Z536" s="54"/>
      <c r="AA536" s="54"/>
      <c r="AB536" s="54"/>
      <c r="AC536" s="54"/>
      <c r="AD536" s="54"/>
      <c r="AE536" s="54"/>
      <c r="AF536" s="54"/>
      <c r="AG536" s="54"/>
      <c r="AH536" s="54"/>
      <c r="AI536" s="54"/>
      <c r="AJ536" s="54"/>
      <c r="AK536" s="54"/>
      <c r="AL536" s="54"/>
      <c r="AM536" s="54"/>
      <c r="AN536" s="54"/>
      <c r="AO536" s="54"/>
      <c r="AP536" s="54"/>
      <c r="AQ536" s="54"/>
      <c r="AR536" s="54"/>
      <c r="AS536" s="54"/>
      <c r="AT536" s="54"/>
    </row>
    <row r="537" ht="16.5" customHeight="1">
      <c r="A537" s="54"/>
      <c r="B537" s="504">
        <v>45860.68006944445</v>
      </c>
      <c r="C537" s="60" t="s">
        <v>2831</v>
      </c>
      <c r="D537" s="47">
        <v>2.10001602E9</v>
      </c>
      <c r="E537" s="60" t="s">
        <v>2832</v>
      </c>
      <c r="F537" s="60">
        <v>8.2137723755E10</v>
      </c>
      <c r="G537" s="60" t="s">
        <v>4373</v>
      </c>
      <c r="H537" s="505">
        <v>45611.0</v>
      </c>
      <c r="I537" s="506">
        <v>45680.0</v>
      </c>
      <c r="J537" s="60" t="s">
        <v>399</v>
      </c>
      <c r="K537" s="60" t="s">
        <v>1900</v>
      </c>
      <c r="L537" s="60" t="s">
        <v>3013</v>
      </c>
      <c r="M537" s="507"/>
      <c r="N537" s="507"/>
      <c r="O537" s="507"/>
      <c r="P537" s="507"/>
      <c r="Q537" s="507"/>
      <c r="R537" s="60" t="s">
        <v>4374</v>
      </c>
      <c r="S537" s="54"/>
      <c r="T537" s="54"/>
      <c r="U537" s="54"/>
      <c r="V537" s="54"/>
      <c r="W537" s="54"/>
      <c r="X537" s="54"/>
      <c r="Y537" s="350"/>
      <c r="Z537" s="54"/>
      <c r="AA537" s="54"/>
      <c r="AB537" s="54"/>
      <c r="AC537" s="54"/>
      <c r="AD537" s="54"/>
      <c r="AE537" s="54"/>
      <c r="AF537" s="54"/>
      <c r="AG537" s="54"/>
      <c r="AH537" s="54"/>
      <c r="AI537" s="54"/>
      <c r="AJ537" s="54"/>
      <c r="AK537" s="54"/>
      <c r="AL537" s="54"/>
      <c r="AM537" s="54"/>
      <c r="AN537" s="54"/>
      <c r="AO537" s="54"/>
      <c r="AP537" s="54"/>
      <c r="AQ537" s="54"/>
      <c r="AR537" s="54"/>
      <c r="AS537" s="54"/>
      <c r="AT537" s="54"/>
    </row>
    <row r="538" ht="16.5" customHeight="1">
      <c r="A538" s="54"/>
      <c r="B538" s="504">
        <v>45861.536516203705</v>
      </c>
      <c r="C538" s="60" t="s">
        <v>2636</v>
      </c>
      <c r="D538" s="47">
        <v>2.100016094E9</v>
      </c>
      <c r="E538" s="60" t="s">
        <v>2637</v>
      </c>
      <c r="F538" s="60">
        <v>8.5384036839E10</v>
      </c>
      <c r="G538" s="60" t="s">
        <v>4375</v>
      </c>
      <c r="H538" s="505">
        <v>45566.0</v>
      </c>
      <c r="I538" s="506">
        <v>45663.0</v>
      </c>
      <c r="J538" s="60" t="s">
        <v>399</v>
      </c>
      <c r="K538" s="60" t="s">
        <v>747</v>
      </c>
      <c r="L538" s="60" t="s">
        <v>117</v>
      </c>
      <c r="M538" s="507"/>
      <c r="N538" s="507"/>
      <c r="O538" s="507"/>
      <c r="P538" s="507"/>
      <c r="Q538" s="507"/>
      <c r="R538" s="60" t="s">
        <v>4376</v>
      </c>
      <c r="S538" s="54"/>
      <c r="T538" s="54"/>
      <c r="U538" s="54"/>
      <c r="V538" s="54"/>
      <c r="W538" s="54"/>
      <c r="X538" s="54"/>
      <c r="Y538" s="350"/>
      <c r="Z538" s="54"/>
      <c r="AA538" s="54"/>
      <c r="AB538" s="54"/>
      <c r="AC538" s="54"/>
      <c r="AD538" s="54"/>
      <c r="AE538" s="54"/>
      <c r="AF538" s="54"/>
      <c r="AG538" s="54"/>
      <c r="AH538" s="54"/>
      <c r="AI538" s="54"/>
      <c r="AJ538" s="54"/>
      <c r="AK538" s="54"/>
      <c r="AL538" s="54"/>
      <c r="AM538" s="54"/>
      <c r="AN538" s="54"/>
      <c r="AO538" s="54"/>
      <c r="AP538" s="54"/>
      <c r="AQ538" s="54"/>
      <c r="AR538" s="54"/>
      <c r="AS538" s="54"/>
      <c r="AT538" s="54"/>
    </row>
    <row r="539" ht="16.5" customHeight="1">
      <c r="A539" s="54"/>
      <c r="B539" s="504">
        <v>45861.81010416667</v>
      </c>
      <c r="C539" s="60" t="s">
        <v>2644</v>
      </c>
      <c r="D539" s="47">
        <v>2.10001606E9</v>
      </c>
      <c r="E539" s="60" t="s">
        <v>2645</v>
      </c>
      <c r="F539" s="60">
        <v>8.2136954269E10</v>
      </c>
      <c r="G539" s="60" t="s">
        <v>4377</v>
      </c>
      <c r="H539" s="505">
        <v>45660.0</v>
      </c>
      <c r="I539" s="506">
        <v>45660.0</v>
      </c>
      <c r="J539" s="60" t="s">
        <v>399</v>
      </c>
      <c r="K539" s="60" t="s">
        <v>747</v>
      </c>
      <c r="L539" s="60" t="s">
        <v>230</v>
      </c>
      <c r="M539" s="507"/>
      <c r="N539" s="507"/>
      <c r="O539" s="507"/>
      <c r="P539" s="507"/>
      <c r="Q539" s="507"/>
      <c r="R539" s="60" t="s">
        <v>4378</v>
      </c>
      <c r="S539" s="54"/>
      <c r="T539" s="54"/>
      <c r="U539" s="54"/>
      <c r="V539" s="54"/>
      <c r="W539" s="54"/>
      <c r="X539" s="54"/>
      <c r="Y539" s="350"/>
      <c r="Z539" s="54"/>
      <c r="AA539" s="54"/>
      <c r="AB539" s="54"/>
      <c r="AC539" s="54"/>
      <c r="AD539" s="54"/>
      <c r="AE539" s="54"/>
      <c r="AF539" s="54"/>
      <c r="AG539" s="54"/>
      <c r="AH539" s="54"/>
      <c r="AI539" s="54"/>
      <c r="AJ539" s="54"/>
      <c r="AK539" s="54"/>
      <c r="AL539" s="54"/>
      <c r="AM539" s="54"/>
      <c r="AN539" s="54"/>
      <c r="AO539" s="54"/>
      <c r="AP539" s="54"/>
      <c r="AQ539" s="54"/>
      <c r="AR539" s="54"/>
      <c r="AS539" s="54"/>
      <c r="AT539" s="54"/>
    </row>
    <row r="540" ht="16.5" customHeight="1">
      <c r="A540" s="54"/>
      <c r="B540" s="504">
        <v>45861.90521990741</v>
      </c>
      <c r="C540" s="60" t="s">
        <v>2613</v>
      </c>
      <c r="D540" s="47">
        <v>2.100016097E9</v>
      </c>
      <c r="E540" s="60" t="s">
        <v>2614</v>
      </c>
      <c r="F540" s="60">
        <v>8.1273844809E10</v>
      </c>
      <c r="G540" s="60" t="s">
        <v>4379</v>
      </c>
      <c r="H540" s="505">
        <v>45566.0</v>
      </c>
      <c r="I540" s="506">
        <v>45663.0</v>
      </c>
      <c r="J540" s="60" t="s">
        <v>399</v>
      </c>
      <c r="K540" s="60" t="s">
        <v>747</v>
      </c>
      <c r="L540" s="60" t="s">
        <v>2617</v>
      </c>
      <c r="M540" s="507"/>
      <c r="N540" s="507"/>
      <c r="O540" s="507"/>
      <c r="P540" s="507"/>
      <c r="Q540" s="507"/>
      <c r="R540" s="60" t="s">
        <v>4380</v>
      </c>
      <c r="S540" s="54"/>
      <c r="T540" s="54"/>
      <c r="U540" s="54"/>
      <c r="V540" s="54"/>
      <c r="W540" s="54"/>
      <c r="X540" s="54"/>
      <c r="Y540" s="350"/>
      <c r="Z540" s="54"/>
      <c r="AA540" s="54"/>
      <c r="AB540" s="54"/>
      <c r="AC540" s="54"/>
      <c r="AD540" s="54"/>
      <c r="AE540" s="54"/>
      <c r="AF540" s="54"/>
      <c r="AG540" s="54"/>
      <c r="AH540" s="54"/>
      <c r="AI540" s="54"/>
      <c r="AJ540" s="54"/>
      <c r="AK540" s="54"/>
      <c r="AL540" s="54"/>
      <c r="AM540" s="54"/>
      <c r="AN540" s="54"/>
      <c r="AO540" s="54"/>
      <c r="AP540" s="54"/>
      <c r="AQ540" s="54"/>
      <c r="AR540" s="54"/>
      <c r="AS540" s="54"/>
      <c r="AT540" s="54"/>
    </row>
    <row r="541" ht="16.5" customHeight="1">
      <c r="A541" s="54"/>
      <c r="B541" s="504">
        <v>45862.57010416667</v>
      </c>
      <c r="C541" s="60" t="s">
        <v>2668</v>
      </c>
      <c r="D541" s="47">
        <v>2.100016033E9</v>
      </c>
      <c r="E541" s="60" t="s">
        <v>2669</v>
      </c>
      <c r="F541" s="60">
        <v>8.1541129987E10</v>
      </c>
      <c r="G541" s="60" t="s">
        <v>4381</v>
      </c>
      <c r="H541" s="505">
        <v>45566.0</v>
      </c>
      <c r="I541" s="506">
        <v>45667.0</v>
      </c>
      <c r="J541" s="60" t="s">
        <v>399</v>
      </c>
      <c r="K541" s="60" t="s">
        <v>117</v>
      </c>
      <c r="L541" s="60" t="s">
        <v>3013</v>
      </c>
      <c r="M541" s="507"/>
      <c r="N541" s="507"/>
      <c r="O541" s="507"/>
      <c r="P541" s="507"/>
      <c r="Q541" s="507"/>
      <c r="R541" s="60" t="s">
        <v>4382</v>
      </c>
      <c r="S541" s="54"/>
      <c r="T541" s="54"/>
      <c r="U541" s="54"/>
      <c r="V541" s="54"/>
      <c r="W541" s="54"/>
      <c r="X541" s="54"/>
      <c r="Y541" s="350"/>
      <c r="Z541" s="54"/>
      <c r="AA541" s="54"/>
      <c r="AB541" s="54"/>
      <c r="AC541" s="54"/>
      <c r="AD541" s="54"/>
      <c r="AE541" s="54"/>
      <c r="AF541" s="54"/>
      <c r="AG541" s="54"/>
      <c r="AH541" s="54"/>
      <c r="AI541" s="54"/>
      <c r="AJ541" s="54"/>
      <c r="AK541" s="54"/>
      <c r="AL541" s="54"/>
      <c r="AM541" s="54"/>
      <c r="AN541" s="54"/>
      <c r="AO541" s="54"/>
      <c r="AP541" s="54"/>
      <c r="AQ541" s="54"/>
      <c r="AR541" s="54"/>
      <c r="AS541" s="54"/>
      <c r="AT541" s="54"/>
    </row>
    <row r="542" ht="16.5" customHeight="1">
      <c r="A542" s="54"/>
      <c r="B542" s="504">
        <v>45863.5005787037</v>
      </c>
      <c r="C542" s="60" t="s">
        <v>4383</v>
      </c>
      <c r="D542" s="47">
        <v>1.811016122E9</v>
      </c>
      <c r="E542" s="60" t="s">
        <v>2935</v>
      </c>
      <c r="F542" s="60">
        <v>8.7742256426E10</v>
      </c>
      <c r="G542" s="60" t="s">
        <v>4384</v>
      </c>
      <c r="H542" s="505">
        <v>45813.0</v>
      </c>
      <c r="I542" s="506">
        <v>45811.0</v>
      </c>
      <c r="J542" s="60" t="s">
        <v>399</v>
      </c>
      <c r="K542" s="60" t="s">
        <v>2916</v>
      </c>
      <c r="L542" s="60" t="s">
        <v>2922</v>
      </c>
      <c r="M542" s="507"/>
      <c r="N542" s="507"/>
      <c r="O542" s="507"/>
      <c r="P542" s="507"/>
      <c r="Q542" s="507"/>
      <c r="R542" s="60" t="s">
        <v>4385</v>
      </c>
      <c r="S542" s="54"/>
      <c r="T542" s="54"/>
      <c r="U542" s="54"/>
      <c r="V542" s="54"/>
      <c r="W542" s="54"/>
      <c r="X542" s="54"/>
      <c r="Y542" s="350"/>
      <c r="Z542" s="54"/>
      <c r="AA542" s="54"/>
      <c r="AB542" s="54"/>
      <c r="AC542" s="54"/>
      <c r="AD542" s="54"/>
      <c r="AE542" s="54"/>
      <c r="AF542" s="54"/>
      <c r="AG542" s="54"/>
      <c r="AH542" s="54"/>
      <c r="AI542" s="54"/>
      <c r="AJ542" s="54"/>
      <c r="AK542" s="54"/>
      <c r="AL542" s="54"/>
      <c r="AM542" s="54"/>
      <c r="AN542" s="54"/>
      <c r="AO542" s="54"/>
      <c r="AP542" s="54"/>
      <c r="AQ542" s="54"/>
      <c r="AR542" s="54"/>
      <c r="AS542" s="54"/>
      <c r="AT542" s="54"/>
    </row>
    <row r="543" ht="16.5" customHeight="1">
      <c r="A543" s="54"/>
      <c r="B543" s="504">
        <v>45863.54960648148</v>
      </c>
      <c r="C543" s="60" t="s">
        <v>2781</v>
      </c>
      <c r="D543" s="47">
        <v>2.100016001E9</v>
      </c>
      <c r="E543" s="60" t="s">
        <v>2782</v>
      </c>
      <c r="F543" s="60">
        <v>8.8271492791E10</v>
      </c>
      <c r="G543" s="60" t="s">
        <v>4386</v>
      </c>
      <c r="H543" s="505">
        <v>45570.0</v>
      </c>
      <c r="I543" s="506">
        <v>45677.0</v>
      </c>
      <c r="J543" s="60" t="s">
        <v>399</v>
      </c>
      <c r="K543" s="60" t="s">
        <v>183</v>
      </c>
      <c r="L543" s="60" t="s">
        <v>241</v>
      </c>
      <c r="M543" s="507"/>
      <c r="N543" s="507"/>
      <c r="O543" s="507"/>
      <c r="P543" s="507"/>
      <c r="Q543" s="507"/>
      <c r="R543" s="60" t="s">
        <v>4387</v>
      </c>
      <c r="S543" s="54"/>
      <c r="T543" s="54"/>
      <c r="U543" s="54"/>
      <c r="V543" s="54"/>
      <c r="W543" s="54"/>
      <c r="X543" s="54"/>
      <c r="Y543" s="350"/>
      <c r="Z543" s="54"/>
      <c r="AA543" s="54"/>
      <c r="AB543" s="54"/>
      <c r="AC543" s="54"/>
      <c r="AD543" s="54"/>
      <c r="AE543" s="54"/>
      <c r="AF543" s="54"/>
      <c r="AG543" s="54"/>
      <c r="AH543" s="54"/>
      <c r="AI543" s="54"/>
      <c r="AJ543" s="54"/>
      <c r="AK543" s="54"/>
      <c r="AL543" s="54"/>
      <c r="AM543" s="54"/>
      <c r="AN543" s="54"/>
      <c r="AO543" s="54"/>
      <c r="AP543" s="54"/>
      <c r="AQ543" s="54"/>
      <c r="AR543" s="54"/>
      <c r="AS543" s="54"/>
      <c r="AT543" s="54"/>
    </row>
    <row r="544" ht="16.5" customHeight="1">
      <c r="A544" s="54"/>
      <c r="B544" s="504">
        <v>45866.42458333333</v>
      </c>
      <c r="C544" s="60" t="s">
        <v>2640</v>
      </c>
      <c r="D544" s="47">
        <v>2.100016113E9</v>
      </c>
      <c r="E544" s="60" t="s">
        <v>2641</v>
      </c>
      <c r="F544" s="60">
        <v>8.5156815476E10</v>
      </c>
      <c r="G544" s="60" t="s">
        <v>4388</v>
      </c>
      <c r="H544" s="505">
        <v>45566.0</v>
      </c>
      <c r="I544" s="506">
        <v>45663.0</v>
      </c>
      <c r="J544" s="60" t="s">
        <v>399</v>
      </c>
      <c r="K544" s="60" t="s">
        <v>747</v>
      </c>
      <c r="L544" s="60" t="s">
        <v>117</v>
      </c>
      <c r="M544" s="507"/>
      <c r="N544" s="507"/>
      <c r="O544" s="507"/>
      <c r="P544" s="507"/>
      <c r="Q544" s="507"/>
      <c r="R544" s="60" t="s">
        <v>4389</v>
      </c>
      <c r="S544" s="54"/>
      <c r="T544" s="54"/>
      <c r="U544" s="54"/>
      <c r="V544" s="54"/>
      <c r="W544" s="54"/>
      <c r="X544" s="54"/>
      <c r="Y544" s="350"/>
      <c r="Z544" s="54"/>
      <c r="AA544" s="54"/>
      <c r="AB544" s="54"/>
      <c r="AC544" s="54"/>
      <c r="AD544" s="54"/>
      <c r="AE544" s="54"/>
      <c r="AF544" s="54"/>
      <c r="AG544" s="54"/>
      <c r="AH544" s="54"/>
      <c r="AI544" s="54"/>
      <c r="AJ544" s="54"/>
      <c r="AK544" s="54"/>
      <c r="AL544" s="54"/>
      <c r="AM544" s="54"/>
      <c r="AN544" s="54"/>
      <c r="AO544" s="54"/>
      <c r="AP544" s="54"/>
      <c r="AQ544" s="54"/>
      <c r="AR544" s="54"/>
      <c r="AS544" s="54"/>
      <c r="AT544" s="54"/>
    </row>
    <row r="545" ht="16.5" customHeight="1">
      <c r="A545" s="54"/>
      <c r="B545" s="504">
        <v>45866.56793981481</v>
      </c>
      <c r="C545" s="60" t="s">
        <v>2626</v>
      </c>
      <c r="D545" s="47">
        <v>2.111016052E9</v>
      </c>
      <c r="E545" s="60" t="s">
        <v>2627</v>
      </c>
      <c r="F545" s="60">
        <v>8.5643472379E10</v>
      </c>
      <c r="G545" s="60" t="s">
        <v>4390</v>
      </c>
      <c r="H545" s="505">
        <v>45566.0</v>
      </c>
      <c r="I545" s="506">
        <v>45661.0</v>
      </c>
      <c r="J545" s="60" t="s">
        <v>399</v>
      </c>
      <c r="K545" s="60" t="s">
        <v>183</v>
      </c>
      <c r="L545" s="60" t="s">
        <v>117</v>
      </c>
      <c r="M545" s="507"/>
      <c r="N545" s="507"/>
      <c r="O545" s="507"/>
      <c r="P545" s="507"/>
      <c r="Q545" s="507"/>
      <c r="R545" s="60" t="s">
        <v>4391</v>
      </c>
      <c r="S545" s="54"/>
      <c r="T545" s="54"/>
      <c r="U545" s="54"/>
      <c r="V545" s="54"/>
      <c r="W545" s="54"/>
      <c r="X545" s="54"/>
      <c r="Y545" s="350"/>
      <c r="Z545" s="54"/>
      <c r="AA545" s="54"/>
      <c r="AB545" s="54"/>
      <c r="AC545" s="54"/>
      <c r="AD545" s="54"/>
      <c r="AE545" s="54"/>
      <c r="AF545" s="54"/>
      <c r="AG545" s="54"/>
      <c r="AH545" s="54"/>
      <c r="AI545" s="54"/>
      <c r="AJ545" s="54"/>
      <c r="AK545" s="54"/>
      <c r="AL545" s="54"/>
      <c r="AM545" s="54"/>
      <c r="AN545" s="54"/>
      <c r="AO545" s="54"/>
      <c r="AP545" s="54"/>
      <c r="AQ545" s="54"/>
      <c r="AR545" s="54"/>
      <c r="AS545" s="54"/>
      <c r="AT545" s="54"/>
    </row>
    <row r="546" ht="16.5" customHeight="1">
      <c r="A546" s="54"/>
      <c r="B546" s="504">
        <v>45866.64113425926</v>
      </c>
      <c r="C546" s="60" t="s">
        <v>2918</v>
      </c>
      <c r="D546" s="47">
        <v>1.800016024E9</v>
      </c>
      <c r="E546" s="60" t="s">
        <v>2919</v>
      </c>
      <c r="F546" s="60">
        <v>8.2215055805E10</v>
      </c>
      <c r="G546" s="60" t="s">
        <v>4392</v>
      </c>
      <c r="H546" s="505">
        <v>45792.0</v>
      </c>
      <c r="I546" s="506">
        <v>45777.0</v>
      </c>
      <c r="J546" s="60" t="s">
        <v>399</v>
      </c>
      <c r="K546" s="60" t="s">
        <v>2922</v>
      </c>
      <c r="L546" s="60" t="s">
        <v>1900</v>
      </c>
      <c r="M546" s="507"/>
      <c r="N546" s="507"/>
      <c r="O546" s="507"/>
      <c r="P546" s="507"/>
      <c r="Q546" s="507"/>
      <c r="R546" s="60" t="s">
        <v>4393</v>
      </c>
      <c r="S546" s="54"/>
      <c r="T546" s="54"/>
      <c r="U546" s="54"/>
      <c r="V546" s="54"/>
      <c r="W546" s="54"/>
      <c r="X546" s="54"/>
      <c r="Y546" s="350"/>
      <c r="Z546" s="54"/>
      <c r="AA546" s="54"/>
      <c r="AB546" s="54"/>
      <c r="AC546" s="54"/>
      <c r="AD546" s="54"/>
      <c r="AE546" s="54"/>
      <c r="AF546" s="54"/>
      <c r="AG546" s="54"/>
      <c r="AH546" s="54"/>
      <c r="AI546" s="54"/>
      <c r="AJ546" s="54"/>
      <c r="AK546" s="54"/>
      <c r="AL546" s="54"/>
      <c r="AM546" s="54"/>
      <c r="AN546" s="54"/>
      <c r="AO546" s="54"/>
      <c r="AP546" s="54"/>
      <c r="AQ546" s="54"/>
      <c r="AR546" s="54"/>
      <c r="AS546" s="54"/>
      <c r="AT546" s="54"/>
    </row>
    <row r="547" ht="16.5" customHeight="1">
      <c r="A547" s="54"/>
      <c r="B547" s="504">
        <v>45866.6743287037</v>
      </c>
      <c r="C547" s="60" t="s">
        <v>1104</v>
      </c>
      <c r="D547" s="47">
        <v>1.800016054E9</v>
      </c>
      <c r="E547" s="60" t="s">
        <v>1105</v>
      </c>
      <c r="F547" s="60">
        <v>8.5715363823E10</v>
      </c>
      <c r="G547" s="60" t="s">
        <v>4394</v>
      </c>
      <c r="H547" s="505">
        <v>44693.0</v>
      </c>
      <c r="I547" s="506">
        <v>44851.0</v>
      </c>
      <c r="J547" s="60" t="s">
        <v>399</v>
      </c>
      <c r="K547" s="60" t="s">
        <v>241</v>
      </c>
      <c r="L547" s="60" t="s">
        <v>183</v>
      </c>
      <c r="M547" s="507"/>
      <c r="N547" s="507"/>
      <c r="O547" s="507"/>
      <c r="P547" s="507"/>
      <c r="Q547" s="507"/>
      <c r="R547" s="60" t="s">
        <v>4395</v>
      </c>
      <c r="S547" s="54"/>
      <c r="T547" s="54"/>
      <c r="U547" s="54"/>
      <c r="V547" s="54"/>
      <c r="W547" s="54"/>
      <c r="X547" s="54"/>
      <c r="Y547" s="350"/>
      <c r="Z547" s="54"/>
      <c r="AA547" s="54"/>
      <c r="AB547" s="54"/>
      <c r="AC547" s="54"/>
      <c r="AD547" s="54"/>
      <c r="AE547" s="54"/>
      <c r="AF547" s="54"/>
      <c r="AG547" s="54"/>
      <c r="AH547" s="54"/>
      <c r="AI547" s="54"/>
      <c r="AJ547" s="54"/>
      <c r="AK547" s="54"/>
      <c r="AL547" s="54"/>
      <c r="AM547" s="54"/>
      <c r="AN547" s="54"/>
      <c r="AO547" s="54"/>
      <c r="AP547" s="54"/>
      <c r="AQ547" s="54"/>
      <c r="AR547" s="54"/>
      <c r="AS547" s="54"/>
      <c r="AT547" s="54"/>
    </row>
    <row r="548" ht="16.5" customHeight="1">
      <c r="A548" s="54"/>
      <c r="B548" s="504">
        <v>45866.68378472222</v>
      </c>
      <c r="C548" s="60" t="s">
        <v>1658</v>
      </c>
      <c r="D548" s="47">
        <v>1.800016041E9</v>
      </c>
      <c r="E548" s="60" t="s">
        <v>4396</v>
      </c>
      <c r="F548" s="60">
        <v>8.1216140506E10</v>
      </c>
      <c r="G548" s="60" t="s">
        <v>4397</v>
      </c>
      <c r="H548" s="505">
        <v>45337.0</v>
      </c>
      <c r="I548" s="506">
        <v>45453.0</v>
      </c>
      <c r="J548" s="60" t="s">
        <v>399</v>
      </c>
      <c r="K548" s="60" t="s">
        <v>241</v>
      </c>
      <c r="L548" s="60" t="s">
        <v>183</v>
      </c>
      <c r="M548" s="507"/>
      <c r="N548" s="507"/>
      <c r="O548" s="507"/>
      <c r="P548" s="507"/>
      <c r="Q548" s="507"/>
      <c r="R548" s="60" t="s">
        <v>4398</v>
      </c>
      <c r="S548" s="54"/>
      <c r="T548" s="54"/>
      <c r="U548" s="54"/>
      <c r="V548" s="54"/>
      <c r="W548" s="54"/>
      <c r="X548" s="54"/>
      <c r="Y548" s="350"/>
      <c r="Z548" s="54"/>
      <c r="AA548" s="54"/>
      <c r="AB548" s="54"/>
      <c r="AC548" s="54"/>
      <c r="AD548" s="54"/>
      <c r="AE548" s="54"/>
      <c r="AF548" s="54"/>
      <c r="AG548" s="54"/>
      <c r="AH548" s="54"/>
      <c r="AI548" s="54"/>
      <c r="AJ548" s="54"/>
      <c r="AK548" s="54"/>
      <c r="AL548" s="54"/>
      <c r="AM548" s="54"/>
      <c r="AN548" s="54"/>
      <c r="AO548" s="54"/>
      <c r="AP548" s="54"/>
      <c r="AQ548" s="54"/>
      <c r="AR548" s="54"/>
      <c r="AS548" s="54"/>
      <c r="AT548" s="54"/>
    </row>
    <row r="549" ht="16.5" customHeight="1">
      <c r="A549" s="54"/>
      <c r="B549" s="504">
        <v>45866.69375</v>
      </c>
      <c r="C549" s="60" t="s">
        <v>2618</v>
      </c>
      <c r="D549" s="47">
        <v>2.100016032E9</v>
      </c>
      <c r="E549" s="60" t="s">
        <v>2619</v>
      </c>
      <c r="F549" s="60">
        <v>8.8225420351E10</v>
      </c>
      <c r="G549" s="60" t="s">
        <v>4399</v>
      </c>
      <c r="H549" s="505">
        <v>45572.0</v>
      </c>
      <c r="I549" s="506">
        <v>45666.0</v>
      </c>
      <c r="J549" s="60" t="s">
        <v>399</v>
      </c>
      <c r="K549" s="60" t="s">
        <v>1900</v>
      </c>
      <c r="L549" s="60" t="s">
        <v>2922</v>
      </c>
      <c r="M549" s="507"/>
      <c r="N549" s="507"/>
      <c r="O549" s="507"/>
      <c r="P549" s="507"/>
      <c r="Q549" s="507"/>
      <c r="R549" s="60" t="s">
        <v>4400</v>
      </c>
      <c r="S549" s="54"/>
      <c r="T549" s="54"/>
      <c r="U549" s="54"/>
      <c r="V549" s="54"/>
      <c r="W549" s="54"/>
      <c r="X549" s="54"/>
      <c r="Y549" s="350"/>
      <c r="Z549" s="54"/>
      <c r="AA549" s="54"/>
      <c r="AB549" s="54"/>
      <c r="AC549" s="54"/>
      <c r="AD549" s="54"/>
      <c r="AE549" s="54"/>
      <c r="AF549" s="54"/>
      <c r="AG549" s="54"/>
      <c r="AH549" s="54"/>
      <c r="AI549" s="54"/>
      <c r="AJ549" s="54"/>
      <c r="AK549" s="54"/>
      <c r="AL549" s="54"/>
      <c r="AM549" s="54"/>
      <c r="AN549" s="54"/>
      <c r="AO549" s="54"/>
      <c r="AP549" s="54"/>
      <c r="AQ549" s="54"/>
      <c r="AR549" s="54"/>
      <c r="AS549" s="54"/>
      <c r="AT549" s="54"/>
    </row>
    <row r="550" ht="16.5" customHeight="1">
      <c r="A550" s="54"/>
      <c r="B550" s="504">
        <v>45866.696539351855</v>
      </c>
      <c r="C550" s="60" t="s">
        <v>4401</v>
      </c>
      <c r="D550" s="47">
        <v>1.800016045E9</v>
      </c>
      <c r="E550" s="60" t="s">
        <v>2931</v>
      </c>
      <c r="F550" s="60">
        <v>8.2112135959E10</v>
      </c>
      <c r="G550" s="60" t="s">
        <v>2933</v>
      </c>
      <c r="H550" s="505">
        <v>45807.0</v>
      </c>
      <c r="I550" s="506">
        <v>45802.0</v>
      </c>
      <c r="J550" s="60" t="s">
        <v>399</v>
      </c>
      <c r="K550" s="60" t="s">
        <v>117</v>
      </c>
      <c r="L550" s="60" t="s">
        <v>2922</v>
      </c>
      <c r="M550" s="507"/>
      <c r="N550" s="507"/>
      <c r="O550" s="507"/>
      <c r="P550" s="507"/>
      <c r="Q550" s="507"/>
      <c r="R550" s="60" t="s">
        <v>4402</v>
      </c>
      <c r="S550" s="54"/>
      <c r="T550" s="54"/>
      <c r="U550" s="54"/>
      <c r="V550" s="54"/>
      <c r="W550" s="54"/>
      <c r="X550" s="54"/>
      <c r="Y550" s="350"/>
      <c r="Z550" s="54"/>
      <c r="AA550" s="54"/>
      <c r="AB550" s="54"/>
      <c r="AC550" s="54"/>
      <c r="AD550" s="54"/>
      <c r="AE550" s="54"/>
      <c r="AF550" s="54"/>
      <c r="AG550" s="54"/>
      <c r="AH550" s="54"/>
      <c r="AI550" s="54"/>
      <c r="AJ550" s="54"/>
      <c r="AK550" s="54"/>
      <c r="AL550" s="54"/>
      <c r="AM550" s="54"/>
      <c r="AN550" s="54"/>
      <c r="AO550" s="54"/>
      <c r="AP550" s="54"/>
      <c r="AQ550" s="54"/>
      <c r="AR550" s="54"/>
      <c r="AS550" s="54"/>
      <c r="AT550" s="54"/>
    </row>
    <row r="551" ht="16.5" customHeight="1">
      <c r="A551" s="54"/>
      <c r="B551" s="504">
        <v>45866.73752314815</v>
      </c>
      <c r="C551" s="60" t="s">
        <v>2437</v>
      </c>
      <c r="D551" s="47">
        <v>1.900016123E9</v>
      </c>
      <c r="E551" s="60" t="s">
        <v>2438</v>
      </c>
      <c r="F551" s="60">
        <v>8.5392077539E10</v>
      </c>
      <c r="G551" s="60" t="s">
        <v>4403</v>
      </c>
      <c r="H551" s="505">
        <v>45436.0</v>
      </c>
      <c r="I551" s="506">
        <v>45484.0</v>
      </c>
      <c r="J551" s="60" t="s">
        <v>399</v>
      </c>
      <c r="K551" s="60" t="s">
        <v>747</v>
      </c>
      <c r="L551" s="60" t="s">
        <v>1900</v>
      </c>
      <c r="M551" s="507"/>
      <c r="N551" s="507"/>
      <c r="O551" s="507"/>
      <c r="P551" s="507"/>
      <c r="Q551" s="507"/>
      <c r="R551" s="60" t="s">
        <v>4404</v>
      </c>
      <c r="S551" s="54"/>
      <c r="T551" s="54"/>
      <c r="U551" s="54"/>
      <c r="V551" s="54"/>
      <c r="W551" s="54"/>
      <c r="X551" s="54"/>
      <c r="Y551" s="350"/>
      <c r="Z551" s="54"/>
      <c r="AA551" s="54"/>
      <c r="AB551" s="54"/>
      <c r="AC551" s="54"/>
      <c r="AD551" s="54"/>
      <c r="AE551" s="54"/>
      <c r="AF551" s="54"/>
      <c r="AG551" s="54"/>
      <c r="AH551" s="54"/>
      <c r="AI551" s="54"/>
      <c r="AJ551" s="54"/>
      <c r="AK551" s="54"/>
      <c r="AL551" s="54"/>
      <c r="AM551" s="54"/>
      <c r="AN551" s="54"/>
      <c r="AO551" s="54"/>
      <c r="AP551" s="54"/>
      <c r="AQ551" s="54"/>
      <c r="AR551" s="54"/>
      <c r="AS551" s="54"/>
      <c r="AT551" s="54"/>
    </row>
    <row r="552" ht="16.5" customHeight="1">
      <c r="A552" s="54"/>
      <c r="B552" s="504">
        <v>45868.47561342592</v>
      </c>
      <c r="C552" s="60" t="s">
        <v>1154</v>
      </c>
      <c r="D552" s="47">
        <v>1.800016131E9</v>
      </c>
      <c r="E552" s="60" t="s">
        <v>1035</v>
      </c>
      <c r="F552" s="60">
        <v>8.2160512937E10</v>
      </c>
      <c r="G552" s="60" t="s">
        <v>4405</v>
      </c>
      <c r="H552" s="505">
        <v>44910.0</v>
      </c>
      <c r="I552" s="506">
        <v>44915.0</v>
      </c>
      <c r="J552" s="60" t="s">
        <v>399</v>
      </c>
      <c r="K552" s="60" t="s">
        <v>117</v>
      </c>
      <c r="L552" s="60" t="s">
        <v>2922</v>
      </c>
      <c r="M552" s="507"/>
      <c r="N552" s="507"/>
      <c r="O552" s="507"/>
      <c r="P552" s="507"/>
      <c r="Q552" s="507"/>
      <c r="R552" s="60" t="s">
        <v>4406</v>
      </c>
      <c r="S552" s="54"/>
      <c r="T552" s="54"/>
      <c r="U552" s="54"/>
      <c r="V552" s="54"/>
      <c r="W552" s="54"/>
      <c r="X552" s="54"/>
      <c r="Y552" s="350"/>
      <c r="Z552" s="54"/>
      <c r="AA552" s="54"/>
      <c r="AB552" s="54"/>
      <c r="AC552" s="54"/>
      <c r="AD552" s="54"/>
      <c r="AE552" s="54"/>
      <c r="AF552" s="54"/>
      <c r="AG552" s="54"/>
      <c r="AH552" s="54"/>
      <c r="AI552" s="54"/>
      <c r="AJ552" s="54"/>
      <c r="AK552" s="54"/>
      <c r="AL552" s="54"/>
      <c r="AM552" s="54"/>
      <c r="AN552" s="54"/>
      <c r="AO552" s="54"/>
      <c r="AP552" s="54"/>
      <c r="AQ552" s="54"/>
      <c r="AR552" s="54"/>
      <c r="AS552" s="54"/>
      <c r="AT552" s="54"/>
    </row>
    <row r="553" ht="16.5" customHeight="1">
      <c r="A553" s="54"/>
      <c r="B553" s="504">
        <v>45868.56384259259</v>
      </c>
      <c r="C553" s="60" t="s">
        <v>2894</v>
      </c>
      <c r="D553" s="47">
        <v>1.800016043E9</v>
      </c>
      <c r="E553" s="60" t="s">
        <v>2895</v>
      </c>
      <c r="F553" s="60">
        <v>8.9668921046E10</v>
      </c>
      <c r="G553" s="60" t="s">
        <v>2897</v>
      </c>
      <c r="H553" s="505">
        <v>45551.0</v>
      </c>
      <c r="I553" s="506">
        <v>45687.0</v>
      </c>
      <c r="J553" s="60" t="s">
        <v>399</v>
      </c>
      <c r="K553" s="60" t="s">
        <v>117</v>
      </c>
      <c r="L553" s="60" t="s">
        <v>241</v>
      </c>
      <c r="M553" s="507"/>
      <c r="N553" s="507"/>
      <c r="O553" s="507"/>
      <c r="P553" s="507"/>
      <c r="Q553" s="507"/>
      <c r="R553" s="60" t="s">
        <v>4407</v>
      </c>
      <c r="S553" s="54"/>
      <c r="T553" s="54"/>
      <c r="U553" s="54"/>
      <c r="V553" s="54"/>
      <c r="W553" s="54"/>
      <c r="X553" s="54"/>
      <c r="Y553" s="350"/>
      <c r="Z553" s="54"/>
      <c r="AA553" s="54"/>
      <c r="AB553" s="54"/>
      <c r="AC553" s="54"/>
      <c r="AD553" s="54"/>
      <c r="AE553" s="54"/>
      <c r="AF553" s="54"/>
      <c r="AG553" s="54"/>
      <c r="AH553" s="54"/>
      <c r="AI553" s="54"/>
      <c r="AJ553" s="54"/>
      <c r="AK553" s="54"/>
      <c r="AL553" s="54"/>
      <c r="AM553" s="54"/>
      <c r="AN553" s="54"/>
      <c r="AO553" s="54"/>
      <c r="AP553" s="54"/>
      <c r="AQ553" s="54"/>
      <c r="AR553" s="54"/>
      <c r="AS553" s="54"/>
      <c r="AT553" s="54"/>
    </row>
    <row r="554" ht="16.5" customHeight="1">
      <c r="A554" s="54"/>
      <c r="B554" s="504">
        <v>45875.42527777778</v>
      </c>
      <c r="C554" s="60" t="s">
        <v>2713</v>
      </c>
      <c r="D554" s="47">
        <v>2.000016034E9</v>
      </c>
      <c r="E554" s="60" t="s">
        <v>2714</v>
      </c>
      <c r="F554" s="60">
        <v>8.1353012228E10</v>
      </c>
      <c r="G554" s="60" t="s">
        <v>4408</v>
      </c>
      <c r="H554" s="505">
        <v>45703.0</v>
      </c>
      <c r="I554" s="506">
        <v>45671.0</v>
      </c>
      <c r="J554" s="60" t="s">
        <v>399</v>
      </c>
      <c r="K554" s="60" t="s">
        <v>230</v>
      </c>
      <c r="L554" s="60" t="s">
        <v>2922</v>
      </c>
      <c r="M554" s="507"/>
      <c r="N554" s="507"/>
      <c r="O554" s="507"/>
      <c r="P554" s="507"/>
      <c r="Q554" s="507"/>
      <c r="R554" s="60" t="s">
        <v>4409</v>
      </c>
      <c r="S554" s="54"/>
      <c r="T554" s="54"/>
      <c r="U554" s="54"/>
      <c r="V554" s="54"/>
      <c r="W554" s="54"/>
      <c r="X554" s="54"/>
      <c r="Y554" s="350"/>
      <c r="Z554" s="54"/>
      <c r="AA554" s="54"/>
      <c r="AB554" s="54"/>
      <c r="AC554" s="54"/>
      <c r="AD554" s="54"/>
      <c r="AE554" s="54"/>
      <c r="AF554" s="54"/>
      <c r="AG554" s="54"/>
      <c r="AH554" s="54"/>
      <c r="AI554" s="54"/>
      <c r="AJ554" s="54"/>
      <c r="AK554" s="54"/>
      <c r="AL554" s="54"/>
      <c r="AM554" s="54"/>
      <c r="AN554" s="54"/>
      <c r="AO554" s="54"/>
      <c r="AP554" s="54"/>
      <c r="AQ554" s="54"/>
      <c r="AR554" s="54"/>
      <c r="AS554" s="54"/>
      <c r="AT554" s="54"/>
    </row>
    <row r="555" ht="16.5" customHeight="1">
      <c r="A555" s="54"/>
      <c r="B555" s="504">
        <v>45875.50965277778</v>
      </c>
      <c r="C555" s="60" t="s">
        <v>4410</v>
      </c>
      <c r="D555" s="47">
        <v>2.000016025E9</v>
      </c>
      <c r="E555" s="60" t="s">
        <v>2297</v>
      </c>
      <c r="F555" s="60">
        <v>8.1274071236E10</v>
      </c>
      <c r="G555" s="60" t="s">
        <v>4411</v>
      </c>
      <c r="H555" s="505">
        <v>45622.0</v>
      </c>
      <c r="I555" s="506">
        <v>45309.0</v>
      </c>
      <c r="J555" s="60" t="s">
        <v>399</v>
      </c>
      <c r="K555" s="60" t="s">
        <v>4412</v>
      </c>
      <c r="L555" s="60" t="s">
        <v>241</v>
      </c>
      <c r="M555" s="507"/>
      <c r="N555" s="507"/>
      <c r="O555" s="507"/>
      <c r="P555" s="507"/>
      <c r="Q555" s="507"/>
      <c r="R555" s="60" t="s">
        <v>4413</v>
      </c>
      <c r="S555" s="54"/>
      <c r="T555" s="54"/>
      <c r="U555" s="54"/>
      <c r="V555" s="54"/>
      <c r="W555" s="54"/>
      <c r="X555" s="54"/>
      <c r="Y555" s="350"/>
      <c r="Z555" s="54"/>
      <c r="AA555" s="54"/>
      <c r="AB555" s="54"/>
      <c r="AC555" s="54"/>
      <c r="AD555" s="54"/>
      <c r="AE555" s="54"/>
      <c r="AF555" s="54"/>
      <c r="AG555" s="54"/>
      <c r="AH555" s="54"/>
      <c r="AI555" s="54"/>
      <c r="AJ555" s="54"/>
      <c r="AK555" s="54"/>
      <c r="AL555" s="54"/>
      <c r="AM555" s="54"/>
      <c r="AN555" s="54"/>
      <c r="AO555" s="54"/>
      <c r="AP555" s="54"/>
      <c r="AQ555" s="54"/>
      <c r="AR555" s="54"/>
      <c r="AS555" s="54"/>
      <c r="AT555" s="54"/>
    </row>
    <row r="556" ht="16.5" customHeight="1">
      <c r="A556" s="54"/>
      <c r="B556" s="504">
        <v>45880.59820601852</v>
      </c>
      <c r="C556" s="60" t="s">
        <v>4414</v>
      </c>
      <c r="D556" s="47">
        <v>2.000016043E9</v>
      </c>
      <c r="E556" s="60" t="s">
        <v>2560</v>
      </c>
      <c r="F556" s="60">
        <v>8.5376785813E10</v>
      </c>
      <c r="G556" s="60" t="s">
        <v>4415</v>
      </c>
      <c r="H556" s="505">
        <v>45661.0</v>
      </c>
      <c r="I556" s="506">
        <v>45530.0</v>
      </c>
      <c r="J556" s="60" t="s">
        <v>399</v>
      </c>
      <c r="K556" s="60" t="s">
        <v>4412</v>
      </c>
      <c r="L556" s="60" t="s">
        <v>183</v>
      </c>
      <c r="M556" s="507"/>
      <c r="N556" s="507"/>
      <c r="O556" s="507"/>
      <c r="P556" s="507"/>
      <c r="Q556" s="507"/>
      <c r="R556" s="60" t="s">
        <v>4416</v>
      </c>
      <c r="S556" s="54"/>
      <c r="T556" s="54"/>
      <c r="U556" s="54"/>
      <c r="V556" s="54"/>
      <c r="W556" s="54"/>
      <c r="X556" s="54"/>
      <c r="Y556" s="350"/>
      <c r="Z556" s="54"/>
      <c r="AA556" s="54"/>
      <c r="AB556" s="54"/>
      <c r="AC556" s="54"/>
      <c r="AD556" s="54"/>
      <c r="AE556" s="54"/>
      <c r="AF556" s="54"/>
      <c r="AG556" s="54"/>
      <c r="AH556" s="54"/>
      <c r="AI556" s="54"/>
      <c r="AJ556" s="54"/>
      <c r="AK556" s="54"/>
      <c r="AL556" s="54"/>
      <c r="AM556" s="54"/>
      <c r="AN556" s="54"/>
      <c r="AO556" s="54"/>
      <c r="AP556" s="54"/>
      <c r="AQ556" s="54"/>
      <c r="AR556" s="54"/>
      <c r="AS556" s="54"/>
      <c r="AT556" s="54"/>
    </row>
    <row r="557" ht="16.5" customHeight="1">
      <c r="A557" s="54"/>
      <c r="B557" s="504">
        <v>45881.53821759259</v>
      </c>
      <c r="C557" s="60" t="s">
        <v>1735</v>
      </c>
      <c r="D557" s="47">
        <v>1.900016046E9</v>
      </c>
      <c r="E557" s="60" t="s">
        <v>1736</v>
      </c>
      <c r="F557" s="60">
        <v>8.2159486193E10</v>
      </c>
      <c r="G557" s="60" t="s">
        <v>4417</v>
      </c>
      <c r="H557" s="505">
        <v>45110.0</v>
      </c>
      <c r="I557" s="506">
        <v>45182.0</v>
      </c>
      <c r="J557" s="60" t="s">
        <v>399</v>
      </c>
      <c r="K557" s="60" t="s">
        <v>747</v>
      </c>
      <c r="L557" s="60" t="s">
        <v>2922</v>
      </c>
      <c r="M557" s="507"/>
      <c r="N557" s="507"/>
      <c r="O557" s="507"/>
      <c r="P557" s="507"/>
      <c r="Q557" s="507"/>
      <c r="R557" s="60" t="s">
        <v>4418</v>
      </c>
      <c r="S557" s="54"/>
      <c r="T557" s="54"/>
      <c r="U557" s="54"/>
      <c r="V557" s="54"/>
      <c r="W557" s="54"/>
      <c r="X557" s="54"/>
      <c r="Y557" s="350"/>
      <c r="Z557" s="54"/>
      <c r="AA557" s="54"/>
      <c r="AB557" s="54"/>
      <c r="AC557" s="54"/>
      <c r="AD557" s="54"/>
      <c r="AE557" s="54"/>
      <c r="AF557" s="54"/>
      <c r="AG557" s="54"/>
      <c r="AH557" s="54"/>
      <c r="AI557" s="54"/>
      <c r="AJ557" s="54"/>
      <c r="AK557" s="54"/>
      <c r="AL557" s="54"/>
      <c r="AM557" s="54"/>
      <c r="AN557" s="54"/>
      <c r="AO557" s="54"/>
      <c r="AP557" s="54"/>
      <c r="AQ557" s="54"/>
      <c r="AR557" s="54"/>
      <c r="AS557" s="54"/>
      <c r="AT557" s="54"/>
    </row>
    <row r="558" ht="16.5" customHeight="1">
      <c r="A558" s="54"/>
      <c r="B558" s="504">
        <v>45881.84103009259</v>
      </c>
      <c r="C558" s="60" t="s">
        <v>2776</v>
      </c>
      <c r="D558" s="47">
        <v>2.100016039E9</v>
      </c>
      <c r="E558" s="60" t="s">
        <v>2777</v>
      </c>
      <c r="F558" s="60">
        <v>8.5728520605E10</v>
      </c>
      <c r="G558" s="60" t="s">
        <v>4419</v>
      </c>
      <c r="H558" s="505">
        <v>45554.0</v>
      </c>
      <c r="I558" s="506">
        <v>45677.0</v>
      </c>
      <c r="J558" s="60" t="s">
        <v>399</v>
      </c>
      <c r="K558" s="60" t="s">
        <v>183</v>
      </c>
      <c r="L558" s="60" t="s">
        <v>241</v>
      </c>
      <c r="M558" s="507"/>
      <c r="N558" s="507"/>
      <c r="O558" s="507"/>
      <c r="P558" s="507"/>
      <c r="Q558" s="507"/>
      <c r="R558" s="60" t="s">
        <v>4420</v>
      </c>
      <c r="S558" s="54"/>
      <c r="T558" s="54"/>
      <c r="U558" s="54"/>
      <c r="V558" s="54"/>
      <c r="W558" s="54"/>
      <c r="X558" s="54"/>
      <c r="Y558" s="350"/>
      <c r="Z558" s="54"/>
      <c r="AA558" s="54"/>
      <c r="AB558" s="54"/>
      <c r="AC558" s="54"/>
      <c r="AD558" s="54"/>
      <c r="AE558" s="54"/>
      <c r="AF558" s="54"/>
      <c r="AG558" s="54"/>
      <c r="AH558" s="54"/>
      <c r="AI558" s="54"/>
      <c r="AJ558" s="54"/>
      <c r="AK558" s="54"/>
      <c r="AL558" s="54"/>
      <c r="AM558" s="54"/>
      <c r="AN558" s="54"/>
      <c r="AO558" s="54"/>
      <c r="AP558" s="54"/>
      <c r="AQ558" s="54"/>
      <c r="AR558" s="54"/>
      <c r="AS558" s="54"/>
      <c r="AT558" s="54"/>
    </row>
    <row r="559" ht="16.5" customHeight="1">
      <c r="A559" s="54"/>
      <c r="B559" s="504">
        <v>45886.46074074074</v>
      </c>
      <c r="C559" s="60" t="s">
        <v>1832</v>
      </c>
      <c r="D559" s="47">
        <v>1.900016167E9</v>
      </c>
      <c r="E559" s="60" t="s">
        <v>1833</v>
      </c>
      <c r="F559" s="60">
        <v>8.1466712053E10</v>
      </c>
      <c r="G559" s="60" t="s">
        <v>1835</v>
      </c>
      <c r="H559" s="505">
        <v>45257.0</v>
      </c>
      <c r="I559" s="506">
        <v>44791.0</v>
      </c>
      <c r="J559" s="60" t="s">
        <v>399</v>
      </c>
      <c r="K559" s="60" t="s">
        <v>117</v>
      </c>
      <c r="L559" s="60" t="s">
        <v>2922</v>
      </c>
      <c r="M559" s="507"/>
      <c r="N559" s="507"/>
      <c r="O559" s="507"/>
      <c r="P559" s="507"/>
      <c r="Q559" s="507"/>
      <c r="R559" s="60" t="s">
        <v>4421</v>
      </c>
      <c r="S559" s="54"/>
      <c r="T559" s="54"/>
      <c r="U559" s="54"/>
      <c r="V559" s="54"/>
      <c r="W559" s="54"/>
      <c r="X559" s="54"/>
      <c r="Y559" s="350"/>
      <c r="Z559" s="54"/>
      <c r="AA559" s="54"/>
      <c r="AB559" s="54"/>
      <c r="AC559" s="54"/>
      <c r="AD559" s="54"/>
      <c r="AE559" s="54"/>
      <c r="AF559" s="54"/>
      <c r="AG559" s="54"/>
      <c r="AH559" s="54"/>
      <c r="AI559" s="54"/>
      <c r="AJ559" s="54"/>
      <c r="AK559" s="54"/>
      <c r="AL559" s="54"/>
      <c r="AM559" s="54"/>
      <c r="AN559" s="54"/>
      <c r="AO559" s="54"/>
      <c r="AP559" s="54"/>
      <c r="AQ559" s="54"/>
      <c r="AR559" s="54"/>
      <c r="AS559" s="54"/>
      <c r="AT559" s="54"/>
    </row>
    <row r="560" ht="16.5" customHeight="1">
      <c r="A560" s="54"/>
      <c r="B560" s="504">
        <v>45889.467881944445</v>
      </c>
      <c r="C560" s="60" t="s">
        <v>4422</v>
      </c>
      <c r="D560" s="47">
        <v>2.000016049E9</v>
      </c>
      <c r="E560" s="60" t="s">
        <v>2088</v>
      </c>
      <c r="F560" s="60">
        <v>8.228899689E10</v>
      </c>
      <c r="G560" s="60" t="s">
        <v>4423</v>
      </c>
      <c r="H560" s="505">
        <v>45214.0</v>
      </c>
      <c r="I560" s="506">
        <v>45308.0</v>
      </c>
      <c r="J560" s="60" t="s">
        <v>399</v>
      </c>
      <c r="K560" s="60" t="s">
        <v>183</v>
      </c>
      <c r="L560" s="60" t="s">
        <v>241</v>
      </c>
      <c r="M560" s="507"/>
      <c r="N560" s="507"/>
      <c r="O560" s="507"/>
      <c r="P560" s="507"/>
      <c r="Q560" s="507"/>
      <c r="R560" s="60" t="s">
        <v>4424</v>
      </c>
      <c r="S560" s="54"/>
      <c r="T560" s="54"/>
      <c r="U560" s="54"/>
      <c r="V560" s="54"/>
      <c r="W560" s="54"/>
      <c r="X560" s="54"/>
      <c r="Y560" s="350"/>
      <c r="Z560" s="54"/>
      <c r="AA560" s="54"/>
      <c r="AB560" s="54"/>
      <c r="AC560" s="54"/>
      <c r="AD560" s="54"/>
      <c r="AE560" s="54"/>
      <c r="AF560" s="54"/>
      <c r="AG560" s="54"/>
      <c r="AH560" s="54"/>
      <c r="AI560" s="54"/>
      <c r="AJ560" s="54"/>
      <c r="AK560" s="54"/>
      <c r="AL560" s="54"/>
      <c r="AM560" s="54"/>
      <c r="AN560" s="54"/>
      <c r="AO560" s="54"/>
      <c r="AP560" s="54"/>
      <c r="AQ560" s="54"/>
      <c r="AR560" s="54"/>
      <c r="AS560" s="54"/>
      <c r="AT560" s="54"/>
    </row>
    <row r="561" ht="16.5" customHeight="1">
      <c r="A561" s="54"/>
      <c r="B561" s="504">
        <v>45890.40350694444</v>
      </c>
      <c r="C561" s="60" t="s">
        <v>2524</v>
      </c>
      <c r="D561" s="47">
        <v>1.900016007E9</v>
      </c>
      <c r="E561" s="60" t="s">
        <v>2525</v>
      </c>
      <c r="F561" s="60">
        <v>8.2274478836E10</v>
      </c>
      <c r="G561" s="60" t="s">
        <v>4425</v>
      </c>
      <c r="H561" s="505">
        <v>45622.0</v>
      </c>
      <c r="I561" s="506">
        <v>45622.0</v>
      </c>
      <c r="J561" s="60" t="s">
        <v>399</v>
      </c>
      <c r="K561" s="60" t="s">
        <v>4412</v>
      </c>
      <c r="L561" s="60" t="s">
        <v>241</v>
      </c>
      <c r="M561" s="507"/>
      <c r="N561" s="507"/>
      <c r="O561" s="507"/>
      <c r="P561" s="507"/>
      <c r="Q561" s="507"/>
      <c r="R561" s="60" t="s">
        <v>4426</v>
      </c>
      <c r="S561" s="54"/>
      <c r="T561" s="54"/>
      <c r="U561" s="54"/>
      <c r="V561" s="54"/>
      <c r="W561" s="54"/>
      <c r="X561" s="54"/>
      <c r="Y561" s="350"/>
      <c r="Z561" s="54"/>
      <c r="AA561" s="54"/>
      <c r="AB561" s="54"/>
      <c r="AC561" s="54"/>
      <c r="AD561" s="54"/>
      <c r="AE561" s="54"/>
      <c r="AF561" s="54"/>
      <c r="AG561" s="54"/>
      <c r="AH561" s="54"/>
      <c r="AI561" s="54"/>
      <c r="AJ561" s="54"/>
      <c r="AK561" s="54"/>
      <c r="AL561" s="54"/>
      <c r="AM561" s="54"/>
      <c r="AN561" s="54"/>
      <c r="AO561" s="54"/>
      <c r="AP561" s="54"/>
      <c r="AQ561" s="54"/>
      <c r="AR561" s="54"/>
      <c r="AS561" s="54"/>
      <c r="AT561" s="54"/>
    </row>
    <row r="562" ht="16.5" customHeight="1">
      <c r="A562" s="54"/>
      <c r="B562" s="504">
        <v>45890.44199074074</v>
      </c>
      <c r="C562" s="60" t="s">
        <v>1662</v>
      </c>
      <c r="D562" s="47">
        <v>1.90001618E9</v>
      </c>
      <c r="E562" s="60" t="s">
        <v>1663</v>
      </c>
      <c r="F562" s="60">
        <v>8.8235762884E10</v>
      </c>
      <c r="G562" s="60" t="s">
        <v>4427</v>
      </c>
      <c r="H562" s="505">
        <v>45133.0</v>
      </c>
      <c r="I562" s="506">
        <v>45161.0</v>
      </c>
      <c r="J562" s="60" t="s">
        <v>399</v>
      </c>
      <c r="K562" s="60" t="s">
        <v>117</v>
      </c>
      <c r="L562" s="60" t="s">
        <v>183</v>
      </c>
      <c r="M562" s="507"/>
      <c r="N562" s="507"/>
      <c r="O562" s="507"/>
      <c r="P562" s="507"/>
      <c r="Q562" s="507"/>
      <c r="R562" s="60" t="s">
        <v>4428</v>
      </c>
      <c r="S562" s="54"/>
      <c r="T562" s="54"/>
      <c r="U562" s="54"/>
      <c r="V562" s="54"/>
      <c r="W562" s="54"/>
      <c r="X562" s="54"/>
      <c r="Y562" s="350"/>
      <c r="Z562" s="54"/>
      <c r="AA562" s="54"/>
      <c r="AB562" s="54"/>
      <c r="AC562" s="54"/>
      <c r="AD562" s="54"/>
      <c r="AE562" s="54"/>
      <c r="AF562" s="54"/>
      <c r="AG562" s="54"/>
      <c r="AH562" s="54"/>
      <c r="AI562" s="54"/>
      <c r="AJ562" s="54"/>
      <c r="AK562" s="54"/>
      <c r="AL562" s="54"/>
      <c r="AM562" s="54"/>
      <c r="AN562" s="54"/>
      <c r="AO562" s="54"/>
      <c r="AP562" s="54"/>
      <c r="AQ562" s="54"/>
      <c r="AR562" s="54"/>
      <c r="AS562" s="54"/>
      <c r="AT562" s="54"/>
    </row>
    <row r="563" ht="16.5" customHeight="1">
      <c r="A563" s="54"/>
      <c r="B563" s="504">
        <v>45894.33451388889</v>
      </c>
      <c r="C563" s="60" t="s">
        <v>2652</v>
      </c>
      <c r="D563" s="47">
        <v>2.100016055E9</v>
      </c>
      <c r="E563" s="60" t="s">
        <v>2653</v>
      </c>
      <c r="F563" s="60">
        <v>8.2249024852E10</v>
      </c>
      <c r="G563" s="60" t="s">
        <v>4429</v>
      </c>
      <c r="H563" s="505">
        <v>45575.0</v>
      </c>
      <c r="I563" s="506">
        <v>45665.0</v>
      </c>
      <c r="J563" s="60" t="s">
        <v>399</v>
      </c>
      <c r="K563" s="60" t="s">
        <v>1900</v>
      </c>
      <c r="L563" s="60" t="s">
        <v>117</v>
      </c>
      <c r="M563" s="507"/>
      <c r="N563" s="507"/>
      <c r="O563" s="507"/>
      <c r="P563" s="507"/>
      <c r="Q563" s="507"/>
      <c r="R563" s="60" t="s">
        <v>4430</v>
      </c>
      <c r="S563" s="54"/>
      <c r="T563" s="54"/>
      <c r="U563" s="54"/>
      <c r="V563" s="54"/>
      <c r="W563" s="54"/>
      <c r="X563" s="54"/>
      <c r="Y563" s="350"/>
      <c r="Z563" s="54"/>
      <c r="AA563" s="54"/>
      <c r="AB563" s="54"/>
      <c r="AC563" s="54"/>
      <c r="AD563" s="54"/>
      <c r="AE563" s="54"/>
      <c r="AF563" s="54"/>
      <c r="AG563" s="54"/>
      <c r="AH563" s="54"/>
      <c r="AI563" s="54"/>
      <c r="AJ563" s="54"/>
      <c r="AK563" s="54"/>
      <c r="AL563" s="54"/>
      <c r="AM563" s="54"/>
      <c r="AN563" s="54"/>
      <c r="AO563" s="54"/>
      <c r="AP563" s="54"/>
      <c r="AQ563" s="54"/>
      <c r="AR563" s="54"/>
      <c r="AS563" s="54"/>
      <c r="AT563" s="54"/>
    </row>
    <row r="564" ht="16.5" customHeight="1">
      <c r="A564" s="54"/>
      <c r="B564" s="504">
        <v>45894.36943287037</v>
      </c>
      <c r="C564" s="60" t="s">
        <v>2689</v>
      </c>
      <c r="D564" s="47">
        <v>2.11101605E9</v>
      </c>
      <c r="E564" s="60" t="s">
        <v>2690</v>
      </c>
      <c r="F564" s="60">
        <v>8.5727667367E10</v>
      </c>
      <c r="G564" s="60" t="s">
        <v>4431</v>
      </c>
      <c r="H564" s="505">
        <v>45545.0</v>
      </c>
      <c r="I564" s="506">
        <v>45670.0</v>
      </c>
      <c r="J564" s="60" t="s">
        <v>399</v>
      </c>
      <c r="K564" s="60" t="s">
        <v>2922</v>
      </c>
      <c r="L564" s="60" t="s">
        <v>2617</v>
      </c>
      <c r="M564" s="507"/>
      <c r="N564" s="507"/>
      <c r="O564" s="507"/>
      <c r="P564" s="507"/>
      <c r="Q564" s="507"/>
      <c r="R564" s="60" t="s">
        <v>4432</v>
      </c>
      <c r="S564" s="54"/>
      <c r="T564" s="54"/>
      <c r="U564" s="54"/>
      <c r="V564" s="54"/>
      <c r="W564" s="54"/>
      <c r="X564" s="54"/>
      <c r="Y564" s="350"/>
      <c r="Z564" s="54"/>
      <c r="AA564" s="54"/>
      <c r="AB564" s="54"/>
      <c r="AC564" s="54"/>
      <c r="AD564" s="54"/>
      <c r="AE564" s="54"/>
      <c r="AF564" s="54"/>
      <c r="AG564" s="54"/>
      <c r="AH564" s="54"/>
      <c r="AI564" s="54"/>
      <c r="AJ564" s="54"/>
      <c r="AK564" s="54"/>
      <c r="AL564" s="54"/>
      <c r="AM564" s="54"/>
      <c r="AN564" s="54"/>
      <c r="AO564" s="54"/>
      <c r="AP564" s="54"/>
      <c r="AQ564" s="54"/>
      <c r="AR564" s="54"/>
      <c r="AS564" s="54"/>
      <c r="AT564" s="54"/>
    </row>
    <row r="565" ht="16.5" customHeight="1">
      <c r="A565" s="54"/>
      <c r="B565" s="504">
        <v>45892.474444444444</v>
      </c>
      <c r="C565" s="60" t="s">
        <v>1929</v>
      </c>
      <c r="D565" s="47">
        <v>1.900016038E9</v>
      </c>
      <c r="E565" s="60" t="s">
        <v>1930</v>
      </c>
      <c r="F565" s="60">
        <v>8.1246454717E10</v>
      </c>
      <c r="G565" s="60" t="s">
        <v>4433</v>
      </c>
      <c r="H565" s="505">
        <v>45047.0</v>
      </c>
      <c r="I565" s="506">
        <v>45288.0</v>
      </c>
      <c r="J565" s="60" t="s">
        <v>399</v>
      </c>
      <c r="K565" s="60" t="s">
        <v>183</v>
      </c>
      <c r="L565" s="60" t="s">
        <v>241</v>
      </c>
      <c r="M565" s="507"/>
      <c r="N565" s="507"/>
      <c r="O565" s="507"/>
      <c r="P565" s="507"/>
      <c r="Q565" s="507"/>
      <c r="R565" s="60" t="s">
        <v>4434</v>
      </c>
      <c r="S565" s="54"/>
      <c r="T565" s="54"/>
      <c r="U565" s="54"/>
      <c r="V565" s="54"/>
      <c r="W565" s="54"/>
      <c r="X565" s="54"/>
      <c r="Y565" s="350"/>
      <c r="Z565" s="54"/>
      <c r="AA565" s="54"/>
      <c r="AB565" s="54"/>
      <c r="AC565" s="54"/>
      <c r="AD565" s="54"/>
      <c r="AE565" s="54"/>
      <c r="AF565" s="54"/>
      <c r="AG565" s="54"/>
      <c r="AH565" s="54"/>
      <c r="AI565" s="54"/>
      <c r="AJ565" s="54"/>
      <c r="AK565" s="54"/>
      <c r="AL565" s="54"/>
      <c r="AM565" s="54"/>
      <c r="AN565" s="54"/>
      <c r="AO565" s="54"/>
      <c r="AP565" s="54"/>
      <c r="AQ565" s="54"/>
      <c r="AR565" s="54"/>
      <c r="AS565" s="54"/>
      <c r="AT565" s="54"/>
    </row>
    <row r="566" ht="16.5" customHeight="1">
      <c r="A566" s="54"/>
      <c r="B566" s="504">
        <v>45895.39466435185</v>
      </c>
      <c r="C566" s="60" t="s">
        <v>2239</v>
      </c>
      <c r="D566" s="47">
        <v>2.000016136E9</v>
      </c>
      <c r="E566" s="60" t="s">
        <v>2240</v>
      </c>
      <c r="F566" s="60">
        <v>8.5333117711E10</v>
      </c>
      <c r="G566" s="60" t="s">
        <v>2242</v>
      </c>
      <c r="H566" s="505">
        <v>45444.0</v>
      </c>
      <c r="I566" s="506">
        <v>45597.0</v>
      </c>
      <c r="J566" s="60" t="s">
        <v>399</v>
      </c>
      <c r="K566" s="60" t="s">
        <v>117</v>
      </c>
      <c r="L566" s="60" t="s">
        <v>241</v>
      </c>
      <c r="M566" s="507"/>
      <c r="N566" s="507"/>
      <c r="O566" s="507"/>
      <c r="P566" s="507"/>
      <c r="Q566" s="507"/>
      <c r="R566" s="60" t="s">
        <v>4435</v>
      </c>
      <c r="S566" s="54"/>
      <c r="T566" s="54"/>
      <c r="U566" s="54"/>
      <c r="V566" s="54"/>
      <c r="W566" s="54"/>
      <c r="X566" s="54"/>
      <c r="Y566" s="350"/>
      <c r="Z566" s="54"/>
      <c r="AA566" s="54"/>
      <c r="AB566" s="54"/>
      <c r="AC566" s="54"/>
      <c r="AD566" s="54"/>
      <c r="AE566" s="54"/>
      <c r="AF566" s="54"/>
      <c r="AG566" s="54"/>
      <c r="AH566" s="54"/>
      <c r="AI566" s="54"/>
      <c r="AJ566" s="54"/>
      <c r="AK566" s="54"/>
      <c r="AL566" s="54"/>
      <c r="AM566" s="54"/>
      <c r="AN566" s="54"/>
      <c r="AO566" s="54"/>
      <c r="AP566" s="54"/>
      <c r="AQ566" s="54"/>
      <c r="AR566" s="54"/>
      <c r="AS566" s="54"/>
      <c r="AT566" s="54"/>
    </row>
    <row r="567" ht="16.5" customHeight="1">
      <c r="A567" s="54"/>
      <c r="B567" s="504">
        <v>45897.458969907406</v>
      </c>
      <c r="C567" s="60" t="s">
        <v>1192</v>
      </c>
      <c r="D567" s="47">
        <v>1.800016136E9</v>
      </c>
      <c r="E567" s="60" t="s">
        <v>1193</v>
      </c>
      <c r="F567" s="60">
        <v>8.1215081691E10</v>
      </c>
      <c r="G567" s="60" t="s">
        <v>4436</v>
      </c>
      <c r="H567" s="505">
        <v>44809.0</v>
      </c>
      <c r="I567" s="506">
        <v>44959.0</v>
      </c>
      <c r="J567" s="60" t="s">
        <v>399</v>
      </c>
      <c r="K567" s="60" t="s">
        <v>241</v>
      </c>
      <c r="L567" s="60" t="s">
        <v>2922</v>
      </c>
      <c r="M567" s="507"/>
      <c r="N567" s="507"/>
      <c r="O567" s="507"/>
      <c r="P567" s="507"/>
      <c r="Q567" s="507"/>
      <c r="R567" s="60" t="s">
        <v>4437</v>
      </c>
      <c r="S567" s="54"/>
      <c r="T567" s="54"/>
      <c r="U567" s="54"/>
      <c r="V567" s="54"/>
      <c r="W567" s="54"/>
      <c r="X567" s="54"/>
      <c r="Y567" s="350"/>
      <c r="Z567" s="54"/>
      <c r="AA567" s="54"/>
      <c r="AB567" s="54"/>
      <c r="AC567" s="54"/>
      <c r="AD567" s="54"/>
      <c r="AE567" s="54"/>
      <c r="AF567" s="54"/>
      <c r="AG567" s="54"/>
      <c r="AH567" s="54"/>
      <c r="AI567" s="54"/>
      <c r="AJ567" s="54"/>
      <c r="AK567" s="54"/>
      <c r="AL567" s="54"/>
      <c r="AM567" s="54"/>
      <c r="AN567" s="54"/>
      <c r="AO567" s="54"/>
      <c r="AP567" s="54"/>
      <c r="AQ567" s="54"/>
      <c r="AR567" s="54"/>
      <c r="AS567" s="54"/>
      <c r="AT567" s="54"/>
    </row>
    <row r="568" ht="16.5" customHeight="1">
      <c r="A568" s="54"/>
      <c r="B568" s="504">
        <v>45897.55716435185</v>
      </c>
      <c r="C568" s="60" t="s">
        <v>2656</v>
      </c>
      <c r="D568" s="47">
        <v>2.100016099E9</v>
      </c>
      <c r="E568" s="60" t="s">
        <v>2657</v>
      </c>
      <c r="F568" s="60">
        <v>8.5225046923E10</v>
      </c>
      <c r="G568" s="60" t="s">
        <v>4438</v>
      </c>
      <c r="H568" s="505">
        <v>45636.0</v>
      </c>
      <c r="I568" s="506">
        <v>45660.0</v>
      </c>
      <c r="J568" s="60" t="s">
        <v>399</v>
      </c>
      <c r="K568" s="60" t="s">
        <v>4439</v>
      </c>
      <c r="L568" s="60" t="s">
        <v>2922</v>
      </c>
      <c r="M568" s="507"/>
      <c r="N568" s="507"/>
      <c r="O568" s="507"/>
      <c r="P568" s="507"/>
      <c r="Q568" s="507"/>
      <c r="R568" s="60" t="s">
        <v>4440</v>
      </c>
      <c r="S568" s="54"/>
      <c r="T568" s="54"/>
      <c r="U568" s="54"/>
      <c r="V568" s="54"/>
      <c r="W568" s="54"/>
      <c r="X568" s="54"/>
      <c r="Y568" s="350"/>
      <c r="Z568" s="54"/>
      <c r="AA568" s="54"/>
      <c r="AB568" s="54"/>
      <c r="AC568" s="54"/>
      <c r="AD568" s="54"/>
      <c r="AE568" s="54"/>
      <c r="AF568" s="54"/>
      <c r="AG568" s="54"/>
      <c r="AH568" s="54"/>
      <c r="AI568" s="54"/>
      <c r="AJ568" s="54"/>
      <c r="AK568" s="54"/>
      <c r="AL568" s="54"/>
      <c r="AM568" s="54"/>
      <c r="AN568" s="54"/>
      <c r="AO568" s="54"/>
      <c r="AP568" s="54"/>
      <c r="AQ568" s="54"/>
      <c r="AR568" s="54"/>
      <c r="AS568" s="54"/>
      <c r="AT568" s="54"/>
    </row>
    <row r="569" ht="16.5" customHeight="1">
      <c r="A569" s="54"/>
      <c r="B569" s="504">
        <v>45897.778645833336</v>
      </c>
      <c r="C569" s="60" t="s">
        <v>2811</v>
      </c>
      <c r="D569" s="47">
        <v>2.100016101E9</v>
      </c>
      <c r="E569" s="60" t="s">
        <v>2812</v>
      </c>
      <c r="F569" s="60">
        <v>8.9508095478E10</v>
      </c>
      <c r="G569" s="60" t="s">
        <v>4441</v>
      </c>
      <c r="H569" s="505">
        <v>45678.0</v>
      </c>
      <c r="I569" s="506">
        <v>45678.0</v>
      </c>
      <c r="J569" s="60" t="s">
        <v>399</v>
      </c>
      <c r="K569" s="60" t="s">
        <v>117</v>
      </c>
      <c r="L569" s="60" t="s">
        <v>2617</v>
      </c>
      <c r="M569" s="507"/>
      <c r="N569" s="507"/>
      <c r="O569" s="507"/>
      <c r="P569" s="507"/>
      <c r="Q569" s="507"/>
      <c r="R569" s="60" t="s">
        <v>4442</v>
      </c>
      <c r="S569" s="54"/>
      <c r="T569" s="54"/>
      <c r="U569" s="54"/>
      <c r="V569" s="54"/>
      <c r="W569" s="54"/>
      <c r="X569" s="54"/>
      <c r="Y569" s="350"/>
      <c r="Z569" s="54"/>
      <c r="AA569" s="54"/>
      <c r="AB569" s="54"/>
      <c r="AC569" s="54"/>
      <c r="AD569" s="54"/>
      <c r="AE569" s="54"/>
      <c r="AF569" s="54"/>
      <c r="AG569" s="54"/>
      <c r="AH569" s="54"/>
      <c r="AI569" s="54"/>
      <c r="AJ569" s="54"/>
      <c r="AK569" s="54"/>
      <c r="AL569" s="54"/>
      <c r="AM569" s="54"/>
      <c r="AN569" s="54"/>
      <c r="AO569" s="54"/>
      <c r="AP569" s="54"/>
      <c r="AQ569" s="54"/>
      <c r="AR569" s="54"/>
      <c r="AS569" s="54"/>
      <c r="AT569" s="54"/>
    </row>
    <row r="570" ht="16.5" customHeight="1">
      <c r="A570" s="54"/>
      <c r="B570" s="504">
        <v>45898.69734953704</v>
      </c>
      <c r="C570" s="60" t="s">
        <v>2717</v>
      </c>
      <c r="D570" s="47">
        <v>2.100016067E9</v>
      </c>
      <c r="E570" s="60" t="s">
        <v>2718</v>
      </c>
      <c r="F570" s="60">
        <v>8.2221494798E10</v>
      </c>
      <c r="G570" s="60" t="s">
        <v>4443</v>
      </c>
      <c r="H570" s="505">
        <v>45926.0</v>
      </c>
      <c r="I570" s="506">
        <v>45672.0</v>
      </c>
      <c r="J570" s="60" t="s">
        <v>399</v>
      </c>
      <c r="K570" s="60" t="s">
        <v>117</v>
      </c>
      <c r="L570" s="60" t="s">
        <v>2922</v>
      </c>
      <c r="M570" s="507"/>
      <c r="N570" s="507"/>
      <c r="O570" s="507"/>
      <c r="P570" s="507"/>
      <c r="Q570" s="507"/>
      <c r="R570" s="60" t="s">
        <v>4444</v>
      </c>
      <c r="S570" s="54"/>
      <c r="T570" s="54"/>
      <c r="U570" s="54"/>
      <c r="V570" s="54"/>
      <c r="W570" s="54"/>
      <c r="X570" s="54"/>
      <c r="Y570" s="350"/>
      <c r="Z570" s="54"/>
      <c r="AA570" s="54"/>
      <c r="AB570" s="54"/>
      <c r="AC570" s="54"/>
      <c r="AD570" s="54"/>
      <c r="AE570" s="54"/>
      <c r="AF570" s="54"/>
      <c r="AG570" s="54"/>
      <c r="AH570" s="54"/>
      <c r="AI570" s="54"/>
      <c r="AJ570" s="54"/>
      <c r="AK570" s="54"/>
      <c r="AL570" s="54"/>
      <c r="AM570" s="54"/>
      <c r="AN570" s="54"/>
      <c r="AO570" s="54"/>
      <c r="AP570" s="54"/>
      <c r="AQ570" s="54"/>
      <c r="AR570" s="54"/>
      <c r="AS570" s="54"/>
      <c r="AT570" s="54"/>
    </row>
    <row r="571" ht="16.5" customHeight="1">
      <c r="A571" s="54"/>
      <c r="B571" s="504">
        <v>45898.89469907407</v>
      </c>
      <c r="C571" s="60" t="s">
        <v>2322</v>
      </c>
      <c r="D571" s="47">
        <v>2.000016011E9</v>
      </c>
      <c r="E571" s="60" t="s">
        <v>2323</v>
      </c>
      <c r="F571" s="60">
        <v>8.5337937044E10</v>
      </c>
      <c r="G571" s="60" t="s">
        <v>4445</v>
      </c>
      <c r="H571" s="505">
        <v>45247.0</v>
      </c>
      <c r="I571" s="506">
        <v>45313.0</v>
      </c>
      <c r="J571" s="60" t="s">
        <v>399</v>
      </c>
      <c r="K571" s="60" t="s">
        <v>117</v>
      </c>
      <c r="L571" s="60" t="s">
        <v>2617</v>
      </c>
      <c r="M571" s="507"/>
      <c r="N571" s="507"/>
      <c r="O571" s="507"/>
      <c r="P571" s="507"/>
      <c r="Q571" s="507"/>
      <c r="R571" s="60" t="s">
        <v>4446</v>
      </c>
      <c r="S571" s="54"/>
      <c r="T571" s="54"/>
      <c r="U571" s="54"/>
      <c r="V571" s="54"/>
      <c r="W571" s="54"/>
      <c r="X571" s="54"/>
      <c r="Y571" s="350"/>
      <c r="Z571" s="54"/>
      <c r="AA571" s="54"/>
      <c r="AB571" s="54"/>
      <c r="AC571" s="54"/>
      <c r="AD571" s="54"/>
      <c r="AE571" s="54"/>
      <c r="AF571" s="54"/>
      <c r="AG571" s="54"/>
      <c r="AH571" s="54"/>
      <c r="AI571" s="54"/>
      <c r="AJ571" s="54"/>
      <c r="AK571" s="54"/>
      <c r="AL571" s="54"/>
      <c r="AM571" s="54"/>
      <c r="AN571" s="54"/>
      <c r="AO571" s="54"/>
      <c r="AP571" s="54"/>
      <c r="AQ571" s="54"/>
      <c r="AR571" s="54"/>
      <c r="AS571" s="54"/>
      <c r="AT571" s="54"/>
    </row>
    <row r="572" ht="16.5" customHeight="1">
      <c r="A572" s="54"/>
      <c r="B572" s="504">
        <v>45898.97613425926</v>
      </c>
      <c r="C572" s="60" t="s">
        <v>4447</v>
      </c>
      <c r="D572" s="47">
        <v>2.10001601E9</v>
      </c>
      <c r="E572" s="60" t="s">
        <v>2682</v>
      </c>
      <c r="F572" s="60">
        <v>8.1356705695E10</v>
      </c>
      <c r="G572" s="60" t="s">
        <v>4448</v>
      </c>
      <c r="H572" s="505">
        <v>45762.0</v>
      </c>
      <c r="I572" s="506">
        <v>45670.0</v>
      </c>
      <c r="J572" s="60" t="s">
        <v>399</v>
      </c>
      <c r="K572" s="60" t="s">
        <v>2922</v>
      </c>
      <c r="L572" s="60" t="s">
        <v>2617</v>
      </c>
      <c r="M572" s="507"/>
      <c r="N572" s="507"/>
      <c r="O572" s="507"/>
      <c r="P572" s="507"/>
      <c r="Q572" s="507"/>
      <c r="R572" s="60" t="s">
        <v>4449</v>
      </c>
      <c r="S572" s="54"/>
      <c r="T572" s="54"/>
      <c r="U572" s="54"/>
      <c r="V572" s="54"/>
      <c r="W572" s="54"/>
      <c r="X572" s="54"/>
      <c r="Y572" s="350"/>
      <c r="Z572" s="54"/>
      <c r="AA572" s="54"/>
      <c r="AB572" s="54"/>
      <c r="AC572" s="54"/>
      <c r="AD572" s="54"/>
      <c r="AE572" s="54"/>
      <c r="AF572" s="54"/>
      <c r="AG572" s="54"/>
      <c r="AH572" s="54"/>
      <c r="AI572" s="54"/>
      <c r="AJ572" s="54"/>
      <c r="AK572" s="54"/>
      <c r="AL572" s="54"/>
      <c r="AM572" s="54"/>
      <c r="AN572" s="54"/>
      <c r="AO572" s="54"/>
      <c r="AP572" s="54"/>
      <c r="AQ572" s="54"/>
      <c r="AR572" s="54"/>
      <c r="AS572" s="54"/>
      <c r="AT572" s="54"/>
    </row>
    <row r="573" ht="16.5" customHeight="1">
      <c r="A573" s="54"/>
      <c r="B573" s="504">
        <v>45901.52887731481</v>
      </c>
      <c r="C573" s="60" t="s">
        <v>2733</v>
      </c>
      <c r="D573" s="47">
        <v>2.100016066E9</v>
      </c>
      <c r="E573" s="60" t="s">
        <v>2734</v>
      </c>
      <c r="F573" s="60">
        <v>8.1350214948E10</v>
      </c>
      <c r="G573" s="60" t="s">
        <v>4450</v>
      </c>
      <c r="H573" s="505">
        <v>45704.0</v>
      </c>
      <c r="I573" s="506">
        <v>45673.0</v>
      </c>
      <c r="J573" s="60" t="s">
        <v>399</v>
      </c>
      <c r="K573" s="60" t="s">
        <v>747</v>
      </c>
      <c r="L573" s="60" t="s">
        <v>1900</v>
      </c>
      <c r="M573" s="507"/>
      <c r="N573" s="507"/>
      <c r="O573" s="507"/>
      <c r="P573" s="507"/>
      <c r="Q573" s="507"/>
      <c r="R573" s="60" t="s">
        <v>4451</v>
      </c>
      <c r="S573" s="54"/>
      <c r="T573" s="54"/>
      <c r="U573" s="54"/>
      <c r="V573" s="54"/>
      <c r="W573" s="54"/>
      <c r="X573" s="54"/>
      <c r="Y573" s="350"/>
      <c r="Z573" s="54"/>
      <c r="AA573" s="54"/>
      <c r="AB573" s="54"/>
      <c r="AC573" s="54"/>
      <c r="AD573" s="54"/>
      <c r="AE573" s="54"/>
      <c r="AF573" s="54"/>
      <c r="AG573" s="54"/>
      <c r="AH573" s="54"/>
      <c r="AI573" s="54"/>
      <c r="AJ573" s="54"/>
      <c r="AK573" s="54"/>
      <c r="AL573" s="54"/>
      <c r="AM573" s="54"/>
      <c r="AN573" s="54"/>
      <c r="AO573" s="54"/>
      <c r="AP573" s="54"/>
      <c r="AQ573" s="54"/>
      <c r="AR573" s="54"/>
      <c r="AS573" s="54"/>
      <c r="AT573" s="54"/>
    </row>
    <row r="574" ht="16.5" customHeight="1">
      <c r="A574" s="54"/>
      <c r="B574" s="504">
        <v>45901.53543981481</v>
      </c>
      <c r="C574" s="60" t="s">
        <v>4452</v>
      </c>
      <c r="D574" s="47">
        <v>1.90001619E9</v>
      </c>
      <c r="E574" s="60" t="s">
        <v>2442</v>
      </c>
      <c r="F574" s="60">
        <v>8.5117117619E10</v>
      </c>
      <c r="G574" s="60" t="s">
        <v>4453</v>
      </c>
      <c r="H574" s="505">
        <v>45376.0</v>
      </c>
      <c r="I574" s="506">
        <v>45490.0</v>
      </c>
      <c r="J574" s="60" t="s">
        <v>399</v>
      </c>
      <c r="K574" s="60" t="s">
        <v>183</v>
      </c>
      <c r="L574" s="60" t="s">
        <v>1900</v>
      </c>
      <c r="M574" s="507"/>
      <c r="N574" s="507"/>
      <c r="O574" s="507"/>
      <c r="P574" s="507"/>
      <c r="Q574" s="507"/>
      <c r="R574" s="60" t="s">
        <v>4454</v>
      </c>
      <c r="S574" s="54"/>
      <c r="T574" s="54"/>
      <c r="U574" s="54"/>
      <c r="V574" s="54"/>
      <c r="W574" s="54"/>
      <c r="X574" s="54"/>
      <c r="Y574" s="350"/>
      <c r="Z574" s="54"/>
      <c r="AA574" s="54"/>
      <c r="AB574" s="54"/>
      <c r="AC574" s="54"/>
      <c r="AD574" s="54"/>
      <c r="AE574" s="54"/>
      <c r="AF574" s="54"/>
      <c r="AG574" s="54"/>
      <c r="AH574" s="54"/>
      <c r="AI574" s="54"/>
      <c r="AJ574" s="54"/>
      <c r="AK574" s="54"/>
      <c r="AL574" s="54"/>
      <c r="AM574" s="54"/>
      <c r="AN574" s="54"/>
      <c r="AO574" s="54"/>
      <c r="AP574" s="54"/>
      <c r="AQ574" s="54"/>
      <c r="AR574" s="54"/>
      <c r="AS574" s="54"/>
      <c r="AT574" s="54"/>
    </row>
    <row r="575" ht="16.5" customHeight="1">
      <c r="A575" s="54"/>
      <c r="B575" s="504">
        <v>45902.772881944446</v>
      </c>
      <c r="C575" s="60" t="s">
        <v>2604</v>
      </c>
      <c r="D575" s="47">
        <v>2.100016017E9</v>
      </c>
      <c r="E575" s="60" t="s">
        <v>2605</v>
      </c>
      <c r="F575" s="60">
        <v>8.1270548334E10</v>
      </c>
      <c r="G575" s="60" t="s">
        <v>4455</v>
      </c>
      <c r="H575" s="505">
        <v>45677.0</v>
      </c>
      <c r="I575" s="506">
        <v>45656.0</v>
      </c>
      <c r="J575" s="60" t="s">
        <v>399</v>
      </c>
      <c r="K575" s="60" t="s">
        <v>4412</v>
      </c>
      <c r="L575" s="60" t="s">
        <v>241</v>
      </c>
      <c r="M575" s="507"/>
      <c r="N575" s="507"/>
      <c r="O575" s="507"/>
      <c r="P575" s="507"/>
      <c r="Q575" s="507"/>
      <c r="R575" s="60" t="s">
        <v>4456</v>
      </c>
      <c r="S575" s="54"/>
      <c r="T575" s="54"/>
      <c r="U575" s="54"/>
      <c r="V575" s="54"/>
      <c r="W575" s="54"/>
      <c r="X575" s="54"/>
      <c r="Y575" s="350"/>
      <c r="Z575" s="54"/>
      <c r="AA575" s="54"/>
      <c r="AB575" s="54"/>
      <c r="AC575" s="54"/>
      <c r="AD575" s="54"/>
      <c r="AE575" s="54"/>
      <c r="AF575" s="54"/>
      <c r="AG575" s="54"/>
      <c r="AH575" s="54"/>
      <c r="AI575" s="54"/>
      <c r="AJ575" s="54"/>
      <c r="AK575" s="54"/>
      <c r="AL575" s="54"/>
      <c r="AM575" s="54"/>
      <c r="AN575" s="54"/>
      <c r="AO575" s="54"/>
      <c r="AP575" s="54"/>
      <c r="AQ575" s="54"/>
      <c r="AR575" s="54"/>
      <c r="AS575" s="54"/>
      <c r="AT575" s="54"/>
    </row>
    <row r="576" ht="16.5" customHeight="1">
      <c r="A576" s="54"/>
      <c r="B576" s="504">
        <v>45903.73538194445</v>
      </c>
      <c r="C576" s="60" t="s">
        <v>2794</v>
      </c>
      <c r="D576" s="47">
        <v>2.100016028E9</v>
      </c>
      <c r="E576" s="60" t="s">
        <v>2795</v>
      </c>
      <c r="F576" s="60">
        <v>8.5148394263E10</v>
      </c>
      <c r="G576" s="60" t="s">
        <v>2797</v>
      </c>
      <c r="H576" s="505">
        <v>45678.0</v>
      </c>
      <c r="I576" s="506">
        <v>45677.0</v>
      </c>
      <c r="J576" s="60" t="s">
        <v>399</v>
      </c>
      <c r="K576" s="60" t="s">
        <v>747</v>
      </c>
      <c r="L576" s="60" t="s">
        <v>2922</v>
      </c>
      <c r="M576" s="507"/>
      <c r="N576" s="507"/>
      <c r="O576" s="507"/>
      <c r="P576" s="507"/>
      <c r="Q576" s="507"/>
      <c r="R576" s="60" t="s">
        <v>4457</v>
      </c>
      <c r="S576" s="54"/>
      <c r="T576" s="54"/>
      <c r="U576" s="54"/>
      <c r="V576" s="54"/>
      <c r="W576" s="54"/>
      <c r="X576" s="54"/>
      <c r="Y576" s="350"/>
      <c r="Z576" s="54"/>
      <c r="AA576" s="54"/>
      <c r="AB576" s="54"/>
      <c r="AC576" s="54"/>
      <c r="AD576" s="54"/>
      <c r="AE576" s="54"/>
      <c r="AF576" s="54"/>
      <c r="AG576" s="54"/>
      <c r="AH576" s="54"/>
      <c r="AI576" s="54"/>
      <c r="AJ576" s="54"/>
      <c r="AK576" s="54"/>
      <c r="AL576" s="54"/>
      <c r="AM576" s="54"/>
      <c r="AN576" s="54"/>
      <c r="AO576" s="54"/>
      <c r="AP576" s="54"/>
      <c r="AQ576" s="54"/>
      <c r="AR576" s="54"/>
      <c r="AS576" s="54"/>
      <c r="AT576" s="54"/>
    </row>
    <row r="577" ht="16.5" customHeight="1">
      <c r="A577" s="54"/>
      <c r="B577" s="504">
        <v>45908.67287037037</v>
      </c>
      <c r="C577" s="60" t="s">
        <v>2904</v>
      </c>
      <c r="D577" s="47">
        <v>1.900016033E9</v>
      </c>
      <c r="E577" s="60" t="s">
        <v>2905</v>
      </c>
      <c r="F577" s="60">
        <v>8.8239415208E10</v>
      </c>
      <c r="G577" s="60" t="s">
        <v>4458</v>
      </c>
      <c r="H577" s="505">
        <v>45573.0</v>
      </c>
      <c r="I577" s="506">
        <v>45691.0</v>
      </c>
      <c r="J577" s="60" t="s">
        <v>399</v>
      </c>
      <c r="K577" s="60" t="s">
        <v>117</v>
      </c>
      <c r="L577" s="60" t="s">
        <v>1900</v>
      </c>
      <c r="M577" s="507"/>
      <c r="N577" s="507"/>
      <c r="O577" s="507"/>
      <c r="P577" s="507"/>
      <c r="Q577" s="507"/>
      <c r="R577" s="60" t="s">
        <v>4459</v>
      </c>
      <c r="S577" s="54"/>
      <c r="T577" s="54"/>
      <c r="U577" s="54"/>
      <c r="V577" s="54"/>
      <c r="W577" s="54"/>
      <c r="X577" s="54"/>
      <c r="Y577" s="350"/>
      <c r="Z577" s="54"/>
      <c r="AA577" s="54"/>
      <c r="AB577" s="54"/>
      <c r="AC577" s="54"/>
      <c r="AD577" s="54"/>
      <c r="AE577" s="54"/>
      <c r="AF577" s="54"/>
      <c r="AG577" s="54"/>
      <c r="AH577" s="54"/>
      <c r="AI577" s="54"/>
      <c r="AJ577" s="54"/>
      <c r="AK577" s="54"/>
      <c r="AL577" s="54"/>
      <c r="AM577" s="54"/>
      <c r="AN577" s="54"/>
      <c r="AO577" s="54"/>
      <c r="AP577" s="54"/>
      <c r="AQ577" s="54"/>
      <c r="AR577" s="54"/>
      <c r="AS577" s="54"/>
      <c r="AT577" s="54"/>
    </row>
    <row r="578" ht="16.5" customHeight="1">
      <c r="A578" s="54"/>
      <c r="B578" s="504">
        <v>45909.09206018518</v>
      </c>
      <c r="C578" s="60" t="s">
        <v>2709</v>
      </c>
      <c r="D578" s="47">
        <v>2.100016044E9</v>
      </c>
      <c r="E578" s="60" t="s">
        <v>2710</v>
      </c>
      <c r="F578" s="60">
        <v>8.216212411E10</v>
      </c>
      <c r="G578" s="60" t="s">
        <v>4460</v>
      </c>
      <c r="H578" s="505">
        <v>45560.0</v>
      </c>
      <c r="I578" s="506">
        <v>45671.0</v>
      </c>
      <c r="J578" s="60" t="s">
        <v>399</v>
      </c>
      <c r="K578" s="60" t="s">
        <v>1900</v>
      </c>
      <c r="L578" s="60" t="s">
        <v>230</v>
      </c>
      <c r="M578" s="507"/>
      <c r="N578" s="507"/>
      <c r="O578" s="507"/>
      <c r="P578" s="507"/>
      <c r="Q578" s="507"/>
      <c r="R578" s="60" t="s">
        <v>4461</v>
      </c>
      <c r="S578" s="54"/>
      <c r="T578" s="54"/>
      <c r="U578" s="54"/>
      <c r="V578" s="54"/>
      <c r="W578" s="54"/>
      <c r="X578" s="54"/>
      <c r="Y578" s="350"/>
      <c r="Z578" s="54"/>
      <c r="AA578" s="54"/>
      <c r="AB578" s="54"/>
      <c r="AC578" s="54"/>
      <c r="AD578" s="54"/>
      <c r="AE578" s="54"/>
      <c r="AF578" s="54"/>
      <c r="AG578" s="54"/>
      <c r="AH578" s="54"/>
      <c r="AI578" s="54"/>
      <c r="AJ578" s="54"/>
      <c r="AK578" s="54"/>
      <c r="AL578" s="54"/>
      <c r="AM578" s="54"/>
      <c r="AN578" s="54"/>
      <c r="AO578" s="54"/>
      <c r="AP578" s="54"/>
      <c r="AQ578" s="54"/>
      <c r="AR578" s="54"/>
      <c r="AS578" s="54"/>
      <c r="AT578" s="54"/>
    </row>
    <row r="579" ht="16.5" customHeight="1">
      <c r="A579" s="54"/>
      <c r="B579" s="504">
        <v>45909.9178125</v>
      </c>
      <c r="C579" s="60" t="s">
        <v>2312</v>
      </c>
      <c r="D579" s="47">
        <v>2.000016081E9</v>
      </c>
      <c r="E579" s="60" t="s">
        <v>2313</v>
      </c>
      <c r="F579" s="60">
        <v>8.3168459045E10</v>
      </c>
      <c r="G579" s="60" t="s">
        <v>4462</v>
      </c>
      <c r="H579" s="505">
        <v>45264.0</v>
      </c>
      <c r="I579" s="506">
        <v>45313.0</v>
      </c>
      <c r="J579" s="60" t="s">
        <v>399</v>
      </c>
      <c r="K579" s="60" t="s">
        <v>117</v>
      </c>
      <c r="L579" s="60" t="s">
        <v>241</v>
      </c>
      <c r="M579" s="507"/>
      <c r="N579" s="507"/>
      <c r="O579" s="507"/>
      <c r="P579" s="507"/>
      <c r="Q579" s="507"/>
      <c r="R579" s="60" t="s">
        <v>4463</v>
      </c>
      <c r="S579" s="54"/>
      <c r="T579" s="54"/>
      <c r="U579" s="54"/>
      <c r="V579" s="54"/>
      <c r="W579" s="54"/>
      <c r="X579" s="54"/>
      <c r="Y579" s="350"/>
      <c r="Z579" s="54"/>
      <c r="AA579" s="54"/>
      <c r="AB579" s="54"/>
      <c r="AC579" s="54"/>
      <c r="AD579" s="54"/>
      <c r="AE579" s="54"/>
      <c r="AF579" s="54"/>
      <c r="AG579" s="54"/>
      <c r="AH579" s="54"/>
      <c r="AI579" s="54"/>
      <c r="AJ579" s="54"/>
      <c r="AK579" s="54"/>
      <c r="AL579" s="54"/>
      <c r="AM579" s="54"/>
      <c r="AN579" s="54"/>
      <c r="AO579" s="54"/>
      <c r="AP579" s="54"/>
      <c r="AQ579" s="54"/>
      <c r="AR579" s="54"/>
      <c r="AS579" s="54"/>
      <c r="AT579" s="54"/>
    </row>
    <row r="580" ht="16.5" customHeight="1">
      <c r="A580" s="54"/>
      <c r="B580" s="504">
        <v>45910.46943287037</v>
      </c>
      <c r="C580" s="60" t="s">
        <v>4464</v>
      </c>
      <c r="D580" s="47">
        <v>2.100016058E9</v>
      </c>
      <c r="E580" s="60" t="s">
        <v>2730</v>
      </c>
      <c r="F580" s="60">
        <v>8.1248829563E10</v>
      </c>
      <c r="G580" s="60" t="s">
        <v>4465</v>
      </c>
      <c r="H580" s="505">
        <v>45536.0</v>
      </c>
      <c r="I580" s="506" t="s">
        <v>4466</v>
      </c>
      <c r="J580" s="60" t="s">
        <v>399</v>
      </c>
      <c r="K580" s="60" t="s">
        <v>2617</v>
      </c>
      <c r="L580" s="60" t="s">
        <v>2922</v>
      </c>
      <c r="M580" s="507"/>
      <c r="N580" s="507"/>
      <c r="O580" s="507"/>
      <c r="P580" s="507"/>
      <c r="Q580" s="507"/>
      <c r="R580" s="60" t="s">
        <v>4467</v>
      </c>
      <c r="S580" s="54"/>
      <c r="T580" s="54"/>
      <c r="U580" s="54"/>
      <c r="V580" s="54"/>
      <c r="W580" s="54"/>
      <c r="X580" s="54"/>
      <c r="Y580" s="350"/>
      <c r="Z580" s="54"/>
      <c r="AA580" s="54"/>
      <c r="AB580" s="54"/>
      <c r="AC580" s="54"/>
      <c r="AD580" s="54"/>
      <c r="AE580" s="54"/>
      <c r="AF580" s="54"/>
      <c r="AG580" s="54"/>
      <c r="AH580" s="54"/>
      <c r="AI580" s="54"/>
      <c r="AJ580" s="54"/>
      <c r="AK580" s="54"/>
      <c r="AL580" s="54"/>
      <c r="AM580" s="54"/>
      <c r="AN580" s="54"/>
      <c r="AO580" s="54"/>
      <c r="AP580" s="54"/>
      <c r="AQ580" s="54"/>
      <c r="AR580" s="54"/>
      <c r="AS580" s="54"/>
      <c r="AT580" s="54"/>
    </row>
    <row r="581" ht="16.5" customHeight="1">
      <c r="A581" s="54"/>
      <c r="B581" s="504">
        <v>45910.76390046296</v>
      </c>
      <c r="C581" s="60" t="s">
        <v>4468</v>
      </c>
      <c r="D581" s="47">
        <v>2.100016045E9</v>
      </c>
      <c r="E581" s="60" t="s">
        <v>2742</v>
      </c>
      <c r="F581" s="60">
        <v>8.2282808892E10</v>
      </c>
      <c r="G581" s="60" t="s">
        <v>4469</v>
      </c>
      <c r="H581" s="505">
        <v>45545.0</v>
      </c>
      <c r="I581" s="506">
        <v>45677.0</v>
      </c>
      <c r="J581" s="60" t="s">
        <v>399</v>
      </c>
      <c r="K581" s="60" t="s">
        <v>2617</v>
      </c>
      <c r="L581" s="60" t="s">
        <v>117</v>
      </c>
      <c r="M581" s="507"/>
      <c r="N581" s="507"/>
      <c r="O581" s="507"/>
      <c r="P581" s="507"/>
      <c r="Q581" s="507"/>
      <c r="R581" s="60" t="s">
        <v>4470</v>
      </c>
      <c r="S581" s="54"/>
      <c r="T581" s="54"/>
      <c r="U581" s="54"/>
      <c r="V581" s="54"/>
      <c r="W581" s="54"/>
      <c r="X581" s="54"/>
      <c r="Y581" s="350"/>
      <c r="Z581" s="54"/>
      <c r="AA581" s="54"/>
      <c r="AB581" s="54"/>
      <c r="AC581" s="54"/>
      <c r="AD581" s="54"/>
      <c r="AE581" s="54"/>
      <c r="AF581" s="54"/>
      <c r="AG581" s="54"/>
      <c r="AH581" s="54"/>
      <c r="AI581" s="54"/>
      <c r="AJ581" s="54"/>
      <c r="AK581" s="54"/>
      <c r="AL581" s="54"/>
      <c r="AM581" s="54"/>
      <c r="AN581" s="54"/>
      <c r="AO581" s="54"/>
      <c r="AP581" s="54"/>
      <c r="AQ581" s="54"/>
      <c r="AR581" s="54"/>
      <c r="AS581" s="54"/>
      <c r="AT581" s="54"/>
    </row>
    <row r="582" ht="16.5" customHeight="1">
      <c r="A582" s="54"/>
      <c r="B582" s="504">
        <v>45914.913518518515</v>
      </c>
      <c r="C582" s="60" t="s">
        <v>2488</v>
      </c>
      <c r="D582" s="47">
        <v>2.000016003E9</v>
      </c>
      <c r="E582" s="60" t="s">
        <v>2489</v>
      </c>
      <c r="F582" s="60">
        <v>8.979331544E9</v>
      </c>
      <c r="G582" s="60" t="s">
        <v>2491</v>
      </c>
      <c r="H582" s="505">
        <v>45526.0</v>
      </c>
      <c r="I582" s="506">
        <v>45566.0</v>
      </c>
      <c r="J582" s="60" t="s">
        <v>399</v>
      </c>
      <c r="K582" s="60" t="s">
        <v>230</v>
      </c>
      <c r="L582" s="60" t="s">
        <v>2922</v>
      </c>
      <c r="M582" s="507"/>
      <c r="N582" s="507"/>
      <c r="O582" s="507"/>
      <c r="P582" s="507"/>
      <c r="Q582" s="507"/>
      <c r="R582" s="60" t="s">
        <v>4471</v>
      </c>
      <c r="S582" s="54"/>
      <c r="T582" s="54"/>
      <c r="U582" s="54"/>
      <c r="V582" s="54"/>
      <c r="W582" s="54"/>
      <c r="X582" s="54"/>
      <c r="Y582" s="350"/>
      <c r="Z582" s="54"/>
      <c r="AA582" s="54"/>
      <c r="AB582" s="54"/>
      <c r="AC582" s="54"/>
      <c r="AD582" s="54"/>
      <c r="AE582" s="54"/>
      <c r="AF582" s="54"/>
      <c r="AG582" s="54"/>
      <c r="AH582" s="54"/>
      <c r="AI582" s="54"/>
      <c r="AJ582" s="54"/>
      <c r="AK582" s="54"/>
      <c r="AL582" s="54"/>
      <c r="AM582" s="54"/>
      <c r="AN582" s="54"/>
      <c r="AO582" s="54"/>
      <c r="AP582" s="54"/>
      <c r="AQ582" s="54"/>
      <c r="AR582" s="54"/>
      <c r="AS582" s="54"/>
      <c r="AT582" s="54"/>
    </row>
    <row r="583" ht="16.5" customHeight="1">
      <c r="A583" s="54"/>
      <c r="B583" s="504">
        <v>45915.82299768519</v>
      </c>
      <c r="C583" s="60" t="s">
        <v>4472</v>
      </c>
      <c r="D583" s="47">
        <v>2.100016069E9</v>
      </c>
      <c r="E583" s="60" t="s">
        <v>2738</v>
      </c>
      <c r="F583" s="60">
        <v>8.1358827442E10</v>
      </c>
      <c r="G583" s="60" t="s">
        <v>4473</v>
      </c>
      <c r="H583" s="505">
        <v>45678.0</v>
      </c>
      <c r="I583" s="506">
        <v>45669.0</v>
      </c>
      <c r="J583" s="60" t="s">
        <v>399</v>
      </c>
      <c r="K583" s="60" t="s">
        <v>1900</v>
      </c>
      <c r="L583" s="60" t="s">
        <v>117</v>
      </c>
      <c r="M583" s="507"/>
      <c r="N583" s="507"/>
      <c r="O583" s="507"/>
      <c r="P583" s="507"/>
      <c r="Q583" s="507"/>
      <c r="R583" s="60" t="s">
        <v>4474</v>
      </c>
      <c r="S583" s="54"/>
      <c r="T583" s="54"/>
      <c r="U583" s="54"/>
      <c r="V583" s="54"/>
      <c r="W583" s="54"/>
      <c r="X583" s="54"/>
      <c r="Y583" s="350"/>
      <c r="Z583" s="54"/>
      <c r="AA583" s="54"/>
      <c r="AB583" s="54"/>
      <c r="AC583" s="54"/>
      <c r="AD583" s="54"/>
      <c r="AE583" s="54"/>
      <c r="AF583" s="54"/>
      <c r="AG583" s="54"/>
      <c r="AH583" s="54"/>
      <c r="AI583" s="54"/>
      <c r="AJ583" s="54"/>
      <c r="AK583" s="54"/>
      <c r="AL583" s="54"/>
      <c r="AM583" s="54"/>
      <c r="AN583" s="54"/>
      <c r="AO583" s="54"/>
      <c r="AP583" s="54"/>
      <c r="AQ583" s="54"/>
      <c r="AR583" s="54"/>
      <c r="AS583" s="54"/>
      <c r="AT583" s="54"/>
    </row>
    <row r="584" ht="16.5" customHeight="1">
      <c r="A584" s="54"/>
      <c r="B584" s="504">
        <v>45916.61148148148</v>
      </c>
      <c r="C584" s="60" t="s">
        <v>2840</v>
      </c>
      <c r="D584" s="47">
        <v>2.10001603E9</v>
      </c>
      <c r="E584" s="60" t="s">
        <v>2841</v>
      </c>
      <c r="F584" s="60">
        <v>8.1238259367E10</v>
      </c>
      <c r="G584" s="60" t="s">
        <v>4475</v>
      </c>
      <c r="H584" s="505">
        <v>45583.0</v>
      </c>
      <c r="I584" s="506">
        <v>45680.0</v>
      </c>
      <c r="J584" s="60" t="s">
        <v>399</v>
      </c>
      <c r="K584" s="60" t="s">
        <v>183</v>
      </c>
      <c r="L584" s="60" t="s">
        <v>241</v>
      </c>
      <c r="M584" s="507"/>
      <c r="N584" s="507"/>
      <c r="O584" s="507"/>
      <c r="P584" s="507"/>
      <c r="Q584" s="507"/>
      <c r="R584" s="60" t="s">
        <v>4476</v>
      </c>
      <c r="S584" s="54"/>
      <c r="T584" s="54"/>
      <c r="U584" s="54"/>
      <c r="V584" s="54"/>
      <c r="W584" s="54"/>
      <c r="X584" s="54"/>
      <c r="Y584" s="350"/>
      <c r="Z584" s="54"/>
      <c r="AA584" s="54"/>
      <c r="AB584" s="54"/>
      <c r="AC584" s="54"/>
      <c r="AD584" s="54"/>
      <c r="AE584" s="54"/>
      <c r="AF584" s="54"/>
      <c r="AG584" s="54"/>
      <c r="AH584" s="54"/>
      <c r="AI584" s="54"/>
      <c r="AJ584" s="54"/>
      <c r="AK584" s="54"/>
      <c r="AL584" s="54"/>
      <c r="AM584" s="54"/>
      <c r="AN584" s="54"/>
      <c r="AO584" s="54"/>
      <c r="AP584" s="54"/>
      <c r="AQ584" s="54"/>
      <c r="AR584" s="54"/>
      <c r="AS584" s="54"/>
      <c r="AT584" s="54"/>
    </row>
    <row r="585" ht="16.5" customHeight="1">
      <c r="A585" s="54"/>
      <c r="B585" s="504">
        <v>45917.719293981485</v>
      </c>
      <c r="C585" s="60" t="s">
        <v>2664</v>
      </c>
      <c r="D585" s="47">
        <v>2.1001016051E10</v>
      </c>
      <c r="E585" s="60" t="s">
        <v>2665</v>
      </c>
      <c r="F585" s="60">
        <v>8.3121596654E10</v>
      </c>
      <c r="G585" s="60" t="s">
        <v>2667</v>
      </c>
      <c r="H585" s="505">
        <v>45675.0</v>
      </c>
      <c r="I585" s="506">
        <v>45667.0</v>
      </c>
      <c r="J585" s="60" t="s">
        <v>399</v>
      </c>
      <c r="K585" s="60" t="s">
        <v>1900</v>
      </c>
      <c r="L585" s="60" t="s">
        <v>2922</v>
      </c>
      <c r="M585" s="507"/>
      <c r="N585" s="507"/>
      <c r="O585" s="507"/>
      <c r="P585" s="507"/>
      <c r="Q585" s="507"/>
      <c r="R585" s="60" t="s">
        <v>4477</v>
      </c>
      <c r="S585" s="54"/>
      <c r="T585" s="54"/>
      <c r="U585" s="54"/>
      <c r="V585" s="54"/>
      <c r="W585" s="54"/>
      <c r="X585" s="54"/>
      <c r="Y585" s="350"/>
      <c r="Z585" s="54"/>
      <c r="AA585" s="54"/>
      <c r="AB585" s="54"/>
      <c r="AC585" s="54"/>
      <c r="AD585" s="54"/>
      <c r="AE585" s="54"/>
      <c r="AF585" s="54"/>
      <c r="AG585" s="54"/>
      <c r="AH585" s="54"/>
      <c r="AI585" s="54"/>
      <c r="AJ585" s="54"/>
      <c r="AK585" s="54"/>
      <c r="AL585" s="54"/>
      <c r="AM585" s="54"/>
      <c r="AN585" s="54"/>
      <c r="AO585" s="54"/>
      <c r="AP585" s="54"/>
      <c r="AQ585" s="54"/>
      <c r="AR585" s="54"/>
      <c r="AS585" s="54"/>
      <c r="AT585" s="54"/>
    </row>
    <row r="586" ht="16.5" customHeight="1">
      <c r="A586" s="54"/>
      <c r="B586" s="504">
        <v>45922.635</v>
      </c>
      <c r="C586" s="60" t="s">
        <v>4478</v>
      </c>
      <c r="D586" s="47">
        <v>2.100016041E9</v>
      </c>
      <c r="E586" s="60" t="s">
        <v>2722</v>
      </c>
      <c r="F586" s="60">
        <v>8.816528145E9</v>
      </c>
      <c r="G586" s="60" t="s">
        <v>4479</v>
      </c>
      <c r="H586" s="505">
        <v>45679.0</v>
      </c>
      <c r="I586" s="506">
        <v>45672.0</v>
      </c>
      <c r="J586" s="60" t="s">
        <v>399</v>
      </c>
      <c r="K586" s="60" t="s">
        <v>1900</v>
      </c>
      <c r="L586" s="60" t="s">
        <v>117</v>
      </c>
      <c r="M586" s="507"/>
      <c r="N586" s="507"/>
      <c r="O586" s="507"/>
      <c r="P586" s="507"/>
      <c r="Q586" s="507"/>
      <c r="R586" s="60" t="s">
        <v>4480</v>
      </c>
      <c r="S586" s="54"/>
      <c r="T586" s="54"/>
      <c r="U586" s="54"/>
      <c r="V586" s="54"/>
      <c r="W586" s="54"/>
      <c r="X586" s="54"/>
      <c r="Y586" s="350"/>
      <c r="Z586" s="54"/>
      <c r="AA586" s="54"/>
      <c r="AB586" s="54"/>
      <c r="AC586" s="54"/>
      <c r="AD586" s="54"/>
      <c r="AE586" s="54"/>
      <c r="AF586" s="54"/>
      <c r="AG586" s="54"/>
      <c r="AH586" s="54"/>
      <c r="AI586" s="54"/>
      <c r="AJ586" s="54"/>
      <c r="AK586" s="54"/>
      <c r="AL586" s="54"/>
      <c r="AM586" s="54"/>
      <c r="AN586" s="54"/>
      <c r="AO586" s="54"/>
      <c r="AP586" s="54"/>
      <c r="AQ586" s="54"/>
      <c r="AR586" s="54"/>
      <c r="AS586" s="54"/>
      <c r="AT586" s="54"/>
    </row>
    <row r="587" ht="16.5" customHeight="1">
      <c r="A587" s="54"/>
      <c r="B587" s="504">
        <v>45923.349131944444</v>
      </c>
      <c r="C587" s="60" t="s">
        <v>2908</v>
      </c>
      <c r="D587" s="47">
        <v>2.100016036E9</v>
      </c>
      <c r="E587" s="60" t="s">
        <v>2909</v>
      </c>
      <c r="F587" s="60">
        <v>8.7879249745E10</v>
      </c>
      <c r="G587" s="60" t="s">
        <v>4481</v>
      </c>
      <c r="H587" s="505">
        <v>45692.0</v>
      </c>
      <c r="I587" s="506">
        <v>45741.0</v>
      </c>
      <c r="J587" s="60" t="s">
        <v>399</v>
      </c>
      <c r="K587" s="60" t="s">
        <v>1900</v>
      </c>
      <c r="L587" s="60" t="s">
        <v>117</v>
      </c>
      <c r="M587" s="507"/>
      <c r="N587" s="507"/>
      <c r="O587" s="507"/>
      <c r="P587" s="507"/>
      <c r="Q587" s="507"/>
      <c r="R587" s="60" t="s">
        <v>4482</v>
      </c>
      <c r="S587" s="54"/>
      <c r="T587" s="54"/>
      <c r="U587" s="54"/>
      <c r="V587" s="54"/>
      <c r="W587" s="54"/>
      <c r="X587" s="54"/>
      <c r="Y587" s="350"/>
      <c r="Z587" s="54"/>
      <c r="AA587" s="54"/>
      <c r="AB587" s="54"/>
      <c r="AC587" s="54"/>
      <c r="AD587" s="54"/>
      <c r="AE587" s="54"/>
      <c r="AF587" s="54"/>
      <c r="AG587" s="54"/>
      <c r="AH587" s="54"/>
      <c r="AI587" s="54"/>
      <c r="AJ587" s="54"/>
      <c r="AK587" s="54"/>
      <c r="AL587" s="54"/>
      <c r="AM587" s="54"/>
      <c r="AN587" s="54"/>
      <c r="AO587" s="54"/>
      <c r="AP587" s="54"/>
      <c r="AQ587" s="54"/>
      <c r="AR587" s="54"/>
      <c r="AS587" s="54"/>
      <c r="AT587" s="54"/>
    </row>
    <row r="588" ht="16.5" customHeight="1">
      <c r="A588" s="54"/>
      <c r="B588" s="504">
        <v>45924.40149305556</v>
      </c>
      <c r="C588" s="60" t="s">
        <v>4483</v>
      </c>
      <c r="D588" s="47">
        <v>2.100016021E9</v>
      </c>
      <c r="E588" s="60" t="s">
        <v>2702</v>
      </c>
      <c r="F588" s="60">
        <v>8.5822522586E10</v>
      </c>
      <c r="G588" s="60" t="s">
        <v>4484</v>
      </c>
      <c r="H588" s="505">
        <v>45614.0</v>
      </c>
      <c r="I588" s="506">
        <v>45670.0</v>
      </c>
      <c r="J588" s="60" t="s">
        <v>399</v>
      </c>
      <c r="K588" s="60" t="s">
        <v>183</v>
      </c>
      <c r="L588" s="60" t="s">
        <v>1900</v>
      </c>
      <c r="M588" s="507"/>
      <c r="N588" s="507"/>
      <c r="O588" s="507"/>
      <c r="P588" s="507"/>
      <c r="Q588" s="507"/>
      <c r="R588" s="60" t="s">
        <v>4485</v>
      </c>
      <c r="S588" s="54"/>
      <c r="T588" s="54"/>
      <c r="U588" s="54"/>
      <c r="V588" s="54"/>
      <c r="W588" s="54"/>
      <c r="X588" s="54"/>
      <c r="Y588" s="350"/>
      <c r="Z588" s="54"/>
      <c r="AA588" s="54"/>
      <c r="AB588" s="54"/>
      <c r="AC588" s="54"/>
      <c r="AD588" s="54"/>
      <c r="AE588" s="54"/>
      <c r="AF588" s="54"/>
      <c r="AG588" s="54"/>
      <c r="AH588" s="54"/>
      <c r="AI588" s="54"/>
      <c r="AJ588" s="54"/>
      <c r="AK588" s="54"/>
      <c r="AL588" s="54"/>
      <c r="AM588" s="54"/>
      <c r="AN588" s="54"/>
      <c r="AO588" s="54"/>
      <c r="AP588" s="54"/>
      <c r="AQ588" s="54"/>
      <c r="AR588" s="54"/>
      <c r="AS588" s="54"/>
      <c r="AT588" s="54"/>
    </row>
    <row r="589" ht="16.5" customHeight="1">
      <c r="A589" s="54"/>
      <c r="B589" s="504">
        <v>45925.948842592596</v>
      </c>
      <c r="C589" s="60" t="s">
        <v>2872</v>
      </c>
      <c r="D589" s="47">
        <v>2.100016083E9</v>
      </c>
      <c r="E589" s="60" t="s">
        <v>2873</v>
      </c>
      <c r="F589" s="60">
        <v>8.1383233756E10</v>
      </c>
      <c r="G589" s="60" t="s">
        <v>4486</v>
      </c>
      <c r="H589" s="505">
        <v>45797.0</v>
      </c>
      <c r="I589" s="506">
        <v>45677.0</v>
      </c>
      <c r="J589" s="60" t="s">
        <v>399</v>
      </c>
      <c r="K589" s="60" t="s">
        <v>183</v>
      </c>
      <c r="L589" s="60" t="s">
        <v>230</v>
      </c>
      <c r="M589" s="507"/>
      <c r="N589" s="507"/>
      <c r="O589" s="507"/>
      <c r="P589" s="507"/>
      <c r="Q589" s="507"/>
      <c r="R589" s="60" t="s">
        <v>4487</v>
      </c>
      <c r="S589" s="54"/>
      <c r="T589" s="54"/>
      <c r="U589" s="54"/>
      <c r="V589" s="54"/>
      <c r="W589" s="54"/>
      <c r="X589" s="54"/>
      <c r="Y589" s="350"/>
      <c r="Z589" s="54"/>
      <c r="AA589" s="54"/>
      <c r="AB589" s="54"/>
      <c r="AC589" s="54"/>
      <c r="AD589" s="54"/>
      <c r="AE589" s="54"/>
      <c r="AF589" s="54"/>
      <c r="AG589" s="54"/>
      <c r="AH589" s="54"/>
      <c r="AI589" s="54"/>
      <c r="AJ589" s="54"/>
      <c r="AK589" s="54"/>
      <c r="AL589" s="54"/>
      <c r="AM589" s="54"/>
      <c r="AN589" s="54"/>
      <c r="AO589" s="54"/>
      <c r="AP589" s="54"/>
      <c r="AQ589" s="54"/>
      <c r="AR589" s="54"/>
      <c r="AS589" s="54"/>
      <c r="AT589" s="54"/>
    </row>
    <row r="590" ht="16.5" customHeight="1">
      <c r="A590" s="54"/>
      <c r="B590" s="504">
        <v>45925.95694444444</v>
      </c>
      <c r="C590" s="60" t="s">
        <v>2802</v>
      </c>
      <c r="D590" s="47">
        <v>2.100016114E9</v>
      </c>
      <c r="E590" s="60" t="s">
        <v>2803</v>
      </c>
      <c r="F590" s="60">
        <v>8.9531925091E10</v>
      </c>
      <c r="G590" s="60" t="s">
        <v>4488</v>
      </c>
      <c r="H590" s="505">
        <v>45834.0</v>
      </c>
      <c r="I590" s="506">
        <v>45833.0</v>
      </c>
      <c r="J590" s="60" t="s">
        <v>399</v>
      </c>
      <c r="K590" s="60" t="s">
        <v>183</v>
      </c>
      <c r="L590" s="60" t="s">
        <v>241</v>
      </c>
      <c r="M590" s="507"/>
      <c r="N590" s="507"/>
      <c r="O590" s="507"/>
      <c r="P590" s="507"/>
      <c r="Q590" s="507"/>
      <c r="R590" s="60" t="s">
        <v>4489</v>
      </c>
      <c r="S590" s="54"/>
      <c r="T590" s="54"/>
      <c r="U590" s="54"/>
      <c r="V590" s="54"/>
      <c r="W590" s="54"/>
      <c r="X590" s="54"/>
      <c r="Y590" s="350"/>
      <c r="Z590" s="54"/>
      <c r="AA590" s="54"/>
      <c r="AB590" s="54"/>
      <c r="AC590" s="54"/>
      <c r="AD590" s="54"/>
      <c r="AE590" s="54"/>
      <c r="AF590" s="54"/>
      <c r="AG590" s="54"/>
      <c r="AH590" s="54"/>
      <c r="AI590" s="54"/>
      <c r="AJ590" s="54"/>
      <c r="AK590" s="54"/>
      <c r="AL590" s="54"/>
      <c r="AM590" s="54"/>
      <c r="AN590" s="54"/>
      <c r="AO590" s="54"/>
      <c r="AP590" s="54"/>
      <c r="AQ590" s="54"/>
      <c r="AR590" s="54"/>
      <c r="AS590" s="54"/>
      <c r="AT590" s="54"/>
    </row>
    <row r="591" ht="16.5" customHeight="1">
      <c r="A591" s="54"/>
      <c r="B591" s="504">
        <v>45927.05142361111</v>
      </c>
      <c r="C591" s="60" t="s">
        <v>2827</v>
      </c>
      <c r="D591" s="47">
        <v>2.100016116E9</v>
      </c>
      <c r="E591" s="60" t="s">
        <v>2828</v>
      </c>
      <c r="F591" s="60">
        <v>8.5239120674E10</v>
      </c>
      <c r="G591" s="60" t="s">
        <v>4490</v>
      </c>
      <c r="H591" s="505">
        <v>45682.0</v>
      </c>
      <c r="I591" s="506">
        <v>45681.0</v>
      </c>
      <c r="J591" s="60" t="s">
        <v>399</v>
      </c>
      <c r="K591" s="60" t="s">
        <v>183</v>
      </c>
      <c r="L591" s="60" t="s">
        <v>117</v>
      </c>
      <c r="M591" s="507"/>
      <c r="N591" s="507"/>
      <c r="O591" s="507"/>
      <c r="P591" s="507"/>
      <c r="Q591" s="507"/>
      <c r="R591" s="60" t="s">
        <v>4491</v>
      </c>
      <c r="S591" s="54"/>
      <c r="T591" s="54"/>
      <c r="U591" s="54"/>
      <c r="V591" s="54"/>
      <c r="W591" s="54"/>
      <c r="X591" s="54"/>
      <c r="Y591" s="350"/>
      <c r="Z591" s="54"/>
      <c r="AA591" s="54"/>
      <c r="AB591" s="54"/>
      <c r="AC591" s="54"/>
      <c r="AD591" s="54"/>
      <c r="AE591" s="54"/>
      <c r="AF591" s="54"/>
      <c r="AG591" s="54"/>
      <c r="AH591" s="54"/>
      <c r="AI591" s="54"/>
      <c r="AJ591" s="54"/>
      <c r="AK591" s="54"/>
      <c r="AL591" s="54"/>
      <c r="AM591" s="54"/>
      <c r="AN591" s="54"/>
      <c r="AO591" s="54"/>
      <c r="AP591" s="54"/>
      <c r="AQ591" s="54"/>
      <c r="AR591" s="54"/>
      <c r="AS591" s="54"/>
      <c r="AT591" s="54"/>
    </row>
    <row r="592" ht="16.5" customHeight="1">
      <c r="A592" s="54"/>
      <c r="B592" s="504">
        <v>45943.86277777778</v>
      </c>
      <c r="C592" s="60" t="s">
        <v>2836</v>
      </c>
      <c r="D592" s="47">
        <v>2.100016103E9</v>
      </c>
      <c r="E592" s="60" t="s">
        <v>2837</v>
      </c>
      <c r="F592" s="60">
        <v>8.5591142923E10</v>
      </c>
      <c r="G592" s="60" t="s">
        <v>4492</v>
      </c>
      <c r="H592" s="505">
        <v>45522.0</v>
      </c>
      <c r="I592" s="506">
        <v>45680.0</v>
      </c>
      <c r="J592" s="60" t="s">
        <v>399</v>
      </c>
      <c r="K592" s="60" t="s">
        <v>1900</v>
      </c>
      <c r="L592" s="60" t="s">
        <v>3013</v>
      </c>
      <c r="M592" s="507"/>
      <c r="N592" s="507"/>
      <c r="O592" s="507"/>
      <c r="P592" s="507"/>
      <c r="Q592" s="507"/>
      <c r="R592" s="60" t="s">
        <v>4493</v>
      </c>
      <c r="S592" s="54"/>
      <c r="T592" s="54"/>
      <c r="U592" s="54"/>
      <c r="V592" s="54"/>
      <c r="W592" s="54"/>
      <c r="X592" s="54"/>
      <c r="Y592" s="350"/>
      <c r="Z592" s="54"/>
      <c r="AA592" s="54"/>
      <c r="AB592" s="54"/>
      <c r="AC592" s="54"/>
      <c r="AD592" s="54"/>
      <c r="AE592" s="54"/>
      <c r="AF592" s="54"/>
      <c r="AG592" s="54"/>
      <c r="AH592" s="54"/>
      <c r="AI592" s="54"/>
      <c r="AJ592" s="54"/>
      <c r="AK592" s="54"/>
      <c r="AL592" s="54"/>
      <c r="AM592" s="54"/>
      <c r="AN592" s="54"/>
      <c r="AO592" s="54"/>
      <c r="AP592" s="54"/>
      <c r="AQ592" s="54"/>
      <c r="AR592" s="54"/>
      <c r="AS592" s="54"/>
      <c r="AT592" s="54"/>
    </row>
    <row r="593" ht="16.5" customHeight="1">
      <c r="A593" s="54"/>
      <c r="B593" s="504">
        <v>45971.70346064815</v>
      </c>
      <c r="C593" s="60" t="s">
        <v>2876</v>
      </c>
      <c r="D593" s="47">
        <v>2.100016005E9</v>
      </c>
      <c r="E593" s="60" t="s">
        <v>2877</v>
      </c>
      <c r="F593" s="60">
        <v>8.5641346475E10</v>
      </c>
      <c r="G593" s="60" t="s">
        <v>4494</v>
      </c>
      <c r="H593" s="505">
        <v>45689.0</v>
      </c>
      <c r="I593" s="506">
        <v>45677.0</v>
      </c>
      <c r="J593" s="60" t="s">
        <v>399</v>
      </c>
      <c r="K593" s="60" t="s">
        <v>183</v>
      </c>
      <c r="L593" s="60" t="s">
        <v>230</v>
      </c>
      <c r="M593" s="507"/>
      <c r="N593" s="507"/>
      <c r="O593" s="507"/>
      <c r="P593" s="507"/>
      <c r="Q593" s="507"/>
      <c r="R593" s="60" t="s">
        <v>4495</v>
      </c>
      <c r="S593" s="54"/>
      <c r="T593" s="54"/>
      <c r="U593" s="54"/>
      <c r="V593" s="54"/>
      <c r="W593" s="54"/>
      <c r="X593" s="54"/>
      <c r="Y593" s="350"/>
      <c r="Z593" s="54"/>
      <c r="AA593" s="54"/>
      <c r="AB593" s="54"/>
      <c r="AC593" s="54"/>
      <c r="AD593" s="54"/>
      <c r="AE593" s="54"/>
      <c r="AF593" s="54"/>
      <c r="AG593" s="54"/>
      <c r="AH593" s="54"/>
      <c r="AI593" s="54"/>
      <c r="AJ593" s="54"/>
      <c r="AK593" s="54"/>
      <c r="AL593" s="54"/>
      <c r="AM593" s="54"/>
      <c r="AN593" s="54"/>
      <c r="AO593" s="54"/>
      <c r="AP593" s="54"/>
      <c r="AQ593" s="54"/>
      <c r="AR593" s="54"/>
      <c r="AS593" s="54"/>
      <c r="AT593" s="54"/>
    </row>
    <row r="594" ht="16.5" customHeight="1">
      <c r="A594" s="54"/>
      <c r="B594" s="504">
        <v>45982.934224537035</v>
      </c>
      <c r="C594" s="60" t="s">
        <v>2848</v>
      </c>
      <c r="D594" s="47">
        <v>2.100016091E9</v>
      </c>
      <c r="E594" s="60" t="s">
        <v>2849</v>
      </c>
      <c r="F594" s="60">
        <v>8.8706658331E10</v>
      </c>
      <c r="G594" s="60" t="s">
        <v>4496</v>
      </c>
      <c r="H594" s="505">
        <v>45600.0</v>
      </c>
      <c r="I594" s="506">
        <v>45873.0</v>
      </c>
      <c r="J594" s="60" t="s">
        <v>399</v>
      </c>
      <c r="K594" s="60" t="s">
        <v>117</v>
      </c>
      <c r="L594" s="60" t="s">
        <v>183</v>
      </c>
      <c r="M594" s="507"/>
      <c r="N594" s="507"/>
      <c r="O594" s="507"/>
      <c r="P594" s="507"/>
      <c r="Q594" s="507"/>
      <c r="R594" s="60" t="s">
        <v>4497</v>
      </c>
      <c r="S594" s="54"/>
      <c r="T594" s="54"/>
      <c r="U594" s="54"/>
      <c r="V594" s="54"/>
      <c r="W594" s="54"/>
      <c r="X594" s="54"/>
      <c r="Y594" s="350"/>
      <c r="Z594" s="54"/>
      <c r="AA594" s="54"/>
      <c r="AB594" s="54"/>
      <c r="AC594" s="54"/>
      <c r="AD594" s="54"/>
      <c r="AE594" s="54"/>
      <c r="AF594" s="54"/>
      <c r="AG594" s="54"/>
      <c r="AH594" s="54"/>
      <c r="AI594" s="54"/>
      <c r="AJ594" s="54"/>
      <c r="AK594" s="54"/>
      <c r="AL594" s="54"/>
      <c r="AM594" s="54"/>
      <c r="AN594" s="54"/>
      <c r="AO594" s="54"/>
      <c r="AP594" s="54"/>
      <c r="AQ594" s="54"/>
      <c r="AR594" s="54"/>
      <c r="AS594" s="54"/>
      <c r="AT594" s="54"/>
    </row>
    <row r="595" ht="16.5" customHeight="1">
      <c r="A595" s="54"/>
      <c r="B595" s="504">
        <v>45996.53606481481</v>
      </c>
      <c r="C595" s="60" t="s">
        <v>2554</v>
      </c>
      <c r="D595" s="47">
        <v>2.000016147E9</v>
      </c>
      <c r="E595" s="60" t="s">
        <v>2555</v>
      </c>
      <c r="F595" s="60">
        <v>8.1356975155E10</v>
      </c>
      <c r="G595" s="60" t="s">
        <v>4498</v>
      </c>
      <c r="H595" s="505">
        <v>45716.0</v>
      </c>
      <c r="I595" s="506">
        <v>45638.0</v>
      </c>
      <c r="J595" s="60" t="s">
        <v>399</v>
      </c>
      <c r="K595" s="60" t="s">
        <v>4412</v>
      </c>
      <c r="L595" s="60" t="s">
        <v>241</v>
      </c>
      <c r="M595" s="507"/>
      <c r="N595" s="507"/>
      <c r="O595" s="507"/>
      <c r="P595" s="507"/>
      <c r="Q595" s="507"/>
      <c r="R595" s="60" t="s">
        <v>4499</v>
      </c>
      <c r="S595" s="54"/>
      <c r="T595" s="54"/>
      <c r="U595" s="54"/>
      <c r="V595" s="54"/>
      <c r="W595" s="54"/>
      <c r="X595" s="54"/>
      <c r="Y595" s="350"/>
      <c r="Z595" s="54"/>
      <c r="AA595" s="54"/>
      <c r="AB595" s="54"/>
      <c r="AC595" s="54"/>
      <c r="AD595" s="54"/>
      <c r="AE595" s="54"/>
      <c r="AF595" s="54"/>
      <c r="AG595" s="54"/>
      <c r="AH595" s="54"/>
      <c r="AI595" s="54"/>
      <c r="AJ595" s="54"/>
      <c r="AK595" s="54"/>
      <c r="AL595" s="54"/>
      <c r="AM595" s="54"/>
      <c r="AN595" s="54"/>
      <c r="AO595" s="54"/>
      <c r="AP595" s="54"/>
      <c r="AQ595" s="54"/>
      <c r="AR595" s="54"/>
      <c r="AS595" s="54"/>
      <c r="AT595" s="54"/>
    </row>
    <row r="596" ht="16.5" customHeight="1">
      <c r="A596" s="54"/>
      <c r="B596" s="504">
        <v>45996.53706018518</v>
      </c>
      <c r="C596" s="60" t="s">
        <v>2567</v>
      </c>
      <c r="D596" s="47">
        <v>2.000016046E9</v>
      </c>
      <c r="E596" s="60" t="s">
        <v>2568</v>
      </c>
      <c r="F596" s="60">
        <v>8.2386130166E10</v>
      </c>
      <c r="G596" s="60" t="s">
        <v>4500</v>
      </c>
      <c r="H596" s="505">
        <v>45894.0</v>
      </c>
      <c r="I596" s="506">
        <v>45638.0</v>
      </c>
      <c r="J596" s="60" t="s">
        <v>399</v>
      </c>
      <c r="K596" s="60" t="s">
        <v>4412</v>
      </c>
      <c r="L596" s="60" t="s">
        <v>241</v>
      </c>
      <c r="M596" s="507"/>
      <c r="N596" s="507"/>
      <c r="O596" s="507"/>
      <c r="P596" s="507"/>
      <c r="Q596" s="507"/>
      <c r="R596" s="60" t="s">
        <v>4501</v>
      </c>
      <c r="S596" s="54"/>
      <c r="T596" s="54"/>
      <c r="U596" s="54"/>
      <c r="V596" s="54"/>
      <c r="W596" s="54"/>
      <c r="X596" s="54"/>
      <c r="Y596" s="350"/>
      <c r="Z596" s="54"/>
      <c r="AA596" s="54"/>
      <c r="AB596" s="54"/>
      <c r="AC596" s="54"/>
      <c r="AD596" s="54"/>
      <c r="AE596" s="54"/>
      <c r="AF596" s="54"/>
      <c r="AG596" s="54"/>
      <c r="AH596" s="54"/>
      <c r="AI596" s="54"/>
      <c r="AJ596" s="54"/>
      <c r="AK596" s="54"/>
      <c r="AL596" s="54"/>
      <c r="AM596" s="54"/>
      <c r="AN596" s="54"/>
      <c r="AO596" s="54"/>
      <c r="AP596" s="54"/>
      <c r="AQ596" s="54"/>
      <c r="AR596" s="54"/>
      <c r="AS596" s="54"/>
      <c r="AT596" s="54"/>
    </row>
    <row r="597" ht="16.5" customHeight="1">
      <c r="A597" s="54"/>
      <c r="B597" s="504">
        <v>45996.67153935185</v>
      </c>
      <c r="C597" s="60" t="s">
        <v>2790</v>
      </c>
      <c r="D597" s="47">
        <v>2.100016071E9</v>
      </c>
      <c r="E597" s="60" t="s">
        <v>2791</v>
      </c>
      <c r="F597" s="60">
        <v>8.985244501E9</v>
      </c>
      <c r="G597" s="60" t="s">
        <v>4502</v>
      </c>
      <c r="H597" s="505">
        <v>45678.0</v>
      </c>
      <c r="I597" s="506">
        <v>45677.0</v>
      </c>
      <c r="J597" s="60" t="s">
        <v>399</v>
      </c>
      <c r="K597" s="60" t="s">
        <v>2617</v>
      </c>
      <c r="L597" s="60" t="s">
        <v>117</v>
      </c>
      <c r="M597" s="507"/>
      <c r="N597" s="507"/>
      <c r="O597" s="507"/>
      <c r="P597" s="507"/>
      <c r="Q597" s="507"/>
      <c r="R597" s="60" t="s">
        <v>4503</v>
      </c>
      <c r="S597" s="54"/>
      <c r="T597" s="54"/>
      <c r="U597" s="54"/>
      <c r="V597" s="54"/>
      <c r="W597" s="54"/>
      <c r="X597" s="54"/>
      <c r="Y597" s="350"/>
      <c r="Z597" s="54"/>
      <c r="AA597" s="54"/>
      <c r="AB597" s="54"/>
      <c r="AC597" s="54"/>
      <c r="AD597" s="54"/>
      <c r="AE597" s="54"/>
      <c r="AF597" s="54"/>
      <c r="AG597" s="54"/>
      <c r="AH597" s="54"/>
      <c r="AI597" s="54"/>
      <c r="AJ597" s="54"/>
      <c r="AK597" s="54"/>
      <c r="AL597" s="54"/>
      <c r="AM597" s="54"/>
      <c r="AN597" s="54"/>
      <c r="AO597" s="54"/>
      <c r="AP597" s="54"/>
      <c r="AQ597" s="54"/>
      <c r="AR597" s="54"/>
      <c r="AS597" s="54"/>
      <c r="AT597" s="54"/>
    </row>
    <row r="598" ht="16.5" customHeight="1">
      <c r="A598" s="54"/>
      <c r="B598" s="504">
        <v>46002.389444444445</v>
      </c>
      <c r="C598" s="60" t="s">
        <v>4504</v>
      </c>
      <c r="D598" s="47">
        <v>1.900016164E9</v>
      </c>
      <c r="E598" s="60" t="s">
        <v>2473</v>
      </c>
      <c r="F598" s="60">
        <v>8.96144877E10</v>
      </c>
      <c r="G598" s="60" t="s">
        <v>4505</v>
      </c>
      <c r="H598" s="505">
        <v>45413.0</v>
      </c>
      <c r="I598" s="506">
        <v>45511.0</v>
      </c>
      <c r="J598" s="60" t="s">
        <v>399</v>
      </c>
      <c r="K598" s="60" t="s">
        <v>117</v>
      </c>
      <c r="L598" s="60" t="s">
        <v>1900</v>
      </c>
      <c r="M598" s="507"/>
      <c r="N598" s="507"/>
      <c r="O598" s="507"/>
      <c r="P598" s="507"/>
      <c r="Q598" s="507"/>
      <c r="R598" s="60" t="s">
        <v>4506</v>
      </c>
      <c r="S598" s="54"/>
      <c r="T598" s="54"/>
      <c r="U598" s="54"/>
      <c r="V598" s="54"/>
      <c r="W598" s="54"/>
      <c r="X598" s="54"/>
      <c r="Y598" s="350"/>
      <c r="Z598" s="54"/>
      <c r="AA598" s="54"/>
      <c r="AB598" s="54"/>
      <c r="AC598" s="54"/>
      <c r="AD598" s="54"/>
      <c r="AE598" s="54"/>
      <c r="AF598" s="54"/>
      <c r="AG598" s="54"/>
      <c r="AH598" s="54"/>
      <c r="AI598" s="54"/>
      <c r="AJ598" s="54"/>
      <c r="AK598" s="54"/>
      <c r="AL598" s="54"/>
      <c r="AM598" s="54"/>
      <c r="AN598" s="54"/>
      <c r="AO598" s="54"/>
      <c r="AP598" s="54"/>
      <c r="AQ598" s="54"/>
      <c r="AR598" s="54"/>
      <c r="AS598" s="54"/>
      <c r="AT598" s="54"/>
    </row>
    <row r="599" ht="16.5" customHeight="1">
      <c r="A599" s="54"/>
      <c r="B599" s="504">
        <v>46003.69269675926</v>
      </c>
      <c r="C599" s="60" t="s">
        <v>4507</v>
      </c>
      <c r="D599" s="47">
        <v>2.111016049E9</v>
      </c>
      <c r="E599" s="60" t="s">
        <v>2820</v>
      </c>
      <c r="F599" s="60">
        <v>8.95326844313E11</v>
      </c>
      <c r="G599" s="60" t="s">
        <v>4508</v>
      </c>
      <c r="H599" s="505">
        <v>45943.0</v>
      </c>
      <c r="I599" s="506">
        <v>45939.0</v>
      </c>
      <c r="J599" s="60" t="s">
        <v>399</v>
      </c>
      <c r="K599" s="60" t="s">
        <v>117</v>
      </c>
      <c r="L599" s="60" t="s">
        <v>3013</v>
      </c>
      <c r="M599" s="507"/>
      <c r="N599" s="507"/>
      <c r="O599" s="507"/>
      <c r="P599" s="507"/>
      <c r="Q599" s="507"/>
      <c r="R599" s="60" t="s">
        <v>4509</v>
      </c>
      <c r="S599" s="54"/>
      <c r="T599" s="54"/>
      <c r="U599" s="54"/>
      <c r="V599" s="54"/>
      <c r="W599" s="54"/>
      <c r="X599" s="54"/>
      <c r="Y599" s="350"/>
      <c r="Z599" s="54"/>
      <c r="AA599" s="54"/>
      <c r="AB599" s="54"/>
      <c r="AC599" s="54"/>
      <c r="AD599" s="54"/>
      <c r="AE599" s="54"/>
      <c r="AF599" s="54"/>
      <c r="AG599" s="54"/>
      <c r="AH599" s="54"/>
      <c r="AI599" s="54"/>
      <c r="AJ599" s="54"/>
      <c r="AK599" s="54"/>
      <c r="AL599" s="54"/>
      <c r="AM599" s="54"/>
      <c r="AN599" s="54"/>
      <c r="AO599" s="54"/>
      <c r="AP599" s="54"/>
      <c r="AQ599" s="54"/>
      <c r="AR599" s="54"/>
      <c r="AS599" s="54"/>
      <c r="AT599" s="54"/>
    </row>
    <row r="600" ht="16.5" customHeight="1">
      <c r="A600" s="54"/>
      <c r="B600" s="504">
        <v>46007.40121527778</v>
      </c>
      <c r="C600" s="60" t="s">
        <v>2860</v>
      </c>
      <c r="D600" s="47">
        <v>2.100016127E9</v>
      </c>
      <c r="E600" s="60" t="s">
        <v>2861</v>
      </c>
      <c r="F600" s="60">
        <v>8.9639222715E10</v>
      </c>
      <c r="G600" s="60" t="s">
        <v>4510</v>
      </c>
      <c r="H600" s="505">
        <v>45598.0</v>
      </c>
      <c r="I600" s="506">
        <v>45681.0</v>
      </c>
      <c r="J600" s="60" t="s">
        <v>399</v>
      </c>
      <c r="K600" s="60" t="s">
        <v>183</v>
      </c>
      <c r="L600" s="60" t="s">
        <v>2922</v>
      </c>
      <c r="M600" s="507"/>
      <c r="N600" s="507"/>
      <c r="O600" s="507"/>
      <c r="P600" s="507"/>
      <c r="Q600" s="507"/>
      <c r="R600" s="60" t="s">
        <v>4511</v>
      </c>
      <c r="S600" s="54"/>
      <c r="T600" s="54"/>
      <c r="U600" s="54"/>
      <c r="V600" s="54"/>
      <c r="W600" s="54"/>
      <c r="X600" s="54"/>
      <c r="Y600" s="350"/>
      <c r="Z600" s="54"/>
      <c r="AA600" s="54"/>
      <c r="AB600" s="54"/>
      <c r="AC600" s="54"/>
      <c r="AD600" s="54"/>
      <c r="AE600" s="54"/>
      <c r="AF600" s="54"/>
      <c r="AG600" s="54"/>
      <c r="AH600" s="54"/>
      <c r="AI600" s="54"/>
      <c r="AJ600" s="54"/>
      <c r="AK600" s="54"/>
      <c r="AL600" s="54"/>
      <c r="AM600" s="54"/>
      <c r="AN600" s="54"/>
      <c r="AO600" s="54"/>
      <c r="AP600" s="54"/>
      <c r="AQ600" s="54"/>
      <c r="AR600" s="54"/>
      <c r="AS600" s="54"/>
      <c r="AT600" s="54"/>
    </row>
    <row r="601">
      <c r="A601" s="54"/>
      <c r="B601" s="504">
        <v>46006.4825</v>
      </c>
      <c r="C601" s="60" t="s">
        <v>2823</v>
      </c>
      <c r="D601" s="47">
        <v>2.100016084E9</v>
      </c>
      <c r="E601" s="60" t="s">
        <v>2824</v>
      </c>
      <c r="F601" s="60">
        <v>8.988828873E9</v>
      </c>
      <c r="G601" s="60" t="s">
        <v>4512</v>
      </c>
      <c r="H601" s="505">
        <v>45330.0</v>
      </c>
      <c r="I601" s="506">
        <v>45908.0</v>
      </c>
      <c r="J601" s="60" t="s">
        <v>399</v>
      </c>
      <c r="K601" s="60" t="s">
        <v>117</v>
      </c>
      <c r="L601" s="60" t="s">
        <v>3013</v>
      </c>
      <c r="M601" s="507"/>
      <c r="N601" s="507"/>
      <c r="O601" s="507"/>
      <c r="P601" s="507"/>
      <c r="Q601" s="507"/>
      <c r="R601" s="60" t="s">
        <v>4513</v>
      </c>
      <c r="S601" s="54"/>
      <c r="T601" s="54"/>
      <c r="U601" s="54"/>
      <c r="V601" s="54"/>
      <c r="W601" s="54"/>
      <c r="X601" s="54"/>
      <c r="Y601" s="350"/>
      <c r="Z601" s="54"/>
      <c r="AA601" s="54"/>
      <c r="AB601" s="54"/>
      <c r="AC601" s="54"/>
      <c r="AD601" s="54"/>
      <c r="AE601" s="54"/>
      <c r="AF601" s="54"/>
      <c r="AG601" s="54"/>
      <c r="AH601" s="54"/>
      <c r="AI601" s="54"/>
      <c r="AJ601" s="54"/>
      <c r="AK601" s="54"/>
      <c r="AL601" s="54"/>
      <c r="AM601" s="54"/>
      <c r="AN601" s="54"/>
      <c r="AO601" s="54"/>
      <c r="AP601" s="54"/>
      <c r="AQ601" s="54"/>
      <c r="AR601" s="54"/>
      <c r="AS601" s="54"/>
      <c r="AT601" s="54"/>
    </row>
    <row r="602">
      <c r="A602" s="54"/>
      <c r="B602" s="504">
        <v>46013.79452546296</v>
      </c>
      <c r="C602" s="60" t="s">
        <v>4514</v>
      </c>
      <c r="D602" s="47">
        <v>2.100016007E9</v>
      </c>
      <c r="E602" s="60" t="s">
        <v>4515</v>
      </c>
      <c r="F602" s="60">
        <v>8.1259235513E10</v>
      </c>
      <c r="G602" s="60" t="s">
        <v>4516</v>
      </c>
      <c r="H602" s="505">
        <v>45720.0</v>
      </c>
      <c r="I602" s="506">
        <v>45875.0</v>
      </c>
      <c r="J602" s="60" t="s">
        <v>399</v>
      </c>
      <c r="K602" s="60" t="s">
        <v>241</v>
      </c>
      <c r="L602" s="60" t="s">
        <v>4517</v>
      </c>
      <c r="M602" s="507"/>
      <c r="N602" s="507"/>
      <c r="O602" s="507"/>
      <c r="P602" s="507"/>
      <c r="Q602" s="507"/>
      <c r="R602" s="60" t="s">
        <v>4518</v>
      </c>
      <c r="S602" s="54"/>
      <c r="T602" s="54"/>
      <c r="U602" s="54"/>
      <c r="V602" s="54"/>
      <c r="W602" s="54"/>
      <c r="X602" s="54"/>
      <c r="Y602" s="350"/>
      <c r="Z602" s="54"/>
      <c r="AA602" s="54"/>
      <c r="AB602" s="54"/>
      <c r="AC602" s="54"/>
      <c r="AD602" s="54"/>
      <c r="AE602" s="54"/>
      <c r="AF602" s="54"/>
      <c r="AG602" s="54"/>
      <c r="AH602" s="54"/>
      <c r="AI602" s="54"/>
      <c r="AJ602" s="54"/>
      <c r="AK602" s="54"/>
      <c r="AL602" s="54"/>
      <c r="AM602" s="54"/>
      <c r="AN602" s="54"/>
      <c r="AO602" s="54"/>
      <c r="AP602" s="54"/>
      <c r="AQ602" s="54"/>
      <c r="AR602" s="54"/>
      <c r="AS602" s="54"/>
      <c r="AT602" s="54"/>
    </row>
    <row r="603">
      <c r="A603" s="54"/>
      <c r="B603" s="504">
        <v>46015.563726851855</v>
      </c>
      <c r="C603" s="60" t="s">
        <v>2898</v>
      </c>
      <c r="D603" s="47">
        <v>1.900016076E9</v>
      </c>
      <c r="E603" s="60" t="s">
        <v>2899</v>
      </c>
      <c r="F603" s="60">
        <v>8.135329747E10</v>
      </c>
      <c r="G603" s="60" t="s">
        <v>2901</v>
      </c>
      <c r="H603" s="505">
        <v>45963.0</v>
      </c>
      <c r="I603" s="506">
        <v>45687.0</v>
      </c>
      <c r="J603" s="60" t="s">
        <v>399</v>
      </c>
      <c r="K603" s="60" t="s">
        <v>1900</v>
      </c>
      <c r="L603" s="60" t="s">
        <v>2922</v>
      </c>
      <c r="M603" s="507"/>
      <c r="N603" s="507"/>
      <c r="O603" s="507"/>
      <c r="P603" s="507"/>
      <c r="Q603" s="507"/>
      <c r="R603" s="60" t="s">
        <v>4519</v>
      </c>
      <c r="S603" s="54"/>
      <c r="T603" s="54"/>
      <c r="U603" s="54"/>
      <c r="V603" s="54"/>
      <c r="W603" s="54"/>
      <c r="X603" s="54"/>
      <c r="Y603" s="350"/>
      <c r="Z603" s="54"/>
      <c r="AA603" s="54"/>
      <c r="AB603" s="54"/>
      <c r="AC603" s="54"/>
      <c r="AD603" s="54"/>
      <c r="AE603" s="54"/>
      <c r="AF603" s="54"/>
      <c r="AG603" s="54"/>
      <c r="AH603" s="54"/>
      <c r="AI603" s="54"/>
      <c r="AJ603" s="54"/>
      <c r="AK603" s="54"/>
      <c r="AL603" s="54"/>
      <c r="AM603" s="54"/>
      <c r="AN603" s="54"/>
      <c r="AO603" s="54"/>
      <c r="AP603" s="54"/>
      <c r="AQ603" s="54"/>
      <c r="AR603" s="54"/>
      <c r="AS603" s="54"/>
      <c r="AT603" s="54"/>
    </row>
    <row r="604">
      <c r="A604" s="54"/>
      <c r="B604" s="504">
        <v>46029.65840277778</v>
      </c>
      <c r="C604" s="60" t="s">
        <v>4520</v>
      </c>
      <c r="D604" s="47">
        <v>2.100016115E9</v>
      </c>
      <c r="E604" s="60" t="s">
        <v>4521</v>
      </c>
      <c r="F604" s="60">
        <v>8.5366562013E10</v>
      </c>
      <c r="G604" s="60" t="s">
        <v>4522</v>
      </c>
      <c r="H604" s="505">
        <v>45844.0</v>
      </c>
      <c r="I604" s="506">
        <v>45838.0</v>
      </c>
      <c r="J604" s="60" t="s">
        <v>399</v>
      </c>
      <c r="K604" s="60" t="s">
        <v>117</v>
      </c>
      <c r="L604" s="60" t="s">
        <v>2922</v>
      </c>
      <c r="M604" s="507"/>
      <c r="N604" s="507"/>
      <c r="O604" s="507"/>
      <c r="P604" s="507"/>
      <c r="Q604" s="507"/>
      <c r="R604" s="60" t="s">
        <v>4523</v>
      </c>
      <c r="S604" s="54"/>
      <c r="T604" s="54"/>
      <c r="U604" s="54"/>
      <c r="V604" s="54"/>
      <c r="W604" s="54"/>
      <c r="X604" s="54"/>
      <c r="Y604" s="350"/>
      <c r="Z604" s="54"/>
      <c r="AA604" s="54"/>
      <c r="AB604" s="54"/>
      <c r="AC604" s="54"/>
      <c r="AD604" s="54"/>
      <c r="AE604" s="54"/>
      <c r="AF604" s="54"/>
      <c r="AG604" s="54"/>
      <c r="AH604" s="54"/>
      <c r="AI604" s="54"/>
      <c r="AJ604" s="54"/>
      <c r="AK604" s="54"/>
      <c r="AL604" s="54"/>
      <c r="AM604" s="54"/>
      <c r="AN604" s="54"/>
      <c r="AO604" s="54"/>
      <c r="AP604" s="54"/>
      <c r="AQ604" s="54"/>
      <c r="AR604" s="54"/>
      <c r="AS604" s="54"/>
      <c r="AT604" s="54"/>
    </row>
    <row r="605">
      <c r="A605" s="54"/>
      <c r="B605" s="504">
        <v>46035.881631944445</v>
      </c>
      <c r="C605" s="60" t="s">
        <v>4524</v>
      </c>
      <c r="D605" s="47">
        <v>2.100016104E9</v>
      </c>
      <c r="E605" s="60" t="s">
        <v>4525</v>
      </c>
      <c r="F605" s="60">
        <v>8.1917096536E10</v>
      </c>
      <c r="G605" s="60" t="s">
        <v>4526</v>
      </c>
      <c r="H605" s="505">
        <v>45809.0</v>
      </c>
      <c r="I605" s="506">
        <v>45870.0</v>
      </c>
      <c r="J605" s="60" t="s">
        <v>399</v>
      </c>
      <c r="K605" s="60" t="s">
        <v>230</v>
      </c>
      <c r="L605" s="60" t="s">
        <v>241</v>
      </c>
      <c r="M605" s="507"/>
      <c r="N605" s="507"/>
      <c r="O605" s="507"/>
      <c r="P605" s="507"/>
      <c r="Q605" s="507"/>
      <c r="R605" s="60" t="s">
        <v>4527</v>
      </c>
      <c r="S605" s="54"/>
      <c r="T605" s="54"/>
      <c r="U605" s="54"/>
      <c r="V605" s="54"/>
      <c r="W605" s="54"/>
      <c r="X605" s="54"/>
      <c r="Y605" s="350"/>
      <c r="Z605" s="54"/>
      <c r="AA605" s="54"/>
      <c r="AB605" s="54"/>
      <c r="AC605" s="54"/>
      <c r="AD605" s="54"/>
      <c r="AE605" s="54"/>
      <c r="AF605" s="54"/>
      <c r="AG605" s="54"/>
      <c r="AH605" s="54"/>
      <c r="AI605" s="54"/>
      <c r="AJ605" s="54"/>
      <c r="AK605" s="54"/>
      <c r="AL605" s="54"/>
      <c r="AM605" s="54"/>
      <c r="AN605" s="54"/>
      <c r="AO605" s="54"/>
      <c r="AP605" s="54"/>
      <c r="AQ605" s="54"/>
      <c r="AR605" s="54"/>
      <c r="AS605" s="54"/>
      <c r="AT605" s="54"/>
    </row>
    <row r="606">
      <c r="A606" s="54"/>
      <c r="B606" s="504">
        <v>46038.86550925926</v>
      </c>
      <c r="C606" s="60" t="s">
        <v>4528</v>
      </c>
      <c r="D606" s="47">
        <v>2.1000161E9</v>
      </c>
      <c r="E606" s="60" t="s">
        <v>4529</v>
      </c>
      <c r="F606" s="60">
        <v>8.1225127782E10</v>
      </c>
      <c r="G606" s="60" t="s">
        <v>4530</v>
      </c>
      <c r="H606" s="505">
        <v>45893.0</v>
      </c>
      <c r="I606" s="506">
        <v>45856.0</v>
      </c>
      <c r="J606" s="60" t="s">
        <v>399</v>
      </c>
      <c r="K606" s="60" t="s">
        <v>117</v>
      </c>
      <c r="L606" s="60" t="s">
        <v>2922</v>
      </c>
      <c r="M606" s="507"/>
      <c r="N606" s="507"/>
      <c r="O606" s="507"/>
      <c r="P606" s="507"/>
      <c r="Q606" s="507"/>
      <c r="R606" s="60" t="s">
        <v>4531</v>
      </c>
      <c r="S606" s="54"/>
      <c r="T606" s="54"/>
      <c r="U606" s="54"/>
      <c r="V606" s="54"/>
      <c r="W606" s="54"/>
      <c r="X606" s="54"/>
      <c r="Y606" s="350"/>
      <c r="Z606" s="54"/>
      <c r="AA606" s="54"/>
      <c r="AB606" s="54"/>
      <c r="AC606" s="54"/>
      <c r="AD606" s="54"/>
      <c r="AE606" s="54"/>
      <c r="AF606" s="54"/>
      <c r="AG606" s="54"/>
      <c r="AH606" s="54"/>
      <c r="AI606" s="54"/>
      <c r="AJ606" s="54"/>
      <c r="AK606" s="54"/>
      <c r="AL606" s="54"/>
      <c r="AM606" s="54"/>
      <c r="AN606" s="54"/>
      <c r="AO606" s="54"/>
      <c r="AP606" s="54"/>
      <c r="AQ606" s="54"/>
      <c r="AR606" s="54"/>
      <c r="AS606" s="54"/>
      <c r="AT606" s="54"/>
    </row>
    <row r="607">
      <c r="A607" s="54"/>
      <c r="B607" s="504">
        <v>46046.543287037035</v>
      </c>
      <c r="C607" s="60" t="s">
        <v>4532</v>
      </c>
      <c r="D607" s="47">
        <v>2.100016027E9</v>
      </c>
      <c r="E607" s="60" t="s">
        <v>4533</v>
      </c>
      <c r="F607" s="60">
        <v>8.5398156188E10</v>
      </c>
      <c r="G607" s="60" t="s">
        <v>4534</v>
      </c>
      <c r="H607" s="505">
        <v>45727.0</v>
      </c>
      <c r="I607" s="506">
        <v>45860.0</v>
      </c>
      <c r="J607" s="60" t="s">
        <v>399</v>
      </c>
      <c r="K607" s="60" t="s">
        <v>230</v>
      </c>
      <c r="L607" s="60" t="s">
        <v>3013</v>
      </c>
      <c r="M607" s="507"/>
      <c r="N607" s="507"/>
      <c r="O607" s="507"/>
      <c r="P607" s="507"/>
      <c r="Q607" s="507"/>
      <c r="R607" s="60" t="s">
        <v>4535</v>
      </c>
      <c r="S607" s="54"/>
      <c r="T607" s="54"/>
      <c r="U607" s="54"/>
      <c r="V607" s="54"/>
      <c r="W607" s="54"/>
      <c r="X607" s="54"/>
      <c r="Y607" s="350"/>
      <c r="Z607" s="54"/>
      <c r="AA607" s="54"/>
      <c r="AB607" s="54"/>
      <c r="AC607" s="54"/>
      <c r="AD607" s="54"/>
      <c r="AE607" s="54"/>
      <c r="AF607" s="54"/>
      <c r="AG607" s="54"/>
      <c r="AH607" s="54"/>
      <c r="AI607" s="54"/>
      <c r="AJ607" s="54"/>
      <c r="AK607" s="54"/>
      <c r="AL607" s="54"/>
      <c r="AM607" s="54"/>
      <c r="AN607" s="54"/>
      <c r="AO607" s="54"/>
      <c r="AP607" s="54"/>
      <c r="AQ607" s="54"/>
      <c r="AR607" s="54"/>
      <c r="AS607" s="54"/>
      <c r="AT607" s="54"/>
    </row>
    <row r="608">
      <c r="A608" s="54"/>
      <c r="B608" s="504">
        <v>46051.78371527778</v>
      </c>
      <c r="C608" s="60" t="s">
        <v>4536</v>
      </c>
      <c r="D608" s="47">
        <v>1.90001607E9</v>
      </c>
      <c r="E608" s="60" t="s">
        <v>4537</v>
      </c>
      <c r="F608" s="60">
        <v>8.5363527499E10</v>
      </c>
      <c r="G608" s="60" t="s">
        <v>4538</v>
      </c>
      <c r="H608" s="505">
        <v>45901.0</v>
      </c>
      <c r="I608" s="506">
        <v>45929.0</v>
      </c>
      <c r="J608" s="60" t="s">
        <v>399</v>
      </c>
      <c r="K608" s="60" t="s">
        <v>117</v>
      </c>
      <c r="L608" s="60" t="s">
        <v>1900</v>
      </c>
      <c r="M608" s="507"/>
      <c r="N608" s="507"/>
      <c r="O608" s="507"/>
      <c r="P608" s="507"/>
      <c r="Q608" s="507"/>
      <c r="R608" s="60" t="s">
        <v>4539</v>
      </c>
      <c r="S608" s="54"/>
      <c r="T608" s="54"/>
      <c r="U608" s="54"/>
      <c r="V608" s="54"/>
      <c r="W608" s="54"/>
      <c r="X608" s="54"/>
      <c r="Y608" s="350"/>
      <c r="Z608" s="54"/>
      <c r="AA608" s="54"/>
      <c r="AB608" s="54"/>
      <c r="AC608" s="54"/>
      <c r="AD608" s="54"/>
      <c r="AE608" s="54"/>
      <c r="AF608" s="54"/>
      <c r="AG608" s="54"/>
      <c r="AH608" s="54"/>
      <c r="AI608" s="54"/>
      <c r="AJ608" s="54"/>
      <c r="AK608" s="54"/>
      <c r="AL608" s="54"/>
      <c r="AM608" s="54"/>
      <c r="AN608" s="54"/>
      <c r="AO608" s="54"/>
      <c r="AP608" s="54"/>
      <c r="AQ608" s="54"/>
      <c r="AR608" s="54"/>
      <c r="AS608" s="54"/>
      <c r="AT608" s="54"/>
    </row>
    <row r="609">
      <c r="A609" s="54"/>
      <c r="B609" s="504">
        <v>46059.66805555556</v>
      </c>
      <c r="C609" s="60" t="s">
        <v>2359</v>
      </c>
      <c r="D609" s="47">
        <v>1.900016034E9</v>
      </c>
      <c r="E609" s="60" t="s">
        <v>2360</v>
      </c>
      <c r="F609" s="60">
        <v>8.5171611785E10</v>
      </c>
      <c r="G609" s="60" t="s">
        <v>2362</v>
      </c>
      <c r="H609" s="505">
        <v>45209.0</v>
      </c>
      <c r="I609" s="506">
        <v>45317.0</v>
      </c>
      <c r="J609" s="60" t="s">
        <v>399</v>
      </c>
      <c r="K609" s="60" t="s">
        <v>2922</v>
      </c>
      <c r="L609" s="60" t="s">
        <v>117</v>
      </c>
      <c r="M609" s="507"/>
      <c r="N609" s="507"/>
      <c r="O609" s="507"/>
      <c r="P609" s="507"/>
      <c r="Q609" s="507"/>
      <c r="R609" s="60" t="s">
        <v>4540</v>
      </c>
      <c r="S609" s="54"/>
      <c r="T609" s="54"/>
      <c r="U609" s="54"/>
      <c r="V609" s="54"/>
      <c r="W609" s="54"/>
      <c r="X609" s="54"/>
      <c r="Y609" s="350"/>
      <c r="Z609" s="54"/>
      <c r="AA609" s="54"/>
      <c r="AB609" s="54"/>
      <c r="AC609" s="54"/>
      <c r="AD609" s="54"/>
      <c r="AE609" s="54"/>
      <c r="AF609" s="54"/>
      <c r="AG609" s="54"/>
      <c r="AH609" s="54"/>
      <c r="AI609" s="54"/>
      <c r="AJ609" s="54"/>
      <c r="AK609" s="54"/>
      <c r="AL609" s="54"/>
      <c r="AM609" s="54"/>
      <c r="AN609" s="54"/>
      <c r="AO609" s="54"/>
      <c r="AP609" s="54"/>
      <c r="AQ609" s="54"/>
      <c r="AR609" s="54"/>
      <c r="AS609" s="54"/>
      <c r="AT609" s="54"/>
    </row>
    <row r="610">
      <c r="A610" s="54"/>
      <c r="B610" s="504">
        <v>46062.46885416667</v>
      </c>
      <c r="C610" s="60" t="s">
        <v>4541</v>
      </c>
      <c r="D610" s="47">
        <v>2.00001614E9</v>
      </c>
      <c r="E610" s="60" t="s">
        <v>2773</v>
      </c>
      <c r="F610" s="60">
        <v>8.2221298344E10</v>
      </c>
      <c r="G610" s="60" t="s">
        <v>4542</v>
      </c>
      <c r="H610" s="505">
        <v>45555.0</v>
      </c>
      <c r="I610" s="506">
        <v>45684.0</v>
      </c>
      <c r="J610" s="60" t="s">
        <v>399</v>
      </c>
      <c r="K610" s="60" t="s">
        <v>230</v>
      </c>
      <c r="L610" s="60" t="s">
        <v>117</v>
      </c>
      <c r="M610" s="507"/>
      <c r="N610" s="507"/>
      <c r="O610" s="507"/>
      <c r="P610" s="507"/>
      <c r="Q610" s="507"/>
      <c r="R610" s="60" t="s">
        <v>4543</v>
      </c>
      <c r="S610" s="54"/>
      <c r="T610" s="54"/>
      <c r="U610" s="54"/>
      <c r="V610" s="54"/>
      <c r="W610" s="54"/>
      <c r="X610" s="54"/>
      <c r="Y610" s="350"/>
      <c r="Z610" s="54"/>
      <c r="AA610" s="54"/>
      <c r="AB610" s="54"/>
      <c r="AC610" s="54"/>
      <c r="AD610" s="54"/>
      <c r="AE610" s="54"/>
      <c r="AF610" s="54"/>
      <c r="AG610" s="54"/>
      <c r="AH610" s="54"/>
      <c r="AI610" s="54"/>
      <c r="AJ610" s="54"/>
      <c r="AK610" s="54"/>
      <c r="AL610" s="54"/>
      <c r="AM610" s="54"/>
      <c r="AN610" s="54"/>
      <c r="AO610" s="54"/>
      <c r="AP610" s="54"/>
      <c r="AQ610" s="54"/>
      <c r="AR610" s="54"/>
      <c r="AS610" s="54"/>
      <c r="AT610" s="54"/>
    </row>
    <row r="611">
      <c r="A611" s="54"/>
      <c r="B611" s="504">
        <v>46062.48090277778</v>
      </c>
      <c r="C611" s="60" t="s">
        <v>2785</v>
      </c>
      <c r="D611" s="47">
        <v>2.100016074E9</v>
      </c>
      <c r="E611" s="60" t="s">
        <v>2786</v>
      </c>
      <c r="F611" s="60">
        <v>8.2297348485E10</v>
      </c>
      <c r="G611" s="60" t="s">
        <v>4544</v>
      </c>
      <c r="H611" s="505">
        <v>45611.0</v>
      </c>
      <c r="I611" s="506">
        <v>45673.0</v>
      </c>
      <c r="J611" s="60" t="s">
        <v>399</v>
      </c>
      <c r="K611" s="60" t="s">
        <v>2617</v>
      </c>
      <c r="L611" s="60" t="s">
        <v>4517</v>
      </c>
      <c r="M611" s="507"/>
      <c r="N611" s="507"/>
      <c r="O611" s="507"/>
      <c r="P611" s="507"/>
      <c r="Q611" s="507"/>
      <c r="R611" s="60" t="s">
        <v>4545</v>
      </c>
      <c r="S611" s="54"/>
      <c r="T611" s="54"/>
      <c r="U611" s="54"/>
      <c r="V611" s="54"/>
      <c r="W611" s="54"/>
      <c r="X611" s="54"/>
      <c r="Y611" s="350"/>
      <c r="Z611" s="54"/>
      <c r="AA611" s="54"/>
      <c r="AB611" s="54"/>
      <c r="AC611" s="54"/>
      <c r="AD611" s="54"/>
      <c r="AE611" s="54"/>
      <c r="AF611" s="54"/>
      <c r="AG611" s="54"/>
      <c r="AH611" s="54"/>
      <c r="AI611" s="54"/>
      <c r="AJ611" s="54"/>
      <c r="AK611" s="54"/>
      <c r="AL611" s="54"/>
      <c r="AM611" s="54"/>
      <c r="AN611" s="54"/>
      <c r="AO611" s="54"/>
      <c r="AP611" s="54"/>
      <c r="AQ611" s="54"/>
      <c r="AR611" s="54"/>
      <c r="AS611" s="54"/>
      <c r="AT611" s="54"/>
    </row>
    <row r="612">
      <c r="A612" s="54"/>
      <c r="B612" s="504">
        <v>46063.56681712963</v>
      </c>
      <c r="C612" s="60" t="s">
        <v>2622</v>
      </c>
      <c r="D612" s="47">
        <v>2.100016062E9</v>
      </c>
      <c r="E612" s="60" t="s">
        <v>2623</v>
      </c>
      <c r="F612" s="54">
        <f>+6281236888575</f>
        <v>6281236888575</v>
      </c>
      <c r="G612" s="60" t="s">
        <v>4546</v>
      </c>
      <c r="H612" s="505">
        <v>46000.0</v>
      </c>
      <c r="I612" s="506">
        <v>45666.0</v>
      </c>
      <c r="J612" s="60" t="s">
        <v>399</v>
      </c>
      <c r="K612" s="60" t="s">
        <v>1900</v>
      </c>
      <c r="L612" s="60" t="s">
        <v>2922</v>
      </c>
      <c r="M612" s="507"/>
      <c r="N612" s="507"/>
      <c r="O612" s="507"/>
      <c r="P612" s="507"/>
      <c r="Q612" s="507"/>
      <c r="R612" s="60" t="s">
        <v>4547</v>
      </c>
      <c r="S612" s="54"/>
      <c r="T612" s="54"/>
      <c r="U612" s="54"/>
      <c r="V612" s="54"/>
      <c r="W612" s="54"/>
      <c r="X612" s="54"/>
      <c r="Y612" s="350"/>
      <c r="Z612" s="54"/>
      <c r="AA612" s="54"/>
      <c r="AB612" s="54"/>
      <c r="AC612" s="54"/>
      <c r="AD612" s="54"/>
      <c r="AE612" s="54"/>
      <c r="AF612" s="54"/>
      <c r="AG612" s="54"/>
      <c r="AH612" s="54"/>
      <c r="AI612" s="54"/>
      <c r="AJ612" s="54"/>
      <c r="AK612" s="54"/>
      <c r="AL612" s="54"/>
      <c r="AM612" s="54"/>
      <c r="AN612" s="54"/>
      <c r="AO612" s="54"/>
      <c r="AP612" s="54"/>
      <c r="AQ612" s="54"/>
      <c r="AR612" s="54"/>
      <c r="AS612" s="54"/>
      <c r="AT612" s="54"/>
    </row>
    <row r="613">
      <c r="A613" s="54"/>
      <c r="B613" s="504">
        <v>46076.49290509259</v>
      </c>
      <c r="C613" s="60" t="s">
        <v>4548</v>
      </c>
      <c r="D613" s="47">
        <v>1.900016065E9</v>
      </c>
      <c r="E613" s="60" t="s">
        <v>4549</v>
      </c>
      <c r="F613" s="60">
        <v>8.2293358615E10</v>
      </c>
      <c r="G613" s="60" t="s">
        <v>4550</v>
      </c>
      <c r="H613" s="505">
        <v>45879.0</v>
      </c>
      <c r="I613" s="506">
        <v>45939.0</v>
      </c>
      <c r="J613" s="60" t="s">
        <v>399</v>
      </c>
      <c r="K613" s="60" t="s">
        <v>117</v>
      </c>
      <c r="L613" s="60" t="s">
        <v>2922</v>
      </c>
      <c r="M613" s="507"/>
      <c r="N613" s="507"/>
      <c r="O613" s="507"/>
      <c r="P613" s="507"/>
      <c r="Q613" s="507"/>
      <c r="R613" s="60" t="s">
        <v>4551</v>
      </c>
      <c r="S613" s="54"/>
      <c r="T613" s="54"/>
      <c r="U613" s="54"/>
      <c r="V613" s="54"/>
      <c r="W613" s="54"/>
      <c r="X613" s="54"/>
      <c r="Y613" s="350"/>
      <c r="Z613" s="54"/>
      <c r="AA613" s="54"/>
      <c r="AB613" s="54"/>
      <c r="AC613" s="54"/>
      <c r="AD613" s="54"/>
      <c r="AE613" s="54"/>
      <c r="AF613" s="54"/>
      <c r="AG613" s="54"/>
      <c r="AH613" s="54"/>
      <c r="AI613" s="54"/>
      <c r="AJ613" s="54"/>
      <c r="AK613" s="54"/>
      <c r="AL613" s="54"/>
      <c r="AM613" s="54"/>
      <c r="AN613" s="54"/>
      <c r="AO613" s="54"/>
      <c r="AP613" s="54"/>
      <c r="AQ613" s="54"/>
      <c r="AR613" s="54"/>
      <c r="AS613" s="54"/>
      <c r="AT613" s="54"/>
    </row>
    <row r="614">
      <c r="A614" s="54"/>
      <c r="B614" s="504">
        <v>46085.55517361111</v>
      </c>
      <c r="C614" s="60" t="s">
        <v>4552</v>
      </c>
      <c r="D614" s="47">
        <v>2.20001606E9</v>
      </c>
      <c r="E614" s="60" t="s">
        <v>4553</v>
      </c>
      <c r="F614" s="60">
        <v>8.121593204E9</v>
      </c>
      <c r="G614" s="60" t="s">
        <v>4554</v>
      </c>
      <c r="H614" s="505">
        <v>45923.0</v>
      </c>
      <c r="I614" s="506">
        <v>45979.0</v>
      </c>
      <c r="J614" s="60" t="s">
        <v>399</v>
      </c>
      <c r="K614" s="60" t="s">
        <v>747</v>
      </c>
      <c r="L614" s="60" t="s">
        <v>1900</v>
      </c>
      <c r="M614" s="507"/>
      <c r="N614" s="507"/>
      <c r="O614" s="507"/>
      <c r="P614" s="507"/>
      <c r="Q614" s="507"/>
      <c r="R614" s="60" t="s">
        <v>4555</v>
      </c>
      <c r="S614" s="54"/>
      <c r="T614" s="54"/>
      <c r="U614" s="54"/>
      <c r="V614" s="54"/>
      <c r="W614" s="54"/>
      <c r="X614" s="54"/>
      <c r="Y614" s="350"/>
      <c r="Z614" s="54"/>
      <c r="AA614" s="54"/>
      <c r="AB614" s="54"/>
      <c r="AC614" s="54"/>
      <c r="AD614" s="54"/>
      <c r="AE614" s="54"/>
      <c r="AF614" s="54"/>
      <c r="AG614" s="54"/>
      <c r="AH614" s="54"/>
      <c r="AI614" s="54"/>
      <c r="AJ614" s="54"/>
      <c r="AK614" s="54"/>
      <c r="AL614" s="54"/>
      <c r="AM614" s="54"/>
      <c r="AN614" s="54"/>
      <c r="AO614" s="54"/>
      <c r="AP614" s="54"/>
      <c r="AQ614" s="54"/>
      <c r="AR614" s="54"/>
      <c r="AS614" s="54"/>
      <c r="AT614" s="54"/>
    </row>
    <row r="615">
      <c r="A615" s="54"/>
      <c r="B615" s="504">
        <v>46083.541446759256</v>
      </c>
      <c r="C615" s="60" t="s">
        <v>4556</v>
      </c>
      <c r="D615" s="47">
        <v>2.100016037E9</v>
      </c>
      <c r="E615" s="60" t="s">
        <v>4557</v>
      </c>
      <c r="F615" s="60">
        <v>8.1329546389E10</v>
      </c>
      <c r="G615" s="60" t="s">
        <v>4558</v>
      </c>
      <c r="H615" s="505">
        <v>45712.0</v>
      </c>
      <c r="I615" s="506">
        <v>45875.0</v>
      </c>
      <c r="J615" s="60" t="s">
        <v>399</v>
      </c>
      <c r="K615" s="60" t="s">
        <v>241</v>
      </c>
      <c r="L615" s="60" t="s">
        <v>4517</v>
      </c>
      <c r="M615" s="507"/>
      <c r="N615" s="507"/>
      <c r="O615" s="507"/>
      <c r="P615" s="507"/>
      <c r="Q615" s="507"/>
      <c r="R615" s="60" t="s">
        <v>4559</v>
      </c>
      <c r="S615" s="54"/>
      <c r="T615" s="54"/>
      <c r="U615" s="54"/>
      <c r="V615" s="54"/>
      <c r="W615" s="54"/>
      <c r="X615" s="54"/>
      <c r="Y615" s="350"/>
      <c r="Z615" s="54"/>
      <c r="AA615" s="54"/>
      <c r="AB615" s="54"/>
      <c r="AC615" s="54"/>
      <c r="AD615" s="54"/>
      <c r="AE615" s="54"/>
      <c r="AF615" s="54"/>
      <c r="AG615" s="54"/>
      <c r="AH615" s="54"/>
      <c r="AI615" s="54"/>
      <c r="AJ615" s="54"/>
      <c r="AK615" s="54"/>
      <c r="AL615" s="54"/>
      <c r="AM615" s="54"/>
      <c r="AN615" s="54"/>
      <c r="AO615" s="54"/>
      <c r="AP615" s="54"/>
      <c r="AQ615" s="54"/>
      <c r="AR615" s="54"/>
      <c r="AS615" s="54"/>
      <c r="AT615" s="54"/>
    </row>
    <row r="616">
      <c r="A616" s="54"/>
      <c r="B616" s="504">
        <v>46087.54678240741</v>
      </c>
      <c r="C616" s="60" t="s">
        <v>2864</v>
      </c>
      <c r="D616" s="47">
        <v>2.10001609E9</v>
      </c>
      <c r="E616" s="60" t="s">
        <v>2865</v>
      </c>
      <c r="F616" s="60">
        <v>8.3863308958E10</v>
      </c>
      <c r="G616" s="60" t="s">
        <v>4560</v>
      </c>
      <c r="H616" s="505">
        <v>45646.0</v>
      </c>
      <c r="I616" s="506">
        <v>45680.0</v>
      </c>
      <c r="J616" s="60" t="s">
        <v>399</v>
      </c>
      <c r="K616" s="60" t="s">
        <v>183</v>
      </c>
      <c r="L616" s="60" t="s">
        <v>241</v>
      </c>
      <c r="M616" s="507"/>
      <c r="N616" s="507"/>
      <c r="O616" s="507"/>
      <c r="P616" s="507"/>
      <c r="Q616" s="507"/>
      <c r="R616" s="60" t="s">
        <v>4561</v>
      </c>
      <c r="S616" s="54"/>
      <c r="T616" s="54"/>
      <c r="U616" s="54"/>
      <c r="V616" s="54"/>
      <c r="W616" s="54"/>
      <c r="X616" s="54"/>
      <c r="Y616" s="350"/>
      <c r="Z616" s="54"/>
      <c r="AA616" s="54"/>
      <c r="AB616" s="54"/>
      <c r="AC616" s="54"/>
      <c r="AD616" s="54"/>
      <c r="AE616" s="54"/>
      <c r="AF616" s="54"/>
      <c r="AG616" s="54"/>
      <c r="AH616" s="54"/>
      <c r="AI616" s="54"/>
      <c r="AJ616" s="54"/>
      <c r="AK616" s="54"/>
      <c r="AL616" s="54"/>
      <c r="AM616" s="54"/>
      <c r="AN616" s="54"/>
      <c r="AO616" s="54"/>
      <c r="AP616" s="54"/>
      <c r="AQ616" s="54"/>
      <c r="AR616" s="54"/>
      <c r="AS616" s="54"/>
      <c r="AT616" s="54"/>
    </row>
    <row r="617">
      <c r="A617" s="54"/>
      <c r="B617" s="504">
        <v>46087.59457175926</v>
      </c>
      <c r="C617" s="60" t="s">
        <v>4562</v>
      </c>
      <c r="D617" s="47">
        <v>2.200016113E9</v>
      </c>
      <c r="E617" s="60" t="s">
        <v>4563</v>
      </c>
      <c r="F617" s="60">
        <v>8.1389792119E10</v>
      </c>
      <c r="G617" s="60" t="s">
        <v>4564</v>
      </c>
      <c r="H617" s="505">
        <v>46042.0</v>
      </c>
      <c r="I617" s="506">
        <v>46022.0</v>
      </c>
      <c r="J617" s="60" t="s">
        <v>399</v>
      </c>
      <c r="K617" s="60" t="s">
        <v>747</v>
      </c>
      <c r="L617" s="60" t="s">
        <v>117</v>
      </c>
      <c r="M617" s="507"/>
      <c r="N617" s="507"/>
      <c r="O617" s="507"/>
      <c r="P617" s="507"/>
      <c r="Q617" s="507"/>
      <c r="R617" s="60" t="s">
        <v>4565</v>
      </c>
      <c r="S617" s="54"/>
      <c r="T617" s="54"/>
      <c r="U617" s="54"/>
      <c r="V617" s="54"/>
      <c r="W617" s="54"/>
      <c r="X617" s="54"/>
      <c r="Y617" s="350"/>
      <c r="Z617" s="54"/>
      <c r="AA617" s="54"/>
      <c r="AB617" s="54"/>
      <c r="AC617" s="54"/>
      <c r="AD617" s="54"/>
      <c r="AE617" s="54"/>
      <c r="AF617" s="54"/>
      <c r="AG617" s="54"/>
      <c r="AH617" s="54"/>
      <c r="AI617" s="54"/>
      <c r="AJ617" s="54"/>
      <c r="AK617" s="54"/>
      <c r="AL617" s="54"/>
      <c r="AM617" s="54"/>
      <c r="AN617" s="54"/>
      <c r="AO617" s="54"/>
      <c r="AP617" s="54"/>
      <c r="AQ617" s="54"/>
      <c r="AR617" s="54"/>
      <c r="AS617" s="54"/>
      <c r="AT617" s="54"/>
    </row>
    <row r="618">
      <c r="A618" s="54"/>
      <c r="B618" s="504">
        <v>46090.18094907407</v>
      </c>
      <c r="C618" s="60" t="s">
        <v>4566</v>
      </c>
      <c r="D618" s="47">
        <v>2.100016102E9</v>
      </c>
      <c r="E618" s="60" t="s">
        <v>4567</v>
      </c>
      <c r="F618" s="60">
        <v>8.2137552676E10</v>
      </c>
      <c r="G618" s="60" t="s">
        <v>4568</v>
      </c>
      <c r="H618" s="505">
        <v>45797.0</v>
      </c>
      <c r="I618" s="506">
        <v>45875.0</v>
      </c>
      <c r="J618" s="60" t="s">
        <v>399</v>
      </c>
      <c r="K618" s="60" t="s">
        <v>241</v>
      </c>
      <c r="L618" s="60" t="s">
        <v>117</v>
      </c>
      <c r="M618" s="507"/>
      <c r="N618" s="507"/>
      <c r="O618" s="507"/>
      <c r="P618" s="507"/>
      <c r="Q618" s="507"/>
      <c r="R618" s="60" t="s">
        <v>4569</v>
      </c>
      <c r="S618" s="54"/>
      <c r="T618" s="54"/>
      <c r="U618" s="54"/>
      <c r="V618" s="54"/>
      <c r="W618" s="54"/>
      <c r="X618" s="54"/>
      <c r="Y618" s="350"/>
      <c r="Z618" s="54"/>
      <c r="AA618" s="54"/>
      <c r="AB618" s="54"/>
      <c r="AC618" s="54"/>
      <c r="AD618" s="54"/>
      <c r="AE618" s="54"/>
      <c r="AF618" s="54"/>
      <c r="AG618" s="54"/>
      <c r="AH618" s="54"/>
      <c r="AI618" s="54"/>
      <c r="AJ618" s="54"/>
      <c r="AK618" s="54"/>
      <c r="AL618" s="54"/>
      <c r="AM618" s="54"/>
      <c r="AN618" s="54"/>
      <c r="AO618" s="54"/>
      <c r="AP618" s="54"/>
      <c r="AQ618" s="54"/>
      <c r="AR618" s="54"/>
      <c r="AS618" s="54"/>
      <c r="AT618" s="54"/>
    </row>
    <row r="619">
      <c r="A619" s="54"/>
      <c r="B619" s="504">
        <v>46113.06385416666</v>
      </c>
      <c r="C619" s="60" t="s">
        <v>2844</v>
      </c>
      <c r="D619" s="47">
        <v>2.100016119E9</v>
      </c>
      <c r="E619" s="60" t="s">
        <v>2845</v>
      </c>
      <c r="F619" s="60">
        <v>8.5788187214E10</v>
      </c>
      <c r="G619" s="60" t="s">
        <v>4570</v>
      </c>
      <c r="H619" s="505">
        <v>45680.0</v>
      </c>
      <c r="I619" s="506">
        <v>45680.0</v>
      </c>
      <c r="J619" s="60" t="s">
        <v>399</v>
      </c>
      <c r="K619" s="60" t="s">
        <v>183</v>
      </c>
      <c r="L619" s="60" t="s">
        <v>1900</v>
      </c>
      <c r="M619" s="507"/>
      <c r="N619" s="507"/>
      <c r="O619" s="507"/>
      <c r="P619" s="507"/>
      <c r="Q619" s="507"/>
      <c r="R619" s="60" t="s">
        <v>4571</v>
      </c>
      <c r="S619" s="54"/>
      <c r="T619" s="54"/>
      <c r="U619" s="54"/>
      <c r="V619" s="54"/>
      <c r="W619" s="54"/>
      <c r="X619" s="54"/>
      <c r="Y619" s="350"/>
      <c r="Z619" s="54"/>
      <c r="AA619" s="54"/>
      <c r="AB619" s="54"/>
      <c r="AC619" s="54"/>
      <c r="AD619" s="54"/>
      <c r="AE619" s="54"/>
      <c r="AF619" s="54"/>
      <c r="AG619" s="54"/>
      <c r="AH619" s="54"/>
      <c r="AI619" s="54"/>
      <c r="AJ619" s="54"/>
      <c r="AK619" s="54"/>
      <c r="AL619" s="54"/>
      <c r="AM619" s="54"/>
      <c r="AN619" s="54"/>
      <c r="AO619" s="54"/>
      <c r="AP619" s="54"/>
      <c r="AQ619" s="54"/>
      <c r="AR619" s="54"/>
      <c r="AS619" s="54"/>
      <c r="AT619" s="54"/>
    </row>
    <row r="620">
      <c r="A620" s="54"/>
      <c r="B620" s="504">
        <v>46122.68943287037</v>
      </c>
      <c r="C620" s="60" t="s">
        <v>2868</v>
      </c>
      <c r="D620" s="47">
        <v>2.100016026E9</v>
      </c>
      <c r="E620" s="60" t="s">
        <v>2869</v>
      </c>
      <c r="F620" s="60">
        <v>8.1292538622E10</v>
      </c>
      <c r="G620" s="60" t="s">
        <v>4572</v>
      </c>
      <c r="H620" s="505">
        <v>45565.0</v>
      </c>
      <c r="I620" s="506">
        <v>45687.0</v>
      </c>
      <c r="J620" s="60" t="s">
        <v>399</v>
      </c>
      <c r="K620" s="60" t="s">
        <v>183</v>
      </c>
      <c r="L620" s="60" t="s">
        <v>241</v>
      </c>
      <c r="M620" s="507"/>
      <c r="N620" s="507"/>
      <c r="O620" s="507"/>
      <c r="P620" s="507"/>
      <c r="Q620" s="507"/>
      <c r="R620" s="60" t="s">
        <v>4573</v>
      </c>
      <c r="S620" s="54"/>
      <c r="T620" s="54"/>
      <c r="U620" s="54"/>
      <c r="V620" s="54"/>
      <c r="W620" s="54"/>
      <c r="X620" s="54"/>
      <c r="Y620" s="350"/>
      <c r="Z620" s="54"/>
      <c r="AA620" s="54"/>
      <c r="AB620" s="54"/>
      <c r="AC620" s="54"/>
      <c r="AD620" s="54"/>
      <c r="AE620" s="54"/>
      <c r="AF620" s="54"/>
      <c r="AG620" s="54"/>
      <c r="AH620" s="54"/>
      <c r="AI620" s="54"/>
      <c r="AJ620" s="54"/>
      <c r="AK620" s="54"/>
      <c r="AL620" s="54"/>
      <c r="AM620" s="54"/>
      <c r="AN620" s="54"/>
      <c r="AO620" s="54"/>
      <c r="AP620" s="54"/>
      <c r="AQ620" s="54"/>
      <c r="AR620" s="54"/>
      <c r="AS620" s="54"/>
      <c r="AT620" s="54"/>
    </row>
    <row r="621">
      <c r="A621" s="54"/>
      <c r="B621" s="504">
        <v>46128.226122685184</v>
      </c>
      <c r="C621" s="60" t="s">
        <v>4574</v>
      </c>
      <c r="D621" s="47">
        <v>2.20001608E9</v>
      </c>
      <c r="E621" s="60" t="s">
        <v>4575</v>
      </c>
      <c r="F621" s="60">
        <v>8.81024902326E11</v>
      </c>
      <c r="G621" s="60" t="s">
        <v>4576</v>
      </c>
      <c r="H621" s="505">
        <v>45923.0</v>
      </c>
      <c r="I621" s="506">
        <v>46008.0</v>
      </c>
      <c r="J621" s="60" t="s">
        <v>399</v>
      </c>
      <c r="K621" s="60" t="s">
        <v>747</v>
      </c>
      <c r="L621" s="60" t="s">
        <v>2922</v>
      </c>
      <c r="M621" s="507"/>
      <c r="N621" s="507"/>
      <c r="O621" s="507"/>
      <c r="P621" s="507"/>
      <c r="Q621" s="507"/>
      <c r="R621" s="60" t="s">
        <v>4577</v>
      </c>
      <c r="S621" s="54"/>
      <c r="T621" s="54"/>
      <c r="U621" s="54"/>
      <c r="V621" s="54"/>
      <c r="W621" s="54"/>
      <c r="X621" s="54"/>
      <c r="Y621" s="350"/>
      <c r="Z621" s="54"/>
      <c r="AA621" s="54"/>
      <c r="AB621" s="54"/>
      <c r="AC621" s="54"/>
      <c r="AD621" s="54"/>
      <c r="AE621" s="54"/>
      <c r="AF621" s="54"/>
      <c r="AG621" s="54"/>
      <c r="AH621" s="54"/>
      <c r="AI621" s="54"/>
      <c r="AJ621" s="54"/>
      <c r="AK621" s="54"/>
      <c r="AL621" s="54"/>
      <c r="AM621" s="54"/>
      <c r="AN621" s="54"/>
      <c r="AO621" s="54"/>
      <c r="AP621" s="54"/>
      <c r="AQ621" s="54"/>
      <c r="AR621" s="54"/>
      <c r="AS621" s="54"/>
      <c r="AT621" s="54"/>
    </row>
    <row r="622">
      <c r="A622" s="54"/>
      <c r="B622" s="504">
        <v>46129.42989583333</v>
      </c>
      <c r="C622" s="60" t="s">
        <v>4578</v>
      </c>
      <c r="D622" s="47">
        <v>2.200016125E9</v>
      </c>
      <c r="E622" s="60" t="s">
        <v>4579</v>
      </c>
      <c r="F622" s="60">
        <v>8.5741187255E10</v>
      </c>
      <c r="G622" s="60" t="s">
        <v>4580</v>
      </c>
      <c r="H622" s="505">
        <v>45931.0</v>
      </c>
      <c r="I622" s="506">
        <v>46015.0</v>
      </c>
      <c r="J622" s="60" t="s">
        <v>399</v>
      </c>
      <c r="K622" s="60" t="s">
        <v>747</v>
      </c>
      <c r="L622" s="60" t="s">
        <v>2922</v>
      </c>
      <c r="M622" s="507"/>
      <c r="N622" s="507"/>
      <c r="O622" s="507"/>
      <c r="P622" s="507"/>
      <c r="Q622" s="507"/>
      <c r="R622" s="60" t="s">
        <v>4581</v>
      </c>
      <c r="S622" s="54"/>
      <c r="T622" s="54"/>
      <c r="U622" s="54"/>
      <c r="V622" s="54"/>
      <c r="W622" s="54"/>
      <c r="X622" s="54"/>
      <c r="Y622" s="350"/>
      <c r="Z622" s="54"/>
      <c r="AA622" s="54"/>
      <c r="AB622" s="54"/>
      <c r="AC622" s="54"/>
      <c r="AD622" s="54"/>
      <c r="AE622" s="54"/>
      <c r="AF622" s="54"/>
      <c r="AG622" s="54"/>
      <c r="AH622" s="54"/>
      <c r="AI622" s="54"/>
      <c r="AJ622" s="54"/>
      <c r="AK622" s="54"/>
      <c r="AL622" s="54"/>
      <c r="AM622" s="54"/>
      <c r="AN622" s="54"/>
      <c r="AO622" s="54"/>
      <c r="AP622" s="54"/>
      <c r="AQ622" s="54"/>
      <c r="AR622" s="54"/>
      <c r="AS622" s="54"/>
      <c r="AT622" s="54"/>
    </row>
    <row r="623">
      <c r="A623" s="54"/>
      <c r="B623" s="504">
        <v>46136.51380787037</v>
      </c>
      <c r="C623" s="60" t="s">
        <v>4582</v>
      </c>
      <c r="D623" s="47">
        <v>2.200016133E9</v>
      </c>
      <c r="E623" s="60" t="s">
        <v>4583</v>
      </c>
      <c r="F623" s="60">
        <v>8.2325628686E10</v>
      </c>
      <c r="G623" s="60" t="s">
        <v>4584</v>
      </c>
      <c r="H623" s="505">
        <v>46067.0</v>
      </c>
      <c r="I623" s="506">
        <v>46022.0</v>
      </c>
      <c r="J623" s="60" t="s">
        <v>399</v>
      </c>
      <c r="K623" s="60" t="s">
        <v>747</v>
      </c>
      <c r="L623" s="60" t="s">
        <v>117</v>
      </c>
      <c r="M623" s="507"/>
      <c r="N623" s="507"/>
      <c r="O623" s="507"/>
      <c r="P623" s="507"/>
      <c r="Q623" s="507"/>
      <c r="R623" s="60" t="s">
        <v>4585</v>
      </c>
      <c r="S623" s="54"/>
      <c r="T623" s="54"/>
      <c r="U623" s="54"/>
      <c r="V623" s="54"/>
      <c r="W623" s="54"/>
      <c r="X623" s="54"/>
      <c r="Y623" s="350"/>
      <c r="Z623" s="54"/>
      <c r="AA623" s="54"/>
      <c r="AB623" s="54"/>
      <c r="AC623" s="54"/>
      <c r="AD623" s="54"/>
      <c r="AE623" s="54"/>
      <c r="AF623" s="54"/>
      <c r="AG623" s="54"/>
      <c r="AH623" s="54"/>
      <c r="AI623" s="54"/>
      <c r="AJ623" s="54"/>
      <c r="AK623" s="54"/>
      <c r="AL623" s="54"/>
      <c r="AM623" s="54"/>
      <c r="AN623" s="54"/>
      <c r="AO623" s="54"/>
      <c r="AP623" s="54"/>
      <c r="AQ623" s="54"/>
      <c r="AR623" s="54"/>
      <c r="AS623" s="54"/>
      <c r="AT623" s="54"/>
    </row>
    <row r="624">
      <c r="A624" s="54"/>
      <c r="B624" s="504">
        <v>46140.604363425926</v>
      </c>
      <c r="C624" s="60" t="s">
        <v>4586</v>
      </c>
      <c r="D624" s="47">
        <v>2.200016094E9</v>
      </c>
      <c r="E624" s="60" t="s">
        <v>4587</v>
      </c>
      <c r="F624" s="60">
        <v>8.2313718856E10</v>
      </c>
      <c r="G624" s="60" t="s">
        <v>4588</v>
      </c>
      <c r="H624" s="505">
        <v>45928.0</v>
      </c>
      <c r="I624" s="506">
        <v>46029.0</v>
      </c>
      <c r="J624" s="60" t="s">
        <v>399</v>
      </c>
      <c r="K624" s="60" t="s">
        <v>183</v>
      </c>
      <c r="L624" s="60" t="s">
        <v>1900</v>
      </c>
      <c r="M624" s="507"/>
      <c r="N624" s="507"/>
      <c r="O624" s="507"/>
      <c r="P624" s="507"/>
      <c r="Q624" s="507"/>
      <c r="R624" s="60" t="s">
        <v>4589</v>
      </c>
      <c r="S624" s="54"/>
      <c r="T624" s="54"/>
      <c r="U624" s="54"/>
      <c r="V624" s="54"/>
      <c r="W624" s="54"/>
      <c r="X624" s="54"/>
      <c r="Y624" s="350"/>
      <c r="Z624" s="54"/>
      <c r="AA624" s="54"/>
      <c r="AB624" s="54"/>
      <c r="AC624" s="54"/>
      <c r="AD624" s="54"/>
      <c r="AE624" s="54"/>
      <c r="AF624" s="54"/>
      <c r="AG624" s="54"/>
      <c r="AH624" s="54"/>
      <c r="AI624" s="54"/>
      <c r="AJ624" s="54"/>
      <c r="AK624" s="54"/>
      <c r="AL624" s="54"/>
      <c r="AM624" s="54"/>
      <c r="AN624" s="54"/>
      <c r="AO624" s="54"/>
      <c r="AP624" s="54"/>
      <c r="AQ624" s="54"/>
      <c r="AR624" s="54"/>
      <c r="AS624" s="54"/>
      <c r="AT624" s="54"/>
    </row>
    <row r="625">
      <c r="A625" s="54"/>
      <c r="B625" s="504">
        <v>46145.57457175926</v>
      </c>
      <c r="C625" s="60" t="s">
        <v>4590</v>
      </c>
      <c r="D625" s="47">
        <v>2.200016104E9</v>
      </c>
      <c r="E625" s="60" t="s">
        <v>4591</v>
      </c>
      <c r="F625" s="60">
        <v>8.5869588577E10</v>
      </c>
      <c r="G625" s="60" t="s">
        <v>4592</v>
      </c>
      <c r="H625" s="505">
        <v>45923.0</v>
      </c>
      <c r="I625" s="506">
        <v>45999.0</v>
      </c>
      <c r="J625" s="60" t="s">
        <v>399</v>
      </c>
      <c r="K625" s="60" t="s">
        <v>747</v>
      </c>
      <c r="L625" s="60" t="s">
        <v>1900</v>
      </c>
      <c r="M625" s="507"/>
      <c r="N625" s="507"/>
      <c r="O625" s="507"/>
      <c r="P625" s="507"/>
      <c r="Q625" s="507"/>
      <c r="R625" s="60" t="s">
        <v>4593</v>
      </c>
      <c r="S625" s="54"/>
      <c r="T625" s="54"/>
      <c r="U625" s="54"/>
      <c r="V625" s="54"/>
      <c r="W625" s="54"/>
      <c r="X625" s="54"/>
      <c r="Y625" s="350"/>
      <c r="Z625" s="54"/>
      <c r="AA625" s="54"/>
      <c r="AB625" s="54"/>
      <c r="AC625" s="54"/>
      <c r="AD625" s="54"/>
      <c r="AE625" s="54"/>
      <c r="AF625" s="54"/>
      <c r="AG625" s="54"/>
      <c r="AH625" s="54"/>
      <c r="AI625" s="54"/>
      <c r="AJ625" s="54"/>
      <c r="AK625" s="54"/>
      <c r="AL625" s="54"/>
      <c r="AM625" s="54"/>
      <c r="AN625" s="54"/>
      <c r="AO625" s="54"/>
      <c r="AP625" s="54"/>
      <c r="AQ625" s="54"/>
      <c r="AR625" s="54"/>
      <c r="AS625" s="54"/>
      <c r="AT625" s="54"/>
    </row>
    <row r="626">
      <c r="A626" s="54"/>
      <c r="B626" s="504">
        <v>46146.46761574074</v>
      </c>
      <c r="C626" s="60" t="s">
        <v>4594</v>
      </c>
      <c r="D626" s="47">
        <v>2.200016105E9</v>
      </c>
      <c r="E626" s="60" t="s">
        <v>4595</v>
      </c>
      <c r="F626" s="60">
        <v>8.5609608134E10</v>
      </c>
      <c r="G626" s="60" t="s">
        <v>4596</v>
      </c>
      <c r="H626" s="505">
        <v>46065.0</v>
      </c>
      <c r="I626" s="506">
        <v>46021.0</v>
      </c>
      <c r="J626" s="60" t="s">
        <v>399</v>
      </c>
      <c r="K626" s="60" t="s">
        <v>747</v>
      </c>
      <c r="L626" s="60" t="s">
        <v>2922</v>
      </c>
      <c r="M626" s="507"/>
      <c r="N626" s="507"/>
      <c r="O626" s="507"/>
      <c r="P626" s="507"/>
      <c r="Q626" s="507"/>
      <c r="R626" s="60" t="s">
        <v>4597</v>
      </c>
      <c r="S626" s="54"/>
      <c r="T626" s="54"/>
      <c r="U626" s="54"/>
      <c r="V626" s="54"/>
      <c r="W626" s="54"/>
      <c r="X626" s="54"/>
      <c r="Y626" s="350"/>
      <c r="Z626" s="54"/>
      <c r="AA626" s="54"/>
      <c r="AB626" s="54"/>
      <c r="AC626" s="54"/>
      <c r="AD626" s="54"/>
      <c r="AE626" s="54"/>
      <c r="AF626" s="54"/>
      <c r="AG626" s="54"/>
      <c r="AH626" s="54"/>
      <c r="AI626" s="54"/>
      <c r="AJ626" s="54"/>
      <c r="AK626" s="54"/>
      <c r="AL626" s="54"/>
      <c r="AM626" s="54"/>
      <c r="AN626" s="54"/>
      <c r="AO626" s="54"/>
      <c r="AP626" s="54"/>
      <c r="AQ626" s="54"/>
      <c r="AR626" s="54"/>
      <c r="AS626" s="54"/>
      <c r="AT626" s="54"/>
    </row>
    <row r="627">
      <c r="A627" s="54"/>
      <c r="B627" s="504">
        <v>46152.76666666667</v>
      </c>
      <c r="C627" s="60" t="s">
        <v>4598</v>
      </c>
      <c r="D627" s="47">
        <v>1.900016103E9</v>
      </c>
      <c r="E627" s="60" t="s">
        <v>2485</v>
      </c>
      <c r="F627" s="60">
        <v>8.2283042448E10</v>
      </c>
      <c r="G627" s="60" t="s">
        <v>4599</v>
      </c>
      <c r="H627" s="505">
        <v>45523.0</v>
      </c>
      <c r="I627" s="506">
        <v>45539.0</v>
      </c>
      <c r="J627" s="60" t="s">
        <v>399</v>
      </c>
      <c r="K627" s="60" t="s">
        <v>183</v>
      </c>
      <c r="L627" s="60" t="s">
        <v>117</v>
      </c>
      <c r="M627" s="507"/>
      <c r="N627" s="507"/>
      <c r="O627" s="507"/>
      <c r="P627" s="507"/>
      <c r="Q627" s="507"/>
      <c r="R627" s="60" t="s">
        <v>4600</v>
      </c>
      <c r="S627" s="54"/>
      <c r="T627" s="54"/>
      <c r="U627" s="54"/>
      <c r="V627" s="54"/>
      <c r="W627" s="54"/>
      <c r="X627" s="54"/>
      <c r="Y627" s="350"/>
      <c r="Z627" s="54"/>
      <c r="AA627" s="54"/>
      <c r="AB627" s="54"/>
      <c r="AC627" s="54"/>
      <c r="AD627" s="54"/>
      <c r="AE627" s="54"/>
      <c r="AF627" s="54"/>
      <c r="AG627" s="54"/>
      <c r="AH627" s="54"/>
      <c r="AI627" s="54"/>
      <c r="AJ627" s="54"/>
      <c r="AK627" s="54"/>
      <c r="AL627" s="54"/>
      <c r="AM627" s="54"/>
      <c r="AN627" s="54"/>
      <c r="AO627" s="54"/>
      <c r="AP627" s="54"/>
      <c r="AQ627" s="54"/>
      <c r="AR627" s="54"/>
      <c r="AS627" s="54"/>
      <c r="AT627" s="54"/>
    </row>
    <row r="628">
      <c r="A628" s="54"/>
      <c r="B628" s="54"/>
      <c r="C628" s="54"/>
      <c r="D628" s="54"/>
      <c r="E628" s="54"/>
      <c r="F628" s="54"/>
      <c r="G628" s="54"/>
      <c r="H628" s="54"/>
      <c r="I628" s="54"/>
      <c r="J628" s="54"/>
      <c r="K628" s="54"/>
      <c r="L628" s="54"/>
      <c r="M628" s="54"/>
      <c r="N628" s="54"/>
      <c r="O628" s="54"/>
      <c r="P628" s="54"/>
      <c r="Q628" s="54"/>
      <c r="R628" s="54"/>
      <c r="S628" s="54"/>
      <c r="T628" s="54"/>
      <c r="U628" s="54"/>
      <c r="V628" s="54"/>
      <c r="W628" s="54"/>
      <c r="X628" s="54"/>
      <c r="Y628" s="350"/>
      <c r="Z628" s="54"/>
      <c r="AA628" s="54"/>
      <c r="AB628" s="54"/>
      <c r="AC628" s="54"/>
      <c r="AD628" s="54"/>
      <c r="AE628" s="54"/>
      <c r="AF628" s="54"/>
      <c r="AG628" s="54"/>
      <c r="AH628" s="54"/>
      <c r="AI628" s="54"/>
      <c r="AJ628" s="54"/>
      <c r="AK628" s="54"/>
      <c r="AL628" s="54"/>
      <c r="AM628" s="54"/>
      <c r="AN628" s="54"/>
      <c r="AO628" s="54"/>
      <c r="AP628" s="54"/>
      <c r="AQ628" s="54"/>
      <c r="AR628" s="54"/>
      <c r="AS628" s="54"/>
      <c r="AT628" s="54"/>
    </row>
    <row r="629">
      <c r="A629" s="54"/>
      <c r="B629" s="54"/>
      <c r="C629" s="54"/>
      <c r="D629" s="54"/>
      <c r="E629" s="54"/>
      <c r="F629" s="54"/>
      <c r="G629" s="54"/>
      <c r="H629" s="54"/>
      <c r="I629" s="54"/>
      <c r="J629" s="54"/>
      <c r="K629" s="54"/>
      <c r="L629" s="54"/>
      <c r="M629" s="54"/>
      <c r="N629" s="54"/>
      <c r="O629" s="54"/>
      <c r="P629" s="54"/>
      <c r="Q629" s="54"/>
      <c r="R629" s="54"/>
      <c r="S629" s="54"/>
      <c r="T629" s="54"/>
      <c r="U629" s="54"/>
      <c r="V629" s="54"/>
      <c r="W629" s="54"/>
      <c r="X629" s="54"/>
      <c r="Y629" s="350"/>
      <c r="Z629" s="54"/>
      <c r="AA629" s="54"/>
      <c r="AB629" s="54"/>
      <c r="AC629" s="54"/>
      <c r="AD629" s="54"/>
      <c r="AE629" s="54"/>
      <c r="AF629" s="54"/>
      <c r="AG629" s="54"/>
      <c r="AH629" s="54"/>
      <c r="AI629" s="54"/>
      <c r="AJ629" s="54"/>
      <c r="AK629" s="54"/>
      <c r="AL629" s="54"/>
      <c r="AM629" s="54"/>
      <c r="AN629" s="54"/>
      <c r="AO629" s="54"/>
      <c r="AP629" s="54"/>
      <c r="AQ629" s="54"/>
      <c r="AR629" s="54"/>
      <c r="AS629" s="54"/>
      <c r="AT629" s="54"/>
    </row>
    <row r="630">
      <c r="A630" s="54"/>
      <c r="B630" s="54"/>
      <c r="C630" s="54"/>
      <c r="D630" s="54"/>
      <c r="E630" s="54"/>
      <c r="F630" s="54"/>
      <c r="G630" s="54"/>
      <c r="H630" s="54"/>
      <c r="I630" s="54"/>
      <c r="J630" s="54"/>
      <c r="K630" s="54"/>
      <c r="L630" s="54"/>
      <c r="M630" s="54"/>
      <c r="N630" s="54"/>
      <c r="O630" s="54"/>
      <c r="P630" s="54"/>
      <c r="Q630" s="54"/>
      <c r="R630" s="54"/>
      <c r="S630" s="54"/>
      <c r="T630" s="54"/>
      <c r="U630" s="54"/>
      <c r="V630" s="54"/>
      <c r="W630" s="54"/>
      <c r="X630" s="54"/>
      <c r="Y630" s="350"/>
      <c r="Z630" s="54"/>
      <c r="AA630" s="54"/>
      <c r="AB630" s="54"/>
      <c r="AC630" s="54"/>
      <c r="AD630" s="54"/>
      <c r="AE630" s="54"/>
      <c r="AF630" s="54"/>
      <c r="AG630" s="54"/>
      <c r="AH630" s="54"/>
      <c r="AI630" s="54"/>
      <c r="AJ630" s="54"/>
      <c r="AK630" s="54"/>
      <c r="AL630" s="54"/>
      <c r="AM630" s="54"/>
      <c r="AN630" s="54"/>
      <c r="AO630" s="54"/>
      <c r="AP630" s="54"/>
      <c r="AQ630" s="54"/>
      <c r="AR630" s="54"/>
      <c r="AS630" s="54"/>
      <c r="AT630" s="54"/>
    </row>
    <row r="631">
      <c r="A631" s="54"/>
      <c r="B631" s="54"/>
      <c r="C631" s="54"/>
      <c r="D631" s="54"/>
      <c r="E631" s="54"/>
      <c r="F631" s="54"/>
      <c r="G631" s="54"/>
      <c r="H631" s="54"/>
      <c r="I631" s="54"/>
      <c r="J631" s="54"/>
      <c r="K631" s="54"/>
      <c r="L631" s="54"/>
      <c r="M631" s="54"/>
      <c r="N631" s="54"/>
      <c r="O631" s="54"/>
      <c r="P631" s="54"/>
      <c r="Q631" s="54"/>
      <c r="R631" s="54"/>
      <c r="S631" s="54"/>
      <c r="T631" s="54"/>
      <c r="U631" s="54"/>
      <c r="V631" s="54"/>
      <c r="W631" s="54"/>
      <c r="X631" s="54"/>
      <c r="Y631" s="350"/>
      <c r="Z631" s="54"/>
      <c r="AA631" s="54"/>
      <c r="AB631" s="54"/>
      <c r="AC631" s="54"/>
      <c r="AD631" s="54"/>
      <c r="AE631" s="54"/>
      <c r="AF631" s="54"/>
      <c r="AG631" s="54"/>
      <c r="AH631" s="54"/>
      <c r="AI631" s="54"/>
      <c r="AJ631" s="54"/>
      <c r="AK631" s="54"/>
      <c r="AL631" s="54"/>
      <c r="AM631" s="54"/>
      <c r="AN631" s="54"/>
      <c r="AO631" s="54"/>
      <c r="AP631" s="54"/>
      <c r="AQ631" s="54"/>
      <c r="AR631" s="54"/>
      <c r="AS631" s="54"/>
      <c r="AT631" s="54"/>
    </row>
    <row r="632">
      <c r="A632" s="54"/>
      <c r="B632" s="54"/>
      <c r="C632" s="54"/>
      <c r="D632" s="54"/>
      <c r="E632" s="54"/>
      <c r="F632" s="54"/>
      <c r="G632" s="54"/>
      <c r="H632" s="54"/>
      <c r="I632" s="54"/>
      <c r="J632" s="54"/>
      <c r="K632" s="54"/>
      <c r="L632" s="54"/>
      <c r="M632" s="54"/>
      <c r="N632" s="54"/>
      <c r="O632" s="54"/>
      <c r="P632" s="54"/>
      <c r="Q632" s="54"/>
      <c r="R632" s="54"/>
      <c r="S632" s="54"/>
      <c r="T632" s="54"/>
      <c r="U632" s="54"/>
      <c r="V632" s="54"/>
      <c r="W632" s="54"/>
      <c r="X632" s="54"/>
      <c r="Y632" s="350"/>
      <c r="Z632" s="54"/>
      <c r="AA632" s="54"/>
      <c r="AB632" s="54"/>
      <c r="AC632" s="54"/>
      <c r="AD632" s="54"/>
      <c r="AE632" s="54"/>
      <c r="AF632" s="54"/>
      <c r="AG632" s="54"/>
      <c r="AH632" s="54"/>
      <c r="AI632" s="54"/>
      <c r="AJ632" s="54"/>
      <c r="AK632" s="54"/>
      <c r="AL632" s="54"/>
      <c r="AM632" s="54"/>
      <c r="AN632" s="54"/>
      <c r="AO632" s="54"/>
      <c r="AP632" s="54"/>
      <c r="AQ632" s="54"/>
      <c r="AR632" s="54"/>
      <c r="AS632" s="54"/>
      <c r="AT632" s="54"/>
    </row>
    <row r="633">
      <c r="A633" s="54"/>
      <c r="B633" s="54"/>
      <c r="C633" s="54"/>
      <c r="D633" s="54"/>
      <c r="E633" s="54"/>
      <c r="F633" s="54"/>
      <c r="G633" s="54"/>
      <c r="H633" s="54"/>
      <c r="I633" s="54"/>
      <c r="J633" s="54"/>
      <c r="K633" s="54"/>
      <c r="L633" s="54"/>
      <c r="M633" s="54"/>
      <c r="N633" s="54"/>
      <c r="O633" s="54"/>
      <c r="P633" s="54"/>
      <c r="Q633" s="54"/>
      <c r="R633" s="54"/>
      <c r="S633" s="54"/>
      <c r="T633" s="54"/>
      <c r="U633" s="54"/>
      <c r="V633" s="54"/>
      <c r="W633" s="54"/>
      <c r="X633" s="54"/>
      <c r="Y633" s="350"/>
      <c r="Z633" s="54"/>
      <c r="AA633" s="54"/>
      <c r="AB633" s="54"/>
      <c r="AC633" s="54"/>
      <c r="AD633" s="54"/>
      <c r="AE633" s="54"/>
      <c r="AF633" s="54"/>
      <c r="AG633" s="54"/>
      <c r="AH633" s="54"/>
      <c r="AI633" s="54"/>
      <c r="AJ633" s="54"/>
      <c r="AK633" s="54"/>
      <c r="AL633" s="54"/>
      <c r="AM633" s="54"/>
      <c r="AN633" s="54"/>
      <c r="AO633" s="54"/>
      <c r="AP633" s="54"/>
      <c r="AQ633" s="54"/>
      <c r="AR633" s="54"/>
      <c r="AS633" s="54"/>
      <c r="AT633" s="54"/>
    </row>
    <row r="634">
      <c r="A634" s="54"/>
      <c r="B634" s="54"/>
      <c r="C634" s="54"/>
      <c r="D634" s="54"/>
      <c r="E634" s="54"/>
      <c r="F634" s="54"/>
      <c r="G634" s="54"/>
      <c r="H634" s="54"/>
      <c r="I634" s="54"/>
      <c r="J634" s="54"/>
      <c r="K634" s="54"/>
      <c r="L634" s="54"/>
      <c r="M634" s="54"/>
      <c r="N634" s="54"/>
      <c r="O634" s="54"/>
      <c r="P634" s="54"/>
      <c r="Q634" s="54"/>
      <c r="R634" s="54"/>
      <c r="S634" s="54"/>
      <c r="T634" s="54"/>
      <c r="U634" s="54"/>
      <c r="V634" s="54"/>
      <c r="W634" s="54"/>
      <c r="X634" s="54"/>
      <c r="Y634" s="350"/>
      <c r="Z634" s="54"/>
      <c r="AA634" s="54"/>
      <c r="AB634" s="54"/>
      <c r="AC634" s="54"/>
      <c r="AD634" s="54"/>
      <c r="AE634" s="54"/>
      <c r="AF634" s="54"/>
      <c r="AG634" s="54"/>
      <c r="AH634" s="54"/>
      <c r="AI634" s="54"/>
      <c r="AJ634" s="54"/>
      <c r="AK634" s="54"/>
      <c r="AL634" s="54"/>
      <c r="AM634" s="54"/>
      <c r="AN634" s="54"/>
      <c r="AO634" s="54"/>
      <c r="AP634" s="54"/>
      <c r="AQ634" s="54"/>
      <c r="AR634" s="54"/>
      <c r="AS634" s="54"/>
      <c r="AT634" s="54"/>
    </row>
    <row r="635">
      <c r="A635" s="54"/>
      <c r="B635" s="54"/>
      <c r="C635" s="54"/>
      <c r="D635" s="54"/>
      <c r="E635" s="54"/>
      <c r="F635" s="54"/>
      <c r="G635" s="54"/>
      <c r="H635" s="54"/>
      <c r="I635" s="54"/>
      <c r="J635" s="54"/>
      <c r="K635" s="54"/>
      <c r="L635" s="54"/>
      <c r="M635" s="54"/>
      <c r="N635" s="54"/>
      <c r="O635" s="54"/>
      <c r="P635" s="54"/>
      <c r="Q635" s="54"/>
      <c r="R635" s="54"/>
      <c r="S635" s="54"/>
      <c r="T635" s="54"/>
      <c r="U635" s="54"/>
      <c r="V635" s="54"/>
      <c r="W635" s="54"/>
      <c r="X635" s="54"/>
      <c r="Y635" s="350"/>
      <c r="Z635" s="54"/>
      <c r="AA635" s="54"/>
      <c r="AB635" s="54"/>
      <c r="AC635" s="54"/>
      <c r="AD635" s="54"/>
      <c r="AE635" s="54"/>
      <c r="AF635" s="54"/>
      <c r="AG635" s="54"/>
      <c r="AH635" s="54"/>
      <c r="AI635" s="54"/>
      <c r="AJ635" s="54"/>
      <c r="AK635" s="54"/>
      <c r="AL635" s="54"/>
      <c r="AM635" s="54"/>
      <c r="AN635" s="54"/>
      <c r="AO635" s="54"/>
      <c r="AP635" s="54"/>
      <c r="AQ635" s="54"/>
      <c r="AR635" s="54"/>
      <c r="AS635" s="54"/>
      <c r="AT635" s="54"/>
    </row>
    <row r="636">
      <c r="A636" s="54"/>
      <c r="B636" s="54"/>
      <c r="C636" s="54"/>
      <c r="D636" s="54"/>
      <c r="E636" s="54"/>
      <c r="F636" s="54"/>
      <c r="G636" s="54"/>
      <c r="H636" s="54"/>
      <c r="I636" s="54"/>
      <c r="J636" s="54"/>
      <c r="K636" s="54"/>
      <c r="L636" s="54"/>
      <c r="M636" s="54"/>
      <c r="N636" s="54"/>
      <c r="O636" s="54"/>
      <c r="P636" s="54"/>
      <c r="Q636" s="54"/>
      <c r="R636" s="54"/>
      <c r="S636" s="54"/>
      <c r="T636" s="54"/>
      <c r="U636" s="54"/>
      <c r="V636" s="54"/>
      <c r="W636" s="54"/>
      <c r="X636" s="54"/>
      <c r="Y636" s="350"/>
      <c r="Z636" s="54"/>
      <c r="AA636" s="54"/>
      <c r="AB636" s="54"/>
      <c r="AC636" s="54"/>
      <c r="AD636" s="54"/>
      <c r="AE636" s="54"/>
      <c r="AF636" s="54"/>
      <c r="AG636" s="54"/>
      <c r="AH636" s="54"/>
      <c r="AI636" s="54"/>
      <c r="AJ636" s="54"/>
      <c r="AK636" s="54"/>
      <c r="AL636" s="54"/>
      <c r="AM636" s="54"/>
      <c r="AN636" s="54"/>
      <c r="AO636" s="54"/>
      <c r="AP636" s="54"/>
      <c r="AQ636" s="54"/>
      <c r="AR636" s="54"/>
      <c r="AS636" s="54"/>
      <c r="AT636" s="54"/>
    </row>
    <row r="637">
      <c r="A637" s="54"/>
      <c r="B637" s="54"/>
      <c r="C637" s="54"/>
      <c r="D637" s="54"/>
      <c r="E637" s="54"/>
      <c r="F637" s="54"/>
      <c r="G637" s="54"/>
      <c r="H637" s="54"/>
      <c r="I637" s="54"/>
      <c r="J637" s="54"/>
      <c r="K637" s="54"/>
      <c r="L637" s="54"/>
      <c r="M637" s="54"/>
      <c r="N637" s="54"/>
      <c r="O637" s="54"/>
      <c r="P637" s="54"/>
      <c r="Q637" s="54"/>
      <c r="R637" s="54"/>
      <c r="S637" s="54"/>
      <c r="T637" s="54"/>
      <c r="U637" s="54"/>
      <c r="V637" s="54"/>
      <c r="W637" s="54"/>
      <c r="X637" s="54"/>
      <c r="Y637" s="350"/>
      <c r="Z637" s="54"/>
      <c r="AA637" s="54"/>
      <c r="AB637" s="54"/>
      <c r="AC637" s="54"/>
      <c r="AD637" s="54"/>
      <c r="AE637" s="54"/>
      <c r="AF637" s="54"/>
      <c r="AG637" s="54"/>
      <c r="AH637" s="54"/>
      <c r="AI637" s="54"/>
      <c r="AJ637" s="54"/>
      <c r="AK637" s="54"/>
      <c r="AL637" s="54"/>
      <c r="AM637" s="54"/>
      <c r="AN637" s="54"/>
      <c r="AO637" s="54"/>
      <c r="AP637" s="54"/>
      <c r="AQ637" s="54"/>
      <c r="AR637" s="54"/>
      <c r="AS637" s="54"/>
      <c r="AT637" s="54"/>
    </row>
    <row r="638">
      <c r="A638" s="54"/>
      <c r="B638" s="54"/>
      <c r="C638" s="54"/>
      <c r="D638" s="54"/>
      <c r="E638" s="54"/>
      <c r="F638" s="54"/>
      <c r="G638" s="54"/>
      <c r="H638" s="54"/>
      <c r="I638" s="54"/>
      <c r="J638" s="54"/>
      <c r="K638" s="54"/>
      <c r="L638" s="54"/>
      <c r="M638" s="54"/>
      <c r="N638" s="54"/>
      <c r="O638" s="54"/>
      <c r="P638" s="54"/>
      <c r="Q638" s="54"/>
      <c r="R638" s="54"/>
      <c r="S638" s="54"/>
      <c r="T638" s="54"/>
      <c r="U638" s="54"/>
      <c r="V638" s="54"/>
      <c r="W638" s="54"/>
      <c r="X638" s="54"/>
      <c r="Y638" s="350"/>
      <c r="Z638" s="54"/>
      <c r="AA638" s="54"/>
      <c r="AB638" s="54"/>
      <c r="AC638" s="54"/>
      <c r="AD638" s="54"/>
      <c r="AE638" s="54"/>
      <c r="AF638" s="54"/>
      <c r="AG638" s="54"/>
      <c r="AH638" s="54"/>
      <c r="AI638" s="54"/>
      <c r="AJ638" s="54"/>
      <c r="AK638" s="54"/>
      <c r="AL638" s="54"/>
      <c r="AM638" s="54"/>
      <c r="AN638" s="54"/>
      <c r="AO638" s="54"/>
      <c r="AP638" s="54"/>
      <c r="AQ638" s="54"/>
      <c r="AR638" s="54"/>
      <c r="AS638" s="54"/>
      <c r="AT638" s="54"/>
    </row>
    <row r="639">
      <c r="A639" s="54"/>
      <c r="B639" s="54"/>
      <c r="C639" s="54"/>
      <c r="D639" s="54"/>
      <c r="E639" s="54"/>
      <c r="F639" s="54"/>
      <c r="G639" s="54"/>
      <c r="H639" s="54"/>
      <c r="I639" s="54"/>
      <c r="J639" s="54"/>
      <c r="K639" s="54"/>
      <c r="L639" s="54"/>
      <c r="M639" s="54"/>
      <c r="N639" s="54"/>
      <c r="O639" s="54"/>
      <c r="P639" s="54"/>
      <c r="Q639" s="54"/>
      <c r="R639" s="54"/>
      <c r="S639" s="54"/>
      <c r="T639" s="54"/>
      <c r="U639" s="54"/>
      <c r="V639" s="54"/>
      <c r="W639" s="54"/>
      <c r="X639" s="54"/>
      <c r="Y639" s="350"/>
      <c r="Z639" s="54"/>
      <c r="AA639" s="54"/>
      <c r="AB639" s="54"/>
      <c r="AC639" s="54"/>
      <c r="AD639" s="54"/>
      <c r="AE639" s="54"/>
      <c r="AF639" s="54"/>
      <c r="AG639" s="54"/>
      <c r="AH639" s="54"/>
      <c r="AI639" s="54"/>
      <c r="AJ639" s="54"/>
      <c r="AK639" s="54"/>
      <c r="AL639" s="54"/>
      <c r="AM639" s="54"/>
      <c r="AN639" s="54"/>
      <c r="AO639" s="54"/>
      <c r="AP639" s="54"/>
      <c r="AQ639" s="54"/>
      <c r="AR639" s="54"/>
      <c r="AS639" s="54"/>
      <c r="AT639" s="54"/>
    </row>
    <row r="640">
      <c r="A640" s="54"/>
      <c r="B640" s="54"/>
      <c r="C640" s="54"/>
      <c r="D640" s="54"/>
      <c r="E640" s="54"/>
      <c r="F640" s="54"/>
      <c r="G640" s="54"/>
      <c r="H640" s="54"/>
      <c r="I640" s="54"/>
      <c r="J640" s="54"/>
      <c r="K640" s="54"/>
      <c r="L640" s="54"/>
      <c r="M640" s="54"/>
      <c r="N640" s="54"/>
      <c r="O640" s="54"/>
      <c r="P640" s="54"/>
      <c r="Q640" s="54"/>
      <c r="R640" s="54"/>
      <c r="S640" s="54"/>
      <c r="T640" s="54"/>
      <c r="U640" s="54"/>
      <c r="V640" s="54"/>
      <c r="W640" s="54"/>
      <c r="X640" s="54"/>
      <c r="Y640" s="350"/>
      <c r="Z640" s="54"/>
      <c r="AA640" s="54"/>
      <c r="AB640" s="54"/>
      <c r="AC640" s="54"/>
      <c r="AD640" s="54"/>
      <c r="AE640" s="54"/>
      <c r="AF640" s="54"/>
      <c r="AG640" s="54"/>
      <c r="AH640" s="54"/>
      <c r="AI640" s="54"/>
      <c r="AJ640" s="54"/>
      <c r="AK640" s="54"/>
      <c r="AL640" s="54"/>
      <c r="AM640" s="54"/>
      <c r="AN640" s="54"/>
      <c r="AO640" s="54"/>
      <c r="AP640" s="54"/>
      <c r="AQ640" s="54"/>
      <c r="AR640" s="54"/>
      <c r="AS640" s="54"/>
      <c r="AT640" s="54"/>
    </row>
    <row r="641">
      <c r="A641" s="54"/>
      <c r="B641" s="54"/>
      <c r="C641" s="54"/>
      <c r="D641" s="54"/>
      <c r="E641" s="54"/>
      <c r="F641" s="54"/>
      <c r="G641" s="54"/>
      <c r="H641" s="54"/>
      <c r="I641" s="54"/>
      <c r="J641" s="54"/>
      <c r="K641" s="54"/>
      <c r="L641" s="54"/>
      <c r="M641" s="54"/>
      <c r="N641" s="54"/>
      <c r="O641" s="54"/>
      <c r="P641" s="54"/>
      <c r="Q641" s="54"/>
      <c r="R641" s="54"/>
      <c r="S641" s="54"/>
      <c r="T641" s="54"/>
      <c r="U641" s="54"/>
      <c r="V641" s="54"/>
      <c r="W641" s="54"/>
      <c r="X641" s="54"/>
      <c r="Y641" s="350"/>
      <c r="Z641" s="54"/>
      <c r="AA641" s="54"/>
      <c r="AB641" s="54"/>
      <c r="AC641" s="54"/>
      <c r="AD641" s="54"/>
      <c r="AE641" s="54"/>
      <c r="AF641" s="54"/>
      <c r="AG641" s="54"/>
      <c r="AH641" s="54"/>
      <c r="AI641" s="54"/>
      <c r="AJ641" s="54"/>
      <c r="AK641" s="54"/>
      <c r="AL641" s="54"/>
      <c r="AM641" s="54"/>
      <c r="AN641" s="54"/>
      <c r="AO641" s="54"/>
      <c r="AP641" s="54"/>
      <c r="AQ641" s="54"/>
      <c r="AR641" s="54"/>
      <c r="AS641" s="54"/>
      <c r="AT641" s="54"/>
    </row>
    <row r="642">
      <c r="A642" s="54"/>
      <c r="B642" s="54"/>
      <c r="C642" s="54"/>
      <c r="D642" s="54"/>
      <c r="E642" s="54"/>
      <c r="F642" s="54"/>
      <c r="G642" s="54"/>
      <c r="H642" s="54"/>
      <c r="I642" s="54"/>
      <c r="J642" s="54"/>
      <c r="K642" s="54"/>
      <c r="L642" s="54"/>
      <c r="M642" s="54"/>
      <c r="N642" s="54"/>
      <c r="O642" s="54"/>
      <c r="P642" s="54"/>
      <c r="Q642" s="54"/>
      <c r="R642" s="54"/>
      <c r="S642" s="54"/>
      <c r="T642" s="54"/>
      <c r="U642" s="54"/>
      <c r="V642" s="54"/>
      <c r="W642" s="54"/>
      <c r="X642" s="54"/>
      <c r="Y642" s="350"/>
      <c r="Z642" s="54"/>
      <c r="AA642" s="54"/>
      <c r="AB642" s="54"/>
      <c r="AC642" s="54"/>
      <c r="AD642" s="54"/>
      <c r="AE642" s="54"/>
      <c r="AF642" s="54"/>
      <c r="AG642" s="54"/>
      <c r="AH642" s="54"/>
      <c r="AI642" s="54"/>
      <c r="AJ642" s="54"/>
      <c r="AK642" s="54"/>
      <c r="AL642" s="54"/>
      <c r="AM642" s="54"/>
      <c r="AN642" s="54"/>
      <c r="AO642" s="54"/>
      <c r="AP642" s="54"/>
      <c r="AQ642" s="54"/>
      <c r="AR642" s="54"/>
      <c r="AS642" s="54"/>
      <c r="AT642" s="54"/>
    </row>
    <row r="643">
      <c r="A643" s="54"/>
      <c r="B643" s="54"/>
      <c r="C643" s="54"/>
      <c r="D643" s="54"/>
      <c r="E643" s="54"/>
      <c r="F643" s="54"/>
      <c r="G643" s="54"/>
      <c r="H643" s="54"/>
      <c r="I643" s="54"/>
      <c r="J643" s="54"/>
      <c r="K643" s="54"/>
      <c r="L643" s="54"/>
      <c r="M643" s="54"/>
      <c r="N643" s="54"/>
      <c r="O643" s="54"/>
      <c r="P643" s="54"/>
      <c r="Q643" s="54"/>
      <c r="R643" s="54"/>
      <c r="S643" s="54"/>
      <c r="T643" s="54"/>
      <c r="U643" s="54"/>
      <c r="V643" s="54"/>
      <c r="W643" s="54"/>
      <c r="X643" s="54"/>
      <c r="Y643" s="350"/>
      <c r="Z643" s="54"/>
      <c r="AA643" s="54"/>
      <c r="AB643" s="54"/>
      <c r="AC643" s="54"/>
      <c r="AD643" s="54"/>
      <c r="AE643" s="54"/>
      <c r="AF643" s="54"/>
      <c r="AG643" s="54"/>
      <c r="AH643" s="54"/>
      <c r="AI643" s="54"/>
      <c r="AJ643" s="54"/>
      <c r="AK643" s="54"/>
      <c r="AL643" s="54"/>
      <c r="AM643" s="54"/>
      <c r="AN643" s="54"/>
      <c r="AO643" s="54"/>
      <c r="AP643" s="54"/>
      <c r="AQ643" s="54"/>
      <c r="AR643" s="54"/>
      <c r="AS643" s="54"/>
      <c r="AT643" s="54"/>
    </row>
    <row r="644">
      <c r="A644" s="54"/>
      <c r="B644" s="54"/>
      <c r="C644" s="54"/>
      <c r="D644" s="54"/>
      <c r="E644" s="54"/>
      <c r="F644" s="54"/>
      <c r="G644" s="54"/>
      <c r="H644" s="54"/>
      <c r="I644" s="54"/>
      <c r="J644" s="54"/>
      <c r="K644" s="54"/>
      <c r="L644" s="54"/>
      <c r="M644" s="54"/>
      <c r="N644" s="54"/>
      <c r="O644" s="54"/>
      <c r="P644" s="54"/>
      <c r="Q644" s="54"/>
      <c r="R644" s="54"/>
      <c r="S644" s="54"/>
      <c r="T644" s="54"/>
      <c r="U644" s="54"/>
      <c r="V644" s="54"/>
      <c r="W644" s="54"/>
      <c r="X644" s="54"/>
      <c r="Y644" s="350"/>
      <c r="Z644" s="54"/>
      <c r="AA644" s="54"/>
      <c r="AB644" s="54"/>
      <c r="AC644" s="54"/>
      <c r="AD644" s="54"/>
      <c r="AE644" s="54"/>
      <c r="AF644" s="54"/>
      <c r="AG644" s="54"/>
      <c r="AH644" s="54"/>
      <c r="AI644" s="54"/>
      <c r="AJ644" s="54"/>
      <c r="AK644" s="54"/>
      <c r="AL644" s="54"/>
      <c r="AM644" s="54"/>
      <c r="AN644" s="54"/>
      <c r="AO644" s="54"/>
      <c r="AP644" s="54"/>
      <c r="AQ644" s="54"/>
      <c r="AR644" s="54"/>
      <c r="AS644" s="54"/>
      <c r="AT644" s="54"/>
    </row>
    <row r="645">
      <c r="A645" s="54"/>
      <c r="B645" s="54"/>
      <c r="C645" s="54"/>
      <c r="D645" s="54"/>
      <c r="E645" s="54"/>
      <c r="F645" s="54"/>
      <c r="G645" s="54"/>
      <c r="H645" s="54"/>
      <c r="I645" s="54"/>
      <c r="J645" s="54"/>
      <c r="K645" s="54"/>
      <c r="L645" s="54"/>
      <c r="M645" s="54"/>
      <c r="N645" s="54"/>
      <c r="O645" s="54"/>
      <c r="P645" s="54"/>
      <c r="Q645" s="54"/>
      <c r="R645" s="54"/>
      <c r="S645" s="54"/>
      <c r="T645" s="54"/>
      <c r="U645" s="54"/>
      <c r="V645" s="54"/>
      <c r="W645" s="54"/>
      <c r="X645" s="54"/>
      <c r="Y645" s="350"/>
      <c r="Z645" s="54"/>
      <c r="AA645" s="54"/>
      <c r="AB645" s="54"/>
      <c r="AC645" s="54"/>
      <c r="AD645" s="54"/>
      <c r="AE645" s="54"/>
      <c r="AF645" s="54"/>
      <c r="AG645" s="54"/>
      <c r="AH645" s="54"/>
      <c r="AI645" s="54"/>
      <c r="AJ645" s="54"/>
      <c r="AK645" s="54"/>
      <c r="AL645" s="54"/>
      <c r="AM645" s="54"/>
      <c r="AN645" s="54"/>
      <c r="AO645" s="54"/>
      <c r="AP645" s="54"/>
      <c r="AQ645" s="54"/>
      <c r="AR645" s="54"/>
      <c r="AS645" s="54"/>
      <c r="AT645" s="54"/>
    </row>
    <row r="646">
      <c r="A646" s="54"/>
      <c r="B646" s="54"/>
      <c r="C646" s="54"/>
      <c r="D646" s="54"/>
      <c r="E646" s="54"/>
      <c r="F646" s="54"/>
      <c r="G646" s="54"/>
      <c r="H646" s="54"/>
      <c r="I646" s="54"/>
      <c r="J646" s="54"/>
      <c r="K646" s="54"/>
      <c r="L646" s="54"/>
      <c r="M646" s="54"/>
      <c r="N646" s="54"/>
      <c r="O646" s="54"/>
      <c r="P646" s="54"/>
      <c r="Q646" s="54"/>
      <c r="R646" s="54"/>
      <c r="S646" s="54"/>
      <c r="T646" s="54"/>
      <c r="U646" s="54"/>
      <c r="V646" s="54"/>
      <c r="W646" s="54"/>
      <c r="X646" s="54"/>
      <c r="Y646" s="350"/>
      <c r="Z646" s="54"/>
      <c r="AA646" s="54"/>
      <c r="AB646" s="54"/>
      <c r="AC646" s="54"/>
      <c r="AD646" s="54"/>
      <c r="AE646" s="54"/>
      <c r="AF646" s="54"/>
      <c r="AG646" s="54"/>
      <c r="AH646" s="54"/>
      <c r="AI646" s="54"/>
      <c r="AJ646" s="54"/>
      <c r="AK646" s="54"/>
      <c r="AL646" s="54"/>
      <c r="AM646" s="54"/>
      <c r="AN646" s="54"/>
      <c r="AO646" s="54"/>
      <c r="AP646" s="54"/>
      <c r="AQ646" s="54"/>
      <c r="AR646" s="54"/>
      <c r="AS646" s="54"/>
      <c r="AT646" s="54"/>
    </row>
    <row r="647">
      <c r="A647" s="54"/>
      <c r="B647" s="54"/>
      <c r="C647" s="54"/>
      <c r="D647" s="54"/>
      <c r="E647" s="54"/>
      <c r="F647" s="54"/>
      <c r="G647" s="54"/>
      <c r="H647" s="54"/>
      <c r="I647" s="54"/>
      <c r="J647" s="54"/>
      <c r="K647" s="54"/>
      <c r="L647" s="54"/>
      <c r="M647" s="54"/>
      <c r="N647" s="54"/>
      <c r="O647" s="54"/>
      <c r="P647" s="54"/>
      <c r="Q647" s="54"/>
      <c r="R647" s="54"/>
      <c r="S647" s="54"/>
      <c r="T647" s="54"/>
      <c r="U647" s="54"/>
      <c r="V647" s="54"/>
      <c r="W647" s="54"/>
      <c r="X647" s="54"/>
      <c r="Y647" s="350"/>
      <c r="Z647" s="54"/>
      <c r="AA647" s="54"/>
      <c r="AB647" s="54"/>
      <c r="AC647" s="54"/>
      <c r="AD647" s="54"/>
      <c r="AE647" s="54"/>
      <c r="AF647" s="54"/>
      <c r="AG647" s="54"/>
      <c r="AH647" s="54"/>
      <c r="AI647" s="54"/>
      <c r="AJ647" s="54"/>
      <c r="AK647" s="54"/>
      <c r="AL647" s="54"/>
      <c r="AM647" s="54"/>
      <c r="AN647" s="54"/>
      <c r="AO647" s="54"/>
      <c r="AP647" s="54"/>
      <c r="AQ647" s="54"/>
      <c r="AR647" s="54"/>
      <c r="AS647" s="54"/>
      <c r="AT647" s="54"/>
    </row>
    <row r="648">
      <c r="A648" s="54"/>
      <c r="B648" s="54"/>
      <c r="C648" s="54"/>
      <c r="D648" s="54"/>
      <c r="E648" s="54"/>
      <c r="F648" s="54"/>
      <c r="G648" s="54"/>
      <c r="H648" s="54"/>
      <c r="I648" s="54"/>
      <c r="J648" s="54"/>
      <c r="K648" s="54"/>
      <c r="L648" s="54"/>
      <c r="M648" s="54"/>
      <c r="N648" s="54"/>
      <c r="O648" s="54"/>
      <c r="P648" s="54"/>
      <c r="Q648" s="54"/>
      <c r="R648" s="54"/>
      <c r="S648" s="54"/>
      <c r="T648" s="54"/>
      <c r="U648" s="54"/>
      <c r="V648" s="54"/>
      <c r="W648" s="54"/>
      <c r="X648" s="54"/>
      <c r="Y648" s="350"/>
      <c r="Z648" s="54"/>
      <c r="AA648" s="54"/>
      <c r="AB648" s="54"/>
      <c r="AC648" s="54"/>
      <c r="AD648" s="54"/>
      <c r="AE648" s="54"/>
      <c r="AF648" s="54"/>
      <c r="AG648" s="54"/>
      <c r="AH648" s="54"/>
      <c r="AI648" s="54"/>
      <c r="AJ648" s="54"/>
      <c r="AK648" s="54"/>
      <c r="AL648" s="54"/>
      <c r="AM648" s="54"/>
      <c r="AN648" s="54"/>
      <c r="AO648" s="54"/>
      <c r="AP648" s="54"/>
      <c r="AQ648" s="54"/>
      <c r="AR648" s="54"/>
      <c r="AS648" s="54"/>
      <c r="AT648" s="54"/>
    </row>
    <row r="649">
      <c r="A649" s="54"/>
      <c r="B649" s="54"/>
      <c r="C649" s="54"/>
      <c r="D649" s="54"/>
      <c r="E649" s="54"/>
      <c r="F649" s="54"/>
      <c r="G649" s="54"/>
      <c r="H649" s="54"/>
      <c r="I649" s="54"/>
      <c r="J649" s="54"/>
      <c r="K649" s="54"/>
      <c r="L649" s="54"/>
      <c r="M649" s="54"/>
      <c r="N649" s="54"/>
      <c r="O649" s="54"/>
      <c r="P649" s="54"/>
      <c r="Q649" s="54"/>
      <c r="R649" s="54"/>
      <c r="S649" s="54"/>
      <c r="T649" s="54"/>
      <c r="U649" s="54"/>
      <c r="V649" s="54"/>
      <c r="W649" s="54"/>
      <c r="X649" s="54"/>
      <c r="Y649" s="350"/>
      <c r="Z649" s="54"/>
      <c r="AA649" s="54"/>
      <c r="AB649" s="54"/>
      <c r="AC649" s="54"/>
      <c r="AD649" s="54"/>
      <c r="AE649" s="54"/>
      <c r="AF649" s="54"/>
      <c r="AG649" s="54"/>
      <c r="AH649" s="54"/>
      <c r="AI649" s="54"/>
      <c r="AJ649" s="54"/>
      <c r="AK649" s="54"/>
      <c r="AL649" s="54"/>
      <c r="AM649" s="54"/>
      <c r="AN649" s="54"/>
      <c r="AO649" s="54"/>
      <c r="AP649" s="54"/>
      <c r="AQ649" s="54"/>
      <c r="AR649" s="54"/>
      <c r="AS649" s="54"/>
      <c r="AT649" s="54"/>
    </row>
    <row r="650">
      <c r="A650" s="54"/>
      <c r="B650" s="54"/>
      <c r="C650" s="54"/>
      <c r="D650" s="54"/>
      <c r="E650" s="54"/>
      <c r="F650" s="54"/>
      <c r="G650" s="54"/>
      <c r="H650" s="54"/>
      <c r="I650" s="54"/>
      <c r="J650" s="54"/>
      <c r="K650" s="54"/>
      <c r="L650" s="54"/>
      <c r="M650" s="54"/>
      <c r="N650" s="54"/>
      <c r="O650" s="54"/>
      <c r="P650" s="54"/>
      <c r="Q650" s="54"/>
      <c r="R650" s="54"/>
      <c r="S650" s="54"/>
      <c r="T650" s="54"/>
      <c r="U650" s="54"/>
      <c r="V650" s="54"/>
      <c r="W650" s="54"/>
      <c r="X650" s="54"/>
      <c r="Y650" s="350"/>
      <c r="Z650" s="54"/>
      <c r="AA650" s="54"/>
      <c r="AB650" s="54"/>
      <c r="AC650" s="54"/>
      <c r="AD650" s="54"/>
      <c r="AE650" s="54"/>
      <c r="AF650" s="54"/>
      <c r="AG650" s="54"/>
      <c r="AH650" s="54"/>
      <c r="AI650" s="54"/>
      <c r="AJ650" s="54"/>
      <c r="AK650" s="54"/>
      <c r="AL650" s="54"/>
      <c r="AM650" s="54"/>
      <c r="AN650" s="54"/>
      <c r="AO650" s="54"/>
      <c r="AP650" s="54"/>
      <c r="AQ650" s="54"/>
      <c r="AR650" s="54"/>
      <c r="AS650" s="54"/>
      <c r="AT650" s="54"/>
    </row>
    <row r="651">
      <c r="A651" s="54"/>
      <c r="B651" s="54"/>
      <c r="C651" s="54"/>
      <c r="D651" s="54"/>
      <c r="E651" s="54"/>
      <c r="F651" s="54"/>
      <c r="G651" s="54"/>
      <c r="H651" s="54"/>
      <c r="I651" s="54"/>
      <c r="J651" s="54"/>
      <c r="K651" s="54"/>
      <c r="L651" s="54"/>
      <c r="M651" s="54"/>
      <c r="N651" s="54"/>
      <c r="O651" s="54"/>
      <c r="P651" s="54"/>
      <c r="Q651" s="54"/>
      <c r="R651" s="54"/>
      <c r="S651" s="54"/>
      <c r="T651" s="54"/>
      <c r="U651" s="54"/>
      <c r="V651" s="54"/>
      <c r="W651" s="54"/>
      <c r="X651" s="54"/>
      <c r="Y651" s="350"/>
      <c r="Z651" s="54"/>
      <c r="AA651" s="54"/>
      <c r="AB651" s="54"/>
      <c r="AC651" s="54"/>
      <c r="AD651" s="54"/>
      <c r="AE651" s="54"/>
      <c r="AF651" s="54"/>
      <c r="AG651" s="54"/>
      <c r="AH651" s="54"/>
      <c r="AI651" s="54"/>
      <c r="AJ651" s="54"/>
      <c r="AK651" s="54"/>
      <c r="AL651" s="54"/>
      <c r="AM651" s="54"/>
      <c r="AN651" s="54"/>
      <c r="AO651" s="54"/>
      <c r="AP651" s="54"/>
      <c r="AQ651" s="54"/>
      <c r="AR651" s="54"/>
      <c r="AS651" s="54"/>
      <c r="AT651" s="54"/>
    </row>
    <row r="652">
      <c r="A652" s="54"/>
      <c r="B652" s="54"/>
      <c r="C652" s="54"/>
      <c r="D652" s="54"/>
      <c r="E652" s="54"/>
      <c r="F652" s="54"/>
      <c r="G652" s="54"/>
      <c r="H652" s="54"/>
      <c r="I652" s="54"/>
      <c r="J652" s="54"/>
      <c r="K652" s="54"/>
      <c r="L652" s="54"/>
      <c r="M652" s="54"/>
      <c r="N652" s="54"/>
      <c r="O652" s="54"/>
      <c r="P652" s="54"/>
      <c r="Q652" s="54"/>
      <c r="R652" s="54"/>
      <c r="S652" s="54"/>
      <c r="T652" s="54"/>
      <c r="U652" s="54"/>
      <c r="V652" s="54"/>
      <c r="W652" s="54"/>
      <c r="X652" s="54"/>
      <c r="Y652" s="350"/>
      <c r="Z652" s="54"/>
      <c r="AA652" s="54"/>
      <c r="AB652" s="54"/>
      <c r="AC652" s="54"/>
      <c r="AD652" s="54"/>
      <c r="AE652" s="54"/>
      <c r="AF652" s="54"/>
      <c r="AG652" s="54"/>
      <c r="AH652" s="54"/>
      <c r="AI652" s="54"/>
      <c r="AJ652" s="54"/>
      <c r="AK652" s="54"/>
      <c r="AL652" s="54"/>
      <c r="AM652" s="54"/>
      <c r="AN652" s="54"/>
      <c r="AO652" s="54"/>
      <c r="AP652" s="54"/>
      <c r="AQ652" s="54"/>
      <c r="AR652" s="54"/>
      <c r="AS652" s="54"/>
      <c r="AT652" s="54"/>
    </row>
    <row r="653">
      <c r="A653" s="54"/>
      <c r="B653" s="54"/>
      <c r="C653" s="54"/>
      <c r="D653" s="54"/>
      <c r="E653" s="54"/>
      <c r="F653" s="54"/>
      <c r="G653" s="54"/>
      <c r="H653" s="54"/>
      <c r="I653" s="54"/>
      <c r="J653" s="54"/>
      <c r="K653" s="54"/>
      <c r="L653" s="54"/>
      <c r="M653" s="54"/>
      <c r="N653" s="54"/>
      <c r="O653" s="54"/>
      <c r="P653" s="54"/>
      <c r="Q653" s="54"/>
      <c r="R653" s="54"/>
      <c r="S653" s="54"/>
      <c r="T653" s="54"/>
      <c r="U653" s="54"/>
      <c r="V653" s="54"/>
      <c r="W653" s="54"/>
      <c r="X653" s="54"/>
      <c r="Y653" s="350"/>
      <c r="Z653" s="54"/>
      <c r="AA653" s="54"/>
      <c r="AB653" s="54"/>
      <c r="AC653" s="54"/>
      <c r="AD653" s="54"/>
      <c r="AE653" s="54"/>
      <c r="AF653" s="54"/>
      <c r="AG653" s="54"/>
      <c r="AH653" s="54"/>
      <c r="AI653" s="54"/>
      <c r="AJ653" s="54"/>
      <c r="AK653" s="54"/>
      <c r="AL653" s="54"/>
      <c r="AM653" s="54"/>
      <c r="AN653" s="54"/>
      <c r="AO653" s="54"/>
      <c r="AP653" s="54"/>
      <c r="AQ653" s="54"/>
      <c r="AR653" s="54"/>
      <c r="AS653" s="54"/>
      <c r="AT653" s="54"/>
    </row>
    <row r="654">
      <c r="A654" s="54"/>
      <c r="B654" s="54"/>
      <c r="C654" s="54"/>
      <c r="D654" s="54"/>
      <c r="E654" s="54"/>
      <c r="F654" s="54"/>
      <c r="G654" s="54"/>
      <c r="H654" s="54"/>
      <c r="I654" s="54"/>
      <c r="J654" s="54"/>
      <c r="K654" s="54"/>
      <c r="L654" s="54"/>
      <c r="M654" s="54"/>
      <c r="N654" s="54"/>
      <c r="O654" s="54"/>
      <c r="P654" s="54"/>
      <c r="Q654" s="54"/>
      <c r="R654" s="54"/>
      <c r="S654" s="54"/>
      <c r="T654" s="54"/>
      <c r="U654" s="54"/>
      <c r="V654" s="54"/>
      <c r="W654" s="54"/>
      <c r="X654" s="54"/>
      <c r="Y654" s="350"/>
      <c r="Z654" s="54"/>
      <c r="AA654" s="54"/>
      <c r="AB654" s="54"/>
      <c r="AC654" s="54"/>
      <c r="AD654" s="54"/>
      <c r="AE654" s="54"/>
      <c r="AF654" s="54"/>
      <c r="AG654" s="54"/>
      <c r="AH654" s="54"/>
      <c r="AI654" s="54"/>
      <c r="AJ654" s="54"/>
      <c r="AK654" s="54"/>
      <c r="AL654" s="54"/>
      <c r="AM654" s="54"/>
      <c r="AN654" s="54"/>
      <c r="AO654" s="54"/>
      <c r="AP654" s="54"/>
      <c r="AQ654" s="54"/>
      <c r="AR654" s="54"/>
      <c r="AS654" s="54"/>
      <c r="AT654" s="54"/>
    </row>
    <row r="655">
      <c r="A655" s="54"/>
      <c r="B655" s="54"/>
      <c r="C655" s="54"/>
      <c r="D655" s="54"/>
      <c r="E655" s="54"/>
      <c r="F655" s="54"/>
      <c r="G655" s="54"/>
      <c r="H655" s="54"/>
      <c r="I655" s="54"/>
      <c r="J655" s="54"/>
      <c r="K655" s="54"/>
      <c r="L655" s="54"/>
      <c r="M655" s="54"/>
      <c r="N655" s="54"/>
      <c r="O655" s="54"/>
      <c r="P655" s="54"/>
      <c r="Q655" s="54"/>
      <c r="R655" s="54"/>
      <c r="S655" s="54"/>
      <c r="T655" s="54"/>
      <c r="U655" s="54"/>
      <c r="V655" s="54"/>
      <c r="W655" s="54"/>
      <c r="X655" s="54"/>
      <c r="Y655" s="350"/>
      <c r="Z655" s="54"/>
      <c r="AA655" s="54"/>
      <c r="AB655" s="54"/>
      <c r="AC655" s="54"/>
      <c r="AD655" s="54"/>
      <c r="AE655" s="54"/>
      <c r="AF655" s="54"/>
      <c r="AG655" s="54"/>
      <c r="AH655" s="54"/>
      <c r="AI655" s="54"/>
      <c r="AJ655" s="54"/>
      <c r="AK655" s="54"/>
      <c r="AL655" s="54"/>
      <c r="AM655" s="54"/>
      <c r="AN655" s="54"/>
      <c r="AO655" s="54"/>
      <c r="AP655" s="54"/>
      <c r="AQ655" s="54"/>
      <c r="AR655" s="54"/>
      <c r="AS655" s="54"/>
      <c r="AT655" s="54"/>
    </row>
    <row r="656">
      <c r="A656" s="54"/>
      <c r="B656" s="54"/>
      <c r="C656" s="54"/>
      <c r="D656" s="54"/>
      <c r="E656" s="54"/>
      <c r="F656" s="54"/>
      <c r="G656" s="54"/>
      <c r="H656" s="54"/>
      <c r="I656" s="54"/>
      <c r="J656" s="54"/>
      <c r="K656" s="54"/>
      <c r="L656" s="54"/>
      <c r="M656" s="54"/>
      <c r="N656" s="54"/>
      <c r="O656" s="54"/>
      <c r="P656" s="54"/>
      <c r="Q656" s="54"/>
      <c r="R656" s="54"/>
      <c r="S656" s="54"/>
      <c r="T656" s="54"/>
      <c r="U656" s="54"/>
      <c r="V656" s="54"/>
      <c r="W656" s="54"/>
      <c r="X656" s="54"/>
      <c r="Y656" s="350"/>
      <c r="Z656" s="54"/>
      <c r="AA656" s="54"/>
      <c r="AB656" s="54"/>
      <c r="AC656" s="54"/>
      <c r="AD656" s="54"/>
      <c r="AE656" s="54"/>
      <c r="AF656" s="54"/>
      <c r="AG656" s="54"/>
      <c r="AH656" s="54"/>
      <c r="AI656" s="54"/>
      <c r="AJ656" s="54"/>
      <c r="AK656" s="54"/>
      <c r="AL656" s="54"/>
      <c r="AM656" s="54"/>
      <c r="AN656" s="54"/>
      <c r="AO656" s="54"/>
      <c r="AP656" s="54"/>
      <c r="AQ656" s="54"/>
      <c r="AR656" s="54"/>
      <c r="AS656" s="54"/>
      <c r="AT656" s="54"/>
    </row>
    <row r="657">
      <c r="A657" s="54"/>
      <c r="B657" s="54"/>
      <c r="C657" s="54"/>
      <c r="D657" s="54"/>
      <c r="E657" s="54"/>
      <c r="F657" s="54"/>
      <c r="G657" s="54"/>
      <c r="H657" s="54"/>
      <c r="I657" s="54"/>
      <c r="J657" s="54"/>
      <c r="K657" s="54"/>
      <c r="L657" s="54"/>
      <c r="M657" s="54"/>
      <c r="N657" s="54"/>
      <c r="O657" s="54"/>
      <c r="P657" s="54"/>
      <c r="Q657" s="54"/>
      <c r="R657" s="54"/>
      <c r="S657" s="54"/>
      <c r="T657" s="54"/>
      <c r="U657" s="54"/>
      <c r="V657" s="54"/>
      <c r="W657" s="54"/>
      <c r="X657" s="54"/>
      <c r="Y657" s="350"/>
      <c r="Z657" s="54"/>
      <c r="AA657" s="54"/>
      <c r="AB657" s="54"/>
      <c r="AC657" s="54"/>
      <c r="AD657" s="54"/>
      <c r="AE657" s="54"/>
      <c r="AF657" s="54"/>
      <c r="AG657" s="54"/>
      <c r="AH657" s="54"/>
      <c r="AI657" s="54"/>
      <c r="AJ657" s="54"/>
      <c r="AK657" s="54"/>
      <c r="AL657" s="54"/>
      <c r="AM657" s="54"/>
      <c r="AN657" s="54"/>
      <c r="AO657" s="54"/>
      <c r="AP657" s="54"/>
      <c r="AQ657" s="54"/>
      <c r="AR657" s="54"/>
      <c r="AS657" s="54"/>
      <c r="AT657" s="54"/>
    </row>
    <row r="658">
      <c r="A658" s="54"/>
      <c r="B658" s="54"/>
      <c r="C658" s="54"/>
      <c r="D658" s="54"/>
      <c r="E658" s="54"/>
      <c r="F658" s="54"/>
      <c r="G658" s="54"/>
      <c r="H658" s="54"/>
      <c r="I658" s="54"/>
      <c r="J658" s="54"/>
      <c r="K658" s="54"/>
      <c r="L658" s="54"/>
      <c r="M658" s="54"/>
      <c r="N658" s="54"/>
      <c r="O658" s="54"/>
      <c r="P658" s="54"/>
      <c r="Q658" s="54"/>
      <c r="R658" s="54"/>
      <c r="S658" s="54"/>
      <c r="T658" s="54"/>
      <c r="U658" s="54"/>
      <c r="V658" s="54"/>
      <c r="W658" s="54"/>
      <c r="X658" s="54"/>
      <c r="Y658" s="350"/>
      <c r="Z658" s="54"/>
      <c r="AA658" s="54"/>
      <c r="AB658" s="54"/>
      <c r="AC658" s="54"/>
      <c r="AD658" s="54"/>
      <c r="AE658" s="54"/>
      <c r="AF658" s="54"/>
      <c r="AG658" s="54"/>
      <c r="AH658" s="54"/>
      <c r="AI658" s="54"/>
      <c r="AJ658" s="54"/>
      <c r="AK658" s="54"/>
      <c r="AL658" s="54"/>
      <c r="AM658" s="54"/>
      <c r="AN658" s="54"/>
      <c r="AO658" s="54"/>
      <c r="AP658" s="54"/>
      <c r="AQ658" s="54"/>
      <c r="AR658" s="54"/>
      <c r="AS658" s="54"/>
      <c r="AT658" s="54"/>
    </row>
    <row r="659">
      <c r="A659" s="54"/>
      <c r="B659" s="54"/>
      <c r="C659" s="54"/>
      <c r="D659" s="54"/>
      <c r="E659" s="54"/>
      <c r="F659" s="54"/>
      <c r="G659" s="54"/>
      <c r="H659" s="54"/>
      <c r="I659" s="54"/>
      <c r="J659" s="54"/>
      <c r="K659" s="54"/>
      <c r="L659" s="54"/>
      <c r="M659" s="54"/>
      <c r="N659" s="54"/>
      <c r="O659" s="54"/>
      <c r="P659" s="54"/>
      <c r="Q659" s="54"/>
      <c r="R659" s="54"/>
      <c r="S659" s="54"/>
      <c r="T659" s="54"/>
      <c r="U659" s="54"/>
      <c r="V659" s="54"/>
      <c r="W659" s="54"/>
      <c r="X659" s="54"/>
      <c r="Y659" s="350"/>
      <c r="Z659" s="54"/>
      <c r="AA659" s="54"/>
      <c r="AB659" s="54"/>
      <c r="AC659" s="54"/>
      <c r="AD659" s="54"/>
      <c r="AE659" s="54"/>
      <c r="AF659" s="54"/>
      <c r="AG659" s="54"/>
      <c r="AH659" s="54"/>
      <c r="AI659" s="54"/>
      <c r="AJ659" s="54"/>
      <c r="AK659" s="54"/>
      <c r="AL659" s="54"/>
      <c r="AM659" s="54"/>
      <c r="AN659" s="54"/>
      <c r="AO659" s="54"/>
      <c r="AP659" s="54"/>
      <c r="AQ659" s="54"/>
      <c r="AR659" s="54"/>
      <c r="AS659" s="54"/>
      <c r="AT659" s="54"/>
    </row>
    <row r="660">
      <c r="A660" s="54"/>
      <c r="B660" s="54"/>
      <c r="C660" s="54"/>
      <c r="D660" s="54"/>
      <c r="E660" s="54"/>
      <c r="F660" s="54"/>
      <c r="G660" s="54"/>
      <c r="H660" s="54"/>
      <c r="I660" s="54"/>
      <c r="J660" s="54"/>
      <c r="K660" s="54"/>
      <c r="L660" s="54"/>
      <c r="M660" s="54"/>
      <c r="N660" s="54"/>
      <c r="O660" s="54"/>
      <c r="P660" s="54"/>
      <c r="Q660" s="54"/>
      <c r="R660" s="54"/>
      <c r="S660" s="54"/>
      <c r="T660" s="54"/>
      <c r="U660" s="54"/>
      <c r="V660" s="54"/>
      <c r="W660" s="54"/>
      <c r="X660" s="54"/>
      <c r="Y660" s="350"/>
      <c r="Z660" s="54"/>
      <c r="AA660" s="54"/>
      <c r="AB660" s="54"/>
      <c r="AC660" s="54"/>
      <c r="AD660" s="54"/>
      <c r="AE660" s="54"/>
      <c r="AF660" s="54"/>
      <c r="AG660" s="54"/>
      <c r="AH660" s="54"/>
      <c r="AI660" s="54"/>
      <c r="AJ660" s="54"/>
      <c r="AK660" s="54"/>
      <c r="AL660" s="54"/>
      <c r="AM660" s="54"/>
      <c r="AN660" s="54"/>
      <c r="AO660" s="54"/>
      <c r="AP660" s="54"/>
      <c r="AQ660" s="54"/>
      <c r="AR660" s="54"/>
      <c r="AS660" s="54"/>
      <c r="AT660" s="54"/>
    </row>
    <row r="661">
      <c r="A661" s="54"/>
      <c r="B661" s="54"/>
      <c r="C661" s="54"/>
      <c r="D661" s="54"/>
      <c r="E661" s="54"/>
      <c r="F661" s="54"/>
      <c r="G661" s="54"/>
      <c r="H661" s="54"/>
      <c r="I661" s="54"/>
      <c r="J661" s="54"/>
      <c r="K661" s="54"/>
      <c r="L661" s="54"/>
      <c r="M661" s="54"/>
      <c r="N661" s="54"/>
      <c r="O661" s="54"/>
      <c r="P661" s="54"/>
      <c r="Q661" s="54"/>
      <c r="R661" s="54"/>
      <c r="S661" s="54"/>
      <c r="T661" s="54"/>
      <c r="U661" s="54"/>
      <c r="V661" s="54"/>
      <c r="W661" s="54"/>
      <c r="X661" s="54"/>
      <c r="Y661" s="350"/>
      <c r="Z661" s="54"/>
      <c r="AA661" s="54"/>
      <c r="AB661" s="54"/>
      <c r="AC661" s="54"/>
      <c r="AD661" s="54"/>
      <c r="AE661" s="54"/>
      <c r="AF661" s="54"/>
      <c r="AG661" s="54"/>
      <c r="AH661" s="54"/>
      <c r="AI661" s="54"/>
      <c r="AJ661" s="54"/>
      <c r="AK661" s="54"/>
      <c r="AL661" s="54"/>
      <c r="AM661" s="54"/>
      <c r="AN661" s="54"/>
      <c r="AO661" s="54"/>
      <c r="AP661" s="54"/>
      <c r="AQ661" s="54"/>
      <c r="AR661" s="54"/>
      <c r="AS661" s="54"/>
      <c r="AT661" s="54"/>
    </row>
    <row r="662">
      <c r="A662" s="54"/>
      <c r="B662" s="54"/>
      <c r="C662" s="54"/>
      <c r="D662" s="54"/>
      <c r="E662" s="54"/>
      <c r="F662" s="54"/>
      <c r="G662" s="54"/>
      <c r="H662" s="54"/>
      <c r="I662" s="54"/>
      <c r="J662" s="54"/>
      <c r="K662" s="54"/>
      <c r="L662" s="54"/>
      <c r="M662" s="54"/>
      <c r="N662" s="54"/>
      <c r="O662" s="54"/>
      <c r="P662" s="54"/>
      <c r="Q662" s="54"/>
      <c r="R662" s="54"/>
      <c r="S662" s="54"/>
      <c r="T662" s="54"/>
      <c r="U662" s="54"/>
      <c r="V662" s="54"/>
      <c r="W662" s="54"/>
      <c r="X662" s="54"/>
      <c r="Y662" s="350"/>
      <c r="Z662" s="54"/>
      <c r="AA662" s="54"/>
      <c r="AB662" s="54"/>
      <c r="AC662" s="54"/>
      <c r="AD662" s="54"/>
      <c r="AE662" s="54"/>
      <c r="AF662" s="54"/>
      <c r="AG662" s="54"/>
      <c r="AH662" s="54"/>
      <c r="AI662" s="54"/>
      <c r="AJ662" s="54"/>
      <c r="AK662" s="54"/>
      <c r="AL662" s="54"/>
      <c r="AM662" s="54"/>
      <c r="AN662" s="54"/>
      <c r="AO662" s="54"/>
      <c r="AP662" s="54"/>
      <c r="AQ662" s="54"/>
      <c r="AR662" s="54"/>
      <c r="AS662" s="54"/>
      <c r="AT662" s="54"/>
    </row>
    <row r="663">
      <c r="A663" s="54"/>
      <c r="B663" s="54"/>
      <c r="C663" s="54"/>
      <c r="D663" s="54"/>
      <c r="E663" s="54"/>
      <c r="F663" s="54"/>
      <c r="G663" s="54"/>
      <c r="H663" s="54"/>
      <c r="I663" s="54"/>
      <c r="J663" s="54"/>
      <c r="K663" s="54"/>
      <c r="L663" s="54"/>
      <c r="M663" s="54"/>
      <c r="N663" s="54"/>
      <c r="O663" s="54"/>
      <c r="P663" s="54"/>
      <c r="Q663" s="54"/>
      <c r="R663" s="54"/>
      <c r="S663" s="54"/>
      <c r="T663" s="54"/>
      <c r="U663" s="54"/>
      <c r="V663" s="54"/>
      <c r="W663" s="54"/>
      <c r="X663" s="54"/>
      <c r="Y663" s="350"/>
      <c r="Z663" s="54"/>
      <c r="AA663" s="54"/>
      <c r="AB663" s="54"/>
      <c r="AC663" s="54"/>
      <c r="AD663" s="54"/>
      <c r="AE663" s="54"/>
      <c r="AF663" s="54"/>
      <c r="AG663" s="54"/>
      <c r="AH663" s="54"/>
      <c r="AI663" s="54"/>
      <c r="AJ663" s="54"/>
      <c r="AK663" s="54"/>
      <c r="AL663" s="54"/>
      <c r="AM663" s="54"/>
      <c r="AN663" s="54"/>
      <c r="AO663" s="54"/>
      <c r="AP663" s="54"/>
      <c r="AQ663" s="54"/>
      <c r="AR663" s="54"/>
      <c r="AS663" s="54"/>
      <c r="AT663" s="54"/>
    </row>
    <row r="664">
      <c r="A664" s="54"/>
      <c r="B664" s="54"/>
      <c r="C664" s="54"/>
      <c r="D664" s="54"/>
      <c r="E664" s="54"/>
      <c r="F664" s="54"/>
      <c r="G664" s="54"/>
      <c r="H664" s="54"/>
      <c r="I664" s="54"/>
      <c r="J664" s="54"/>
      <c r="K664" s="54"/>
      <c r="L664" s="54"/>
      <c r="M664" s="54"/>
      <c r="N664" s="54"/>
      <c r="O664" s="54"/>
      <c r="P664" s="54"/>
      <c r="Q664" s="54"/>
      <c r="R664" s="54"/>
      <c r="S664" s="54"/>
      <c r="T664" s="54"/>
      <c r="U664" s="54"/>
      <c r="V664" s="54"/>
      <c r="W664" s="54"/>
      <c r="X664" s="54"/>
      <c r="Y664" s="350"/>
      <c r="Z664" s="54"/>
      <c r="AA664" s="54"/>
      <c r="AB664" s="54"/>
      <c r="AC664" s="54"/>
      <c r="AD664" s="54"/>
      <c r="AE664" s="54"/>
      <c r="AF664" s="54"/>
      <c r="AG664" s="54"/>
      <c r="AH664" s="54"/>
      <c r="AI664" s="54"/>
      <c r="AJ664" s="54"/>
      <c r="AK664" s="54"/>
      <c r="AL664" s="54"/>
      <c r="AM664" s="54"/>
      <c r="AN664" s="54"/>
      <c r="AO664" s="54"/>
      <c r="AP664" s="54"/>
      <c r="AQ664" s="54"/>
      <c r="AR664" s="54"/>
      <c r="AS664" s="54"/>
      <c r="AT664" s="54"/>
    </row>
    <row r="665">
      <c r="A665" s="54"/>
      <c r="B665" s="54"/>
      <c r="C665" s="54"/>
      <c r="D665" s="54"/>
      <c r="E665" s="54"/>
      <c r="F665" s="54"/>
      <c r="G665" s="54"/>
      <c r="H665" s="54"/>
      <c r="I665" s="54"/>
      <c r="J665" s="54"/>
      <c r="K665" s="54"/>
      <c r="L665" s="54"/>
      <c r="M665" s="54"/>
      <c r="N665" s="54"/>
      <c r="O665" s="54"/>
      <c r="P665" s="54"/>
      <c r="Q665" s="54"/>
      <c r="R665" s="54"/>
      <c r="S665" s="54"/>
      <c r="T665" s="54"/>
      <c r="U665" s="54"/>
      <c r="V665" s="54"/>
      <c r="W665" s="54"/>
      <c r="X665" s="54"/>
      <c r="Y665" s="350"/>
      <c r="Z665" s="54"/>
      <c r="AA665" s="54"/>
      <c r="AB665" s="54"/>
      <c r="AC665" s="54"/>
      <c r="AD665" s="54"/>
      <c r="AE665" s="54"/>
      <c r="AF665" s="54"/>
      <c r="AG665" s="54"/>
      <c r="AH665" s="54"/>
      <c r="AI665" s="54"/>
      <c r="AJ665" s="54"/>
      <c r="AK665" s="54"/>
      <c r="AL665" s="54"/>
      <c r="AM665" s="54"/>
      <c r="AN665" s="54"/>
      <c r="AO665" s="54"/>
      <c r="AP665" s="54"/>
      <c r="AQ665" s="54"/>
      <c r="AR665" s="54"/>
      <c r="AS665" s="54"/>
      <c r="AT665" s="54"/>
    </row>
    <row r="666">
      <c r="A666" s="54"/>
      <c r="B666" s="54"/>
      <c r="C666" s="54"/>
      <c r="D666" s="54"/>
      <c r="E666" s="54"/>
      <c r="F666" s="54"/>
      <c r="G666" s="54"/>
      <c r="H666" s="54"/>
      <c r="I666" s="54"/>
      <c r="J666" s="54"/>
      <c r="K666" s="54"/>
      <c r="L666" s="54"/>
      <c r="M666" s="54"/>
      <c r="N666" s="54"/>
      <c r="O666" s="54"/>
      <c r="P666" s="54"/>
      <c r="Q666" s="54"/>
      <c r="R666" s="54"/>
      <c r="S666" s="54"/>
      <c r="T666" s="54"/>
      <c r="U666" s="54"/>
      <c r="V666" s="54"/>
      <c r="W666" s="54"/>
      <c r="X666" s="54"/>
      <c r="Y666" s="350"/>
      <c r="Z666" s="54"/>
      <c r="AA666" s="54"/>
      <c r="AB666" s="54"/>
      <c r="AC666" s="54"/>
      <c r="AD666" s="54"/>
      <c r="AE666" s="54"/>
      <c r="AF666" s="54"/>
      <c r="AG666" s="54"/>
      <c r="AH666" s="54"/>
      <c r="AI666" s="54"/>
      <c r="AJ666" s="54"/>
      <c r="AK666" s="54"/>
      <c r="AL666" s="54"/>
      <c r="AM666" s="54"/>
      <c r="AN666" s="54"/>
      <c r="AO666" s="54"/>
      <c r="AP666" s="54"/>
      <c r="AQ666" s="54"/>
      <c r="AR666" s="54"/>
      <c r="AS666" s="54"/>
      <c r="AT666" s="54"/>
    </row>
    <row r="667">
      <c r="A667" s="54"/>
      <c r="B667" s="54"/>
      <c r="C667" s="54"/>
      <c r="D667" s="54"/>
      <c r="E667" s="54"/>
      <c r="F667" s="54"/>
      <c r="G667" s="54"/>
      <c r="H667" s="54"/>
      <c r="I667" s="54"/>
      <c r="J667" s="54"/>
      <c r="K667" s="54"/>
      <c r="L667" s="54"/>
      <c r="M667" s="54"/>
      <c r="N667" s="54"/>
      <c r="O667" s="54"/>
      <c r="P667" s="54"/>
      <c r="Q667" s="54"/>
      <c r="R667" s="54"/>
      <c r="S667" s="54"/>
      <c r="T667" s="54"/>
      <c r="U667" s="54"/>
      <c r="V667" s="54"/>
      <c r="W667" s="54"/>
      <c r="X667" s="54"/>
      <c r="Y667" s="350"/>
      <c r="Z667" s="54"/>
      <c r="AA667" s="54"/>
      <c r="AB667" s="54"/>
      <c r="AC667" s="54"/>
      <c r="AD667" s="54"/>
      <c r="AE667" s="54"/>
      <c r="AF667" s="54"/>
      <c r="AG667" s="54"/>
      <c r="AH667" s="54"/>
      <c r="AI667" s="54"/>
      <c r="AJ667" s="54"/>
      <c r="AK667" s="54"/>
      <c r="AL667" s="54"/>
      <c r="AM667" s="54"/>
      <c r="AN667" s="54"/>
      <c r="AO667" s="54"/>
      <c r="AP667" s="54"/>
      <c r="AQ667" s="54"/>
      <c r="AR667" s="54"/>
      <c r="AS667" s="54"/>
      <c r="AT667" s="54"/>
    </row>
    <row r="668">
      <c r="A668" s="54"/>
      <c r="B668" s="54"/>
      <c r="C668" s="54"/>
      <c r="D668" s="54"/>
      <c r="E668" s="54"/>
      <c r="F668" s="54"/>
      <c r="G668" s="54"/>
      <c r="H668" s="54"/>
      <c r="I668" s="54"/>
      <c r="J668" s="54"/>
      <c r="K668" s="54"/>
      <c r="L668" s="54"/>
      <c r="M668" s="54"/>
      <c r="N668" s="54"/>
      <c r="O668" s="54"/>
      <c r="P668" s="54"/>
      <c r="Q668" s="54"/>
      <c r="R668" s="54"/>
      <c r="S668" s="54"/>
      <c r="T668" s="54"/>
      <c r="U668" s="54"/>
      <c r="V668" s="54"/>
      <c r="W668" s="54"/>
      <c r="X668" s="54"/>
      <c r="Y668" s="350"/>
      <c r="Z668" s="54"/>
      <c r="AA668" s="54"/>
      <c r="AB668" s="54"/>
      <c r="AC668" s="54"/>
      <c r="AD668" s="54"/>
      <c r="AE668" s="54"/>
      <c r="AF668" s="54"/>
      <c r="AG668" s="54"/>
      <c r="AH668" s="54"/>
      <c r="AI668" s="54"/>
      <c r="AJ668" s="54"/>
      <c r="AK668" s="54"/>
      <c r="AL668" s="54"/>
      <c r="AM668" s="54"/>
      <c r="AN668" s="54"/>
      <c r="AO668" s="54"/>
      <c r="AP668" s="54"/>
      <c r="AQ668" s="54"/>
      <c r="AR668" s="54"/>
      <c r="AS668" s="54"/>
      <c r="AT668" s="54"/>
    </row>
    <row r="669">
      <c r="A669" s="54"/>
      <c r="B669" s="54"/>
      <c r="C669" s="54"/>
      <c r="D669" s="54"/>
      <c r="E669" s="54"/>
      <c r="F669" s="54"/>
      <c r="G669" s="54"/>
      <c r="H669" s="54"/>
      <c r="I669" s="54"/>
      <c r="J669" s="54"/>
      <c r="K669" s="54"/>
      <c r="L669" s="54"/>
      <c r="M669" s="54"/>
      <c r="N669" s="54"/>
      <c r="O669" s="54"/>
      <c r="P669" s="54"/>
      <c r="Q669" s="54"/>
      <c r="R669" s="54"/>
      <c r="S669" s="54"/>
      <c r="T669" s="54"/>
      <c r="U669" s="54"/>
      <c r="V669" s="54"/>
      <c r="W669" s="54"/>
      <c r="X669" s="54"/>
      <c r="Y669" s="350"/>
      <c r="Z669" s="54"/>
      <c r="AA669" s="54"/>
      <c r="AB669" s="54"/>
      <c r="AC669" s="54"/>
      <c r="AD669" s="54"/>
      <c r="AE669" s="54"/>
      <c r="AF669" s="54"/>
      <c r="AG669" s="54"/>
      <c r="AH669" s="54"/>
      <c r="AI669" s="54"/>
      <c r="AJ669" s="54"/>
      <c r="AK669" s="54"/>
      <c r="AL669" s="54"/>
      <c r="AM669" s="54"/>
      <c r="AN669" s="54"/>
      <c r="AO669" s="54"/>
      <c r="AP669" s="54"/>
      <c r="AQ669" s="54"/>
      <c r="AR669" s="54"/>
      <c r="AS669" s="54"/>
      <c r="AT669" s="54"/>
    </row>
    <row r="670">
      <c r="A670" s="54"/>
      <c r="B670" s="54"/>
      <c r="C670" s="54"/>
      <c r="D670" s="54"/>
      <c r="E670" s="54"/>
      <c r="F670" s="54"/>
      <c r="G670" s="54"/>
      <c r="H670" s="54"/>
      <c r="I670" s="54"/>
      <c r="J670" s="54"/>
      <c r="K670" s="54"/>
      <c r="L670" s="54"/>
      <c r="M670" s="54"/>
      <c r="N670" s="54"/>
      <c r="O670" s="54"/>
      <c r="P670" s="54"/>
      <c r="Q670" s="54"/>
      <c r="R670" s="54"/>
      <c r="S670" s="54"/>
      <c r="T670" s="54"/>
      <c r="U670" s="54"/>
      <c r="V670" s="54"/>
      <c r="W670" s="54"/>
      <c r="X670" s="54"/>
      <c r="Y670" s="350"/>
      <c r="Z670" s="54"/>
      <c r="AA670" s="54"/>
      <c r="AB670" s="54"/>
      <c r="AC670" s="54"/>
      <c r="AD670" s="54"/>
      <c r="AE670" s="54"/>
      <c r="AF670" s="54"/>
      <c r="AG670" s="54"/>
      <c r="AH670" s="54"/>
      <c r="AI670" s="54"/>
      <c r="AJ670" s="54"/>
      <c r="AK670" s="54"/>
      <c r="AL670" s="54"/>
      <c r="AM670" s="54"/>
      <c r="AN670" s="54"/>
      <c r="AO670" s="54"/>
      <c r="AP670" s="54"/>
      <c r="AQ670" s="54"/>
      <c r="AR670" s="54"/>
      <c r="AS670" s="54"/>
      <c r="AT670" s="54"/>
    </row>
    <row r="671">
      <c r="A671" s="54"/>
      <c r="B671" s="54"/>
      <c r="C671" s="54"/>
      <c r="D671" s="54"/>
      <c r="E671" s="54"/>
      <c r="F671" s="54"/>
      <c r="G671" s="54"/>
      <c r="H671" s="54"/>
      <c r="I671" s="54"/>
      <c r="J671" s="54"/>
      <c r="K671" s="54"/>
      <c r="L671" s="54"/>
      <c r="M671" s="54"/>
      <c r="N671" s="54"/>
      <c r="O671" s="54"/>
      <c r="P671" s="54"/>
      <c r="Q671" s="54"/>
      <c r="R671" s="54"/>
      <c r="S671" s="54"/>
      <c r="T671" s="54"/>
      <c r="U671" s="54"/>
      <c r="V671" s="54"/>
      <c r="W671" s="54"/>
      <c r="X671" s="54"/>
      <c r="Y671" s="350"/>
      <c r="Z671" s="54"/>
      <c r="AA671" s="54"/>
      <c r="AB671" s="54"/>
      <c r="AC671" s="54"/>
      <c r="AD671" s="54"/>
      <c r="AE671" s="54"/>
      <c r="AF671" s="54"/>
      <c r="AG671" s="54"/>
      <c r="AH671" s="54"/>
      <c r="AI671" s="54"/>
      <c r="AJ671" s="54"/>
      <c r="AK671" s="54"/>
      <c r="AL671" s="54"/>
      <c r="AM671" s="54"/>
      <c r="AN671" s="54"/>
      <c r="AO671" s="54"/>
      <c r="AP671" s="54"/>
      <c r="AQ671" s="54"/>
      <c r="AR671" s="54"/>
      <c r="AS671" s="54"/>
      <c r="AT671" s="54"/>
    </row>
    <row r="672">
      <c r="A672" s="54"/>
      <c r="B672" s="54"/>
      <c r="C672" s="54"/>
      <c r="D672" s="54"/>
      <c r="E672" s="54"/>
      <c r="F672" s="54"/>
      <c r="G672" s="54"/>
      <c r="H672" s="54"/>
      <c r="I672" s="54"/>
      <c r="J672" s="54"/>
      <c r="K672" s="54"/>
      <c r="L672" s="54"/>
      <c r="M672" s="54"/>
      <c r="N672" s="54"/>
      <c r="O672" s="54"/>
      <c r="P672" s="54"/>
      <c r="Q672" s="54"/>
      <c r="R672" s="54"/>
      <c r="S672" s="54"/>
      <c r="T672" s="54"/>
      <c r="U672" s="54"/>
      <c r="V672" s="54"/>
      <c r="W672" s="54"/>
      <c r="X672" s="54"/>
      <c r="Y672" s="350"/>
      <c r="Z672" s="54"/>
      <c r="AA672" s="54"/>
      <c r="AB672" s="54"/>
      <c r="AC672" s="54"/>
      <c r="AD672" s="54"/>
      <c r="AE672" s="54"/>
      <c r="AF672" s="54"/>
      <c r="AG672" s="54"/>
      <c r="AH672" s="54"/>
      <c r="AI672" s="54"/>
      <c r="AJ672" s="54"/>
      <c r="AK672" s="54"/>
      <c r="AL672" s="54"/>
      <c r="AM672" s="54"/>
      <c r="AN672" s="54"/>
      <c r="AO672" s="54"/>
      <c r="AP672" s="54"/>
      <c r="AQ672" s="54"/>
      <c r="AR672" s="54"/>
      <c r="AS672" s="54"/>
      <c r="AT672" s="54"/>
    </row>
    <row r="673">
      <c r="A673" s="54"/>
      <c r="B673" s="54"/>
      <c r="C673" s="54"/>
      <c r="D673" s="54"/>
      <c r="E673" s="54"/>
      <c r="F673" s="54"/>
      <c r="G673" s="54"/>
      <c r="H673" s="54"/>
      <c r="I673" s="54"/>
      <c r="J673" s="54"/>
      <c r="K673" s="54"/>
      <c r="L673" s="54"/>
      <c r="M673" s="54"/>
      <c r="N673" s="54"/>
      <c r="O673" s="54"/>
      <c r="P673" s="54"/>
      <c r="Q673" s="54"/>
      <c r="R673" s="54"/>
      <c r="S673" s="54"/>
      <c r="T673" s="54"/>
      <c r="U673" s="54"/>
      <c r="V673" s="54"/>
      <c r="W673" s="54"/>
      <c r="X673" s="54"/>
      <c r="Y673" s="350"/>
      <c r="Z673" s="54"/>
      <c r="AA673" s="54"/>
      <c r="AB673" s="54"/>
      <c r="AC673" s="54"/>
      <c r="AD673" s="54"/>
      <c r="AE673" s="54"/>
      <c r="AF673" s="54"/>
      <c r="AG673" s="54"/>
      <c r="AH673" s="54"/>
      <c r="AI673" s="54"/>
      <c r="AJ673" s="54"/>
      <c r="AK673" s="54"/>
      <c r="AL673" s="54"/>
      <c r="AM673" s="54"/>
      <c r="AN673" s="54"/>
      <c r="AO673" s="54"/>
      <c r="AP673" s="54"/>
      <c r="AQ673" s="54"/>
      <c r="AR673" s="54"/>
      <c r="AS673" s="54"/>
      <c r="AT673" s="54"/>
    </row>
    <row r="674">
      <c r="A674" s="54"/>
      <c r="B674" s="54"/>
      <c r="C674" s="54"/>
      <c r="D674" s="54"/>
      <c r="E674" s="54"/>
      <c r="F674" s="54"/>
      <c r="G674" s="54"/>
      <c r="H674" s="54"/>
      <c r="I674" s="54"/>
      <c r="J674" s="54"/>
      <c r="K674" s="54"/>
      <c r="L674" s="54"/>
      <c r="M674" s="54"/>
      <c r="N674" s="54"/>
      <c r="O674" s="54"/>
      <c r="P674" s="54"/>
      <c r="Q674" s="54"/>
      <c r="R674" s="54"/>
      <c r="S674" s="54"/>
      <c r="T674" s="54"/>
      <c r="U674" s="54"/>
      <c r="V674" s="54"/>
      <c r="W674" s="54"/>
      <c r="X674" s="54"/>
      <c r="Y674" s="350"/>
      <c r="Z674" s="54"/>
      <c r="AA674" s="54"/>
      <c r="AB674" s="54"/>
      <c r="AC674" s="54"/>
      <c r="AD674" s="54"/>
      <c r="AE674" s="54"/>
      <c r="AF674" s="54"/>
      <c r="AG674" s="54"/>
      <c r="AH674" s="54"/>
      <c r="AI674" s="54"/>
      <c r="AJ674" s="54"/>
      <c r="AK674" s="54"/>
      <c r="AL674" s="54"/>
      <c r="AM674" s="54"/>
      <c r="AN674" s="54"/>
      <c r="AO674" s="54"/>
      <c r="AP674" s="54"/>
      <c r="AQ674" s="54"/>
      <c r="AR674" s="54"/>
      <c r="AS674" s="54"/>
      <c r="AT674" s="54"/>
    </row>
    <row r="675">
      <c r="A675" s="54"/>
      <c r="B675" s="54"/>
      <c r="C675" s="54"/>
      <c r="D675" s="54"/>
      <c r="E675" s="54"/>
      <c r="F675" s="54"/>
      <c r="G675" s="54"/>
      <c r="H675" s="54"/>
      <c r="I675" s="54"/>
      <c r="J675" s="54"/>
      <c r="K675" s="54"/>
      <c r="L675" s="54"/>
      <c r="M675" s="54"/>
      <c r="N675" s="54"/>
      <c r="O675" s="54"/>
      <c r="P675" s="54"/>
      <c r="Q675" s="54"/>
      <c r="R675" s="54"/>
      <c r="S675" s="54"/>
      <c r="T675" s="54"/>
      <c r="U675" s="54"/>
      <c r="V675" s="54"/>
      <c r="W675" s="54"/>
      <c r="X675" s="54"/>
      <c r="Y675" s="350"/>
      <c r="Z675" s="54"/>
      <c r="AA675" s="54"/>
      <c r="AB675" s="54"/>
      <c r="AC675" s="54"/>
      <c r="AD675" s="54"/>
      <c r="AE675" s="54"/>
      <c r="AF675" s="54"/>
      <c r="AG675" s="54"/>
      <c r="AH675" s="54"/>
      <c r="AI675" s="54"/>
      <c r="AJ675" s="54"/>
      <c r="AK675" s="54"/>
      <c r="AL675" s="54"/>
      <c r="AM675" s="54"/>
      <c r="AN675" s="54"/>
      <c r="AO675" s="54"/>
      <c r="AP675" s="54"/>
      <c r="AQ675" s="54"/>
      <c r="AR675" s="54"/>
      <c r="AS675" s="54"/>
      <c r="AT675" s="54"/>
    </row>
    <row r="676">
      <c r="A676" s="54"/>
      <c r="B676" s="54"/>
      <c r="C676" s="54"/>
      <c r="D676" s="54"/>
      <c r="E676" s="54"/>
      <c r="F676" s="54"/>
      <c r="G676" s="54"/>
      <c r="H676" s="54"/>
      <c r="I676" s="54"/>
      <c r="J676" s="54"/>
      <c r="K676" s="54"/>
      <c r="L676" s="54"/>
      <c r="M676" s="54"/>
      <c r="N676" s="54"/>
      <c r="O676" s="54"/>
      <c r="P676" s="54"/>
      <c r="Q676" s="54"/>
      <c r="R676" s="54"/>
      <c r="S676" s="54"/>
      <c r="T676" s="54"/>
      <c r="U676" s="54"/>
      <c r="V676" s="54"/>
      <c r="W676" s="54"/>
      <c r="X676" s="54"/>
      <c r="Y676" s="350"/>
      <c r="Z676" s="54"/>
      <c r="AA676" s="54"/>
      <c r="AB676" s="54"/>
      <c r="AC676" s="54"/>
      <c r="AD676" s="54"/>
      <c r="AE676" s="54"/>
      <c r="AF676" s="54"/>
      <c r="AG676" s="54"/>
      <c r="AH676" s="54"/>
      <c r="AI676" s="54"/>
      <c r="AJ676" s="54"/>
      <c r="AK676" s="54"/>
      <c r="AL676" s="54"/>
      <c r="AM676" s="54"/>
      <c r="AN676" s="54"/>
      <c r="AO676" s="54"/>
      <c r="AP676" s="54"/>
      <c r="AQ676" s="54"/>
      <c r="AR676" s="54"/>
      <c r="AS676" s="54"/>
      <c r="AT676" s="54"/>
    </row>
    <row r="677">
      <c r="A677" s="54"/>
      <c r="B677" s="54"/>
      <c r="C677" s="54"/>
      <c r="D677" s="54"/>
      <c r="E677" s="54"/>
      <c r="F677" s="54"/>
      <c r="G677" s="54"/>
      <c r="H677" s="54"/>
      <c r="I677" s="54"/>
      <c r="J677" s="54"/>
      <c r="K677" s="54"/>
      <c r="L677" s="54"/>
      <c r="M677" s="54"/>
      <c r="N677" s="54"/>
      <c r="O677" s="54"/>
      <c r="P677" s="54"/>
      <c r="Q677" s="54"/>
      <c r="R677" s="54"/>
      <c r="S677" s="54"/>
      <c r="T677" s="54"/>
      <c r="U677" s="54"/>
      <c r="V677" s="54"/>
      <c r="W677" s="54"/>
      <c r="X677" s="54"/>
      <c r="Y677" s="350"/>
      <c r="Z677" s="54"/>
      <c r="AA677" s="54"/>
      <c r="AB677" s="54"/>
      <c r="AC677" s="54"/>
      <c r="AD677" s="54"/>
      <c r="AE677" s="54"/>
      <c r="AF677" s="54"/>
      <c r="AG677" s="54"/>
      <c r="AH677" s="54"/>
      <c r="AI677" s="54"/>
      <c r="AJ677" s="54"/>
      <c r="AK677" s="54"/>
      <c r="AL677" s="54"/>
      <c r="AM677" s="54"/>
      <c r="AN677" s="54"/>
      <c r="AO677" s="54"/>
      <c r="AP677" s="54"/>
      <c r="AQ677" s="54"/>
      <c r="AR677" s="54"/>
      <c r="AS677" s="54"/>
      <c r="AT677" s="54"/>
    </row>
    <row r="678">
      <c r="A678" s="54"/>
      <c r="B678" s="54"/>
      <c r="C678" s="54"/>
      <c r="D678" s="54"/>
      <c r="E678" s="54"/>
      <c r="F678" s="54"/>
      <c r="G678" s="54"/>
      <c r="H678" s="54"/>
      <c r="I678" s="54"/>
      <c r="J678" s="54"/>
      <c r="K678" s="54"/>
      <c r="L678" s="54"/>
      <c r="M678" s="54"/>
      <c r="N678" s="54"/>
      <c r="O678" s="54"/>
      <c r="P678" s="54"/>
      <c r="Q678" s="54"/>
      <c r="R678" s="54"/>
      <c r="S678" s="54"/>
      <c r="T678" s="54"/>
      <c r="U678" s="54"/>
      <c r="V678" s="54"/>
      <c r="W678" s="54"/>
      <c r="X678" s="54"/>
      <c r="Y678" s="350"/>
      <c r="Z678" s="54"/>
      <c r="AA678" s="54"/>
      <c r="AB678" s="54"/>
      <c r="AC678" s="54"/>
      <c r="AD678" s="54"/>
      <c r="AE678" s="54"/>
      <c r="AF678" s="54"/>
      <c r="AG678" s="54"/>
      <c r="AH678" s="54"/>
      <c r="AI678" s="54"/>
      <c r="AJ678" s="54"/>
      <c r="AK678" s="54"/>
      <c r="AL678" s="54"/>
      <c r="AM678" s="54"/>
      <c r="AN678" s="54"/>
      <c r="AO678" s="54"/>
      <c r="AP678" s="54"/>
      <c r="AQ678" s="54"/>
      <c r="AR678" s="54"/>
      <c r="AS678" s="54"/>
      <c r="AT678" s="54"/>
    </row>
    <row r="679">
      <c r="A679" s="54"/>
      <c r="B679" s="54"/>
      <c r="C679" s="54"/>
      <c r="D679" s="54"/>
      <c r="E679" s="54"/>
      <c r="F679" s="54"/>
      <c r="G679" s="54"/>
      <c r="H679" s="54"/>
      <c r="I679" s="54"/>
      <c r="J679" s="54"/>
      <c r="K679" s="54"/>
      <c r="L679" s="54"/>
      <c r="M679" s="54"/>
      <c r="N679" s="54"/>
      <c r="O679" s="54"/>
      <c r="P679" s="54"/>
      <c r="Q679" s="54"/>
      <c r="R679" s="54"/>
      <c r="S679" s="54"/>
      <c r="T679" s="54"/>
      <c r="U679" s="54"/>
      <c r="V679" s="54"/>
      <c r="W679" s="54"/>
      <c r="X679" s="54"/>
      <c r="Y679" s="350"/>
      <c r="Z679" s="54"/>
      <c r="AA679" s="54"/>
      <c r="AB679" s="54"/>
      <c r="AC679" s="54"/>
      <c r="AD679" s="54"/>
      <c r="AE679" s="54"/>
      <c r="AF679" s="54"/>
      <c r="AG679" s="54"/>
      <c r="AH679" s="54"/>
      <c r="AI679" s="54"/>
      <c r="AJ679" s="54"/>
      <c r="AK679" s="54"/>
      <c r="AL679" s="54"/>
      <c r="AM679" s="54"/>
      <c r="AN679" s="54"/>
      <c r="AO679" s="54"/>
      <c r="AP679" s="54"/>
      <c r="AQ679" s="54"/>
      <c r="AR679" s="54"/>
      <c r="AS679" s="54"/>
      <c r="AT679" s="54"/>
    </row>
    <row r="680">
      <c r="A680" s="54"/>
      <c r="B680" s="54"/>
      <c r="C680" s="54"/>
      <c r="D680" s="54"/>
      <c r="E680" s="54"/>
      <c r="F680" s="54"/>
      <c r="G680" s="54"/>
      <c r="H680" s="54"/>
      <c r="I680" s="54"/>
      <c r="J680" s="54"/>
      <c r="K680" s="54"/>
      <c r="L680" s="54"/>
      <c r="M680" s="54"/>
      <c r="N680" s="54"/>
      <c r="O680" s="54"/>
      <c r="P680" s="54"/>
      <c r="Q680" s="54"/>
      <c r="R680" s="54"/>
      <c r="S680" s="54"/>
      <c r="T680" s="54"/>
      <c r="U680" s="54"/>
      <c r="V680" s="54"/>
      <c r="W680" s="54"/>
      <c r="X680" s="54"/>
      <c r="Y680" s="350"/>
      <c r="Z680" s="54"/>
      <c r="AA680" s="54"/>
      <c r="AB680" s="54"/>
      <c r="AC680" s="54"/>
      <c r="AD680" s="54"/>
      <c r="AE680" s="54"/>
      <c r="AF680" s="54"/>
      <c r="AG680" s="54"/>
      <c r="AH680" s="54"/>
      <c r="AI680" s="54"/>
      <c r="AJ680" s="54"/>
      <c r="AK680" s="54"/>
      <c r="AL680" s="54"/>
      <c r="AM680" s="54"/>
      <c r="AN680" s="54"/>
      <c r="AO680" s="54"/>
      <c r="AP680" s="54"/>
      <c r="AQ680" s="54"/>
      <c r="AR680" s="54"/>
      <c r="AS680" s="54"/>
      <c r="AT680" s="54"/>
    </row>
    <row r="681">
      <c r="A681" s="54"/>
      <c r="B681" s="54"/>
      <c r="C681" s="54"/>
      <c r="D681" s="54"/>
      <c r="E681" s="54"/>
      <c r="F681" s="54"/>
      <c r="G681" s="54"/>
      <c r="H681" s="54"/>
      <c r="I681" s="54"/>
      <c r="J681" s="54"/>
      <c r="K681" s="54"/>
      <c r="L681" s="54"/>
      <c r="M681" s="54"/>
      <c r="N681" s="54"/>
      <c r="O681" s="54"/>
      <c r="P681" s="54"/>
      <c r="Q681" s="54"/>
      <c r="R681" s="54"/>
      <c r="S681" s="54"/>
      <c r="T681" s="54"/>
      <c r="U681" s="54"/>
      <c r="V681" s="54"/>
      <c r="W681" s="54"/>
      <c r="X681" s="54"/>
      <c r="Y681" s="350"/>
      <c r="Z681" s="54"/>
      <c r="AA681" s="54"/>
      <c r="AB681" s="54"/>
      <c r="AC681" s="54"/>
      <c r="AD681" s="54"/>
      <c r="AE681" s="54"/>
      <c r="AF681" s="54"/>
      <c r="AG681" s="54"/>
      <c r="AH681" s="54"/>
      <c r="AI681" s="54"/>
      <c r="AJ681" s="54"/>
      <c r="AK681" s="54"/>
      <c r="AL681" s="54"/>
      <c r="AM681" s="54"/>
      <c r="AN681" s="54"/>
      <c r="AO681" s="54"/>
      <c r="AP681" s="54"/>
      <c r="AQ681" s="54"/>
      <c r="AR681" s="54"/>
      <c r="AS681" s="54"/>
      <c r="AT681" s="54"/>
    </row>
    <row r="682">
      <c r="A682" s="54"/>
      <c r="B682" s="54"/>
      <c r="C682" s="54"/>
      <c r="D682" s="54"/>
      <c r="E682" s="54"/>
      <c r="F682" s="54"/>
      <c r="G682" s="54"/>
      <c r="H682" s="54"/>
      <c r="I682" s="54"/>
      <c r="J682" s="54"/>
      <c r="K682" s="54"/>
      <c r="L682" s="54"/>
      <c r="M682" s="54"/>
      <c r="N682" s="54"/>
      <c r="O682" s="54"/>
      <c r="P682" s="54"/>
      <c r="Q682" s="54"/>
      <c r="R682" s="54"/>
      <c r="S682" s="54"/>
      <c r="T682" s="54"/>
      <c r="U682" s="54"/>
      <c r="V682" s="54"/>
      <c r="W682" s="54"/>
      <c r="X682" s="54"/>
      <c r="Y682" s="350"/>
      <c r="Z682" s="54"/>
      <c r="AA682" s="54"/>
      <c r="AB682" s="54"/>
      <c r="AC682" s="54"/>
      <c r="AD682" s="54"/>
      <c r="AE682" s="54"/>
      <c r="AF682" s="54"/>
      <c r="AG682" s="54"/>
      <c r="AH682" s="54"/>
      <c r="AI682" s="54"/>
      <c r="AJ682" s="54"/>
      <c r="AK682" s="54"/>
      <c r="AL682" s="54"/>
      <c r="AM682" s="54"/>
      <c r="AN682" s="54"/>
      <c r="AO682" s="54"/>
      <c r="AP682" s="54"/>
      <c r="AQ682" s="54"/>
      <c r="AR682" s="54"/>
      <c r="AS682" s="54"/>
      <c r="AT682" s="54"/>
    </row>
    <row r="683">
      <c r="A683" s="54"/>
      <c r="B683" s="54"/>
      <c r="C683" s="54"/>
      <c r="D683" s="54"/>
      <c r="E683" s="54"/>
      <c r="F683" s="54"/>
      <c r="G683" s="54"/>
      <c r="H683" s="54"/>
      <c r="I683" s="54"/>
      <c r="J683" s="54"/>
      <c r="K683" s="54"/>
      <c r="L683" s="54"/>
      <c r="M683" s="54"/>
      <c r="N683" s="54"/>
      <c r="O683" s="54"/>
      <c r="P683" s="54"/>
      <c r="Q683" s="54"/>
      <c r="R683" s="54"/>
      <c r="S683" s="54"/>
      <c r="T683" s="54"/>
      <c r="U683" s="54"/>
      <c r="V683" s="54"/>
      <c r="W683" s="54"/>
      <c r="X683" s="54"/>
      <c r="Y683" s="350"/>
      <c r="Z683" s="54"/>
      <c r="AA683" s="54"/>
      <c r="AB683" s="54"/>
      <c r="AC683" s="54"/>
      <c r="AD683" s="54"/>
      <c r="AE683" s="54"/>
      <c r="AF683" s="54"/>
      <c r="AG683" s="54"/>
      <c r="AH683" s="54"/>
      <c r="AI683" s="54"/>
      <c r="AJ683" s="54"/>
      <c r="AK683" s="54"/>
      <c r="AL683" s="54"/>
      <c r="AM683" s="54"/>
      <c r="AN683" s="54"/>
      <c r="AO683" s="54"/>
      <c r="AP683" s="54"/>
      <c r="AQ683" s="54"/>
      <c r="AR683" s="54"/>
      <c r="AS683" s="54"/>
      <c r="AT683" s="54"/>
    </row>
    <row r="684">
      <c r="A684" s="54"/>
      <c r="B684" s="54"/>
      <c r="C684" s="54"/>
      <c r="D684" s="54"/>
      <c r="E684" s="54"/>
      <c r="F684" s="54"/>
      <c r="G684" s="54"/>
      <c r="H684" s="54"/>
      <c r="I684" s="54"/>
      <c r="J684" s="54"/>
      <c r="K684" s="54"/>
      <c r="L684" s="54"/>
      <c r="M684" s="54"/>
      <c r="N684" s="54"/>
      <c r="O684" s="54"/>
      <c r="P684" s="54"/>
      <c r="Q684" s="54"/>
      <c r="R684" s="54"/>
      <c r="S684" s="54"/>
      <c r="T684" s="54"/>
      <c r="U684" s="54"/>
      <c r="V684" s="54"/>
      <c r="W684" s="54"/>
      <c r="X684" s="54"/>
      <c r="Y684" s="350"/>
      <c r="Z684" s="54"/>
      <c r="AA684" s="54"/>
      <c r="AB684" s="54"/>
      <c r="AC684" s="54"/>
      <c r="AD684" s="54"/>
      <c r="AE684" s="54"/>
      <c r="AF684" s="54"/>
      <c r="AG684" s="54"/>
      <c r="AH684" s="54"/>
      <c r="AI684" s="54"/>
      <c r="AJ684" s="54"/>
      <c r="AK684" s="54"/>
      <c r="AL684" s="54"/>
      <c r="AM684" s="54"/>
      <c r="AN684" s="54"/>
      <c r="AO684" s="54"/>
      <c r="AP684" s="54"/>
      <c r="AQ684" s="54"/>
      <c r="AR684" s="54"/>
      <c r="AS684" s="54"/>
      <c r="AT684" s="54"/>
    </row>
    <row r="685">
      <c r="A685" s="54"/>
      <c r="B685" s="54"/>
      <c r="C685" s="54"/>
      <c r="D685" s="54"/>
      <c r="E685" s="54"/>
      <c r="F685" s="54"/>
      <c r="G685" s="54"/>
      <c r="H685" s="54"/>
      <c r="I685" s="54"/>
      <c r="J685" s="54"/>
      <c r="K685" s="54"/>
      <c r="L685" s="54"/>
      <c r="M685" s="54"/>
      <c r="N685" s="54"/>
      <c r="O685" s="54"/>
      <c r="P685" s="54"/>
      <c r="Q685" s="54"/>
      <c r="R685" s="54"/>
      <c r="S685" s="54"/>
      <c r="T685" s="54"/>
      <c r="U685" s="54"/>
      <c r="V685" s="54"/>
      <c r="W685" s="54"/>
      <c r="X685" s="54"/>
      <c r="Y685" s="350"/>
      <c r="Z685" s="54"/>
      <c r="AA685" s="54"/>
      <c r="AB685" s="54"/>
      <c r="AC685" s="54"/>
      <c r="AD685" s="54"/>
      <c r="AE685" s="54"/>
      <c r="AF685" s="54"/>
      <c r="AG685" s="54"/>
      <c r="AH685" s="54"/>
      <c r="AI685" s="54"/>
      <c r="AJ685" s="54"/>
      <c r="AK685" s="54"/>
      <c r="AL685" s="54"/>
      <c r="AM685" s="54"/>
      <c r="AN685" s="54"/>
      <c r="AO685" s="54"/>
      <c r="AP685" s="54"/>
      <c r="AQ685" s="54"/>
      <c r="AR685" s="54"/>
      <c r="AS685" s="54"/>
      <c r="AT685" s="54"/>
    </row>
    <row r="686">
      <c r="A686" s="54"/>
      <c r="B686" s="54"/>
      <c r="C686" s="54"/>
      <c r="D686" s="54"/>
      <c r="E686" s="54"/>
      <c r="F686" s="54"/>
      <c r="G686" s="54"/>
      <c r="H686" s="54"/>
      <c r="I686" s="54"/>
      <c r="J686" s="54"/>
      <c r="K686" s="54"/>
      <c r="L686" s="54"/>
      <c r="M686" s="54"/>
      <c r="N686" s="54"/>
      <c r="O686" s="54"/>
      <c r="P686" s="54"/>
      <c r="Q686" s="54"/>
      <c r="R686" s="54"/>
      <c r="S686" s="54"/>
      <c r="T686" s="54"/>
      <c r="U686" s="54"/>
      <c r="V686" s="54"/>
      <c r="W686" s="54"/>
      <c r="X686" s="54"/>
      <c r="Y686" s="350"/>
      <c r="Z686" s="54"/>
      <c r="AA686" s="54"/>
      <c r="AB686" s="54"/>
      <c r="AC686" s="54"/>
      <c r="AD686" s="54"/>
      <c r="AE686" s="54"/>
      <c r="AF686" s="54"/>
      <c r="AG686" s="54"/>
      <c r="AH686" s="54"/>
      <c r="AI686" s="54"/>
      <c r="AJ686" s="54"/>
      <c r="AK686" s="54"/>
      <c r="AL686" s="54"/>
      <c r="AM686" s="54"/>
      <c r="AN686" s="54"/>
      <c r="AO686" s="54"/>
      <c r="AP686" s="54"/>
      <c r="AQ686" s="54"/>
      <c r="AR686" s="54"/>
      <c r="AS686" s="54"/>
      <c r="AT686" s="54"/>
    </row>
    <row r="687">
      <c r="A687" s="54"/>
      <c r="B687" s="54"/>
      <c r="C687" s="54"/>
      <c r="D687" s="54"/>
      <c r="E687" s="54"/>
      <c r="F687" s="54"/>
      <c r="G687" s="54"/>
      <c r="H687" s="54"/>
      <c r="I687" s="54"/>
      <c r="J687" s="54"/>
      <c r="K687" s="54"/>
      <c r="L687" s="54"/>
      <c r="M687" s="54"/>
      <c r="N687" s="54"/>
      <c r="O687" s="54"/>
      <c r="P687" s="54"/>
      <c r="Q687" s="54"/>
      <c r="R687" s="54"/>
      <c r="S687" s="54"/>
      <c r="T687" s="54"/>
      <c r="U687" s="54"/>
      <c r="V687" s="54"/>
      <c r="W687" s="54"/>
      <c r="X687" s="54"/>
      <c r="Y687" s="350"/>
      <c r="Z687" s="54"/>
      <c r="AA687" s="54"/>
      <c r="AB687" s="54"/>
      <c r="AC687" s="54"/>
      <c r="AD687" s="54"/>
      <c r="AE687" s="54"/>
      <c r="AF687" s="54"/>
      <c r="AG687" s="54"/>
      <c r="AH687" s="54"/>
      <c r="AI687" s="54"/>
      <c r="AJ687" s="54"/>
      <c r="AK687" s="54"/>
      <c r="AL687" s="54"/>
      <c r="AM687" s="54"/>
      <c r="AN687" s="54"/>
      <c r="AO687" s="54"/>
      <c r="AP687" s="54"/>
      <c r="AQ687" s="54"/>
      <c r="AR687" s="54"/>
      <c r="AS687" s="54"/>
      <c r="AT687" s="54"/>
    </row>
    <row r="688">
      <c r="A688" s="54"/>
      <c r="B688" s="54"/>
      <c r="C688" s="54"/>
      <c r="D688" s="54"/>
      <c r="E688" s="54"/>
      <c r="F688" s="54"/>
      <c r="G688" s="54"/>
      <c r="H688" s="54"/>
      <c r="I688" s="54"/>
      <c r="J688" s="54"/>
      <c r="K688" s="54"/>
      <c r="L688" s="54"/>
      <c r="M688" s="54"/>
      <c r="N688" s="54"/>
      <c r="O688" s="54"/>
      <c r="P688" s="54"/>
      <c r="Q688" s="54"/>
      <c r="R688" s="54"/>
      <c r="S688" s="54"/>
      <c r="T688" s="54"/>
      <c r="U688" s="54"/>
      <c r="V688" s="54"/>
      <c r="W688" s="54"/>
      <c r="X688" s="54"/>
      <c r="Y688" s="350"/>
      <c r="Z688" s="54"/>
      <c r="AA688" s="54"/>
      <c r="AB688" s="54"/>
      <c r="AC688" s="54"/>
      <c r="AD688" s="54"/>
      <c r="AE688" s="54"/>
      <c r="AF688" s="54"/>
      <c r="AG688" s="54"/>
      <c r="AH688" s="54"/>
      <c r="AI688" s="54"/>
      <c r="AJ688" s="54"/>
      <c r="AK688" s="54"/>
      <c r="AL688" s="54"/>
      <c r="AM688" s="54"/>
      <c r="AN688" s="54"/>
      <c r="AO688" s="54"/>
      <c r="AP688" s="54"/>
      <c r="AQ688" s="54"/>
      <c r="AR688" s="54"/>
      <c r="AS688" s="54"/>
      <c r="AT688" s="54"/>
    </row>
    <row r="689">
      <c r="A689" s="54"/>
      <c r="B689" s="54"/>
      <c r="C689" s="54"/>
      <c r="D689" s="54"/>
      <c r="E689" s="54"/>
      <c r="F689" s="54"/>
      <c r="G689" s="54"/>
      <c r="H689" s="54"/>
      <c r="I689" s="54"/>
      <c r="J689" s="54"/>
      <c r="K689" s="54"/>
      <c r="L689" s="54"/>
      <c r="M689" s="54"/>
      <c r="N689" s="54"/>
      <c r="O689" s="54"/>
      <c r="P689" s="54"/>
      <c r="Q689" s="54"/>
      <c r="R689" s="54"/>
      <c r="S689" s="54"/>
      <c r="T689" s="54"/>
      <c r="U689" s="54"/>
      <c r="V689" s="54"/>
      <c r="W689" s="54"/>
      <c r="X689" s="54"/>
      <c r="Y689" s="350"/>
      <c r="Z689" s="54"/>
      <c r="AA689" s="54"/>
      <c r="AB689" s="54"/>
      <c r="AC689" s="54"/>
      <c r="AD689" s="54"/>
      <c r="AE689" s="54"/>
      <c r="AF689" s="54"/>
      <c r="AG689" s="54"/>
      <c r="AH689" s="54"/>
      <c r="AI689" s="54"/>
      <c r="AJ689" s="54"/>
      <c r="AK689" s="54"/>
      <c r="AL689" s="54"/>
      <c r="AM689" s="54"/>
      <c r="AN689" s="54"/>
      <c r="AO689" s="54"/>
      <c r="AP689" s="54"/>
      <c r="AQ689" s="54"/>
      <c r="AR689" s="54"/>
      <c r="AS689" s="54"/>
      <c r="AT689" s="54"/>
    </row>
    <row r="690">
      <c r="A690" s="54"/>
      <c r="B690" s="54"/>
      <c r="C690" s="54"/>
      <c r="D690" s="54"/>
      <c r="E690" s="54"/>
      <c r="F690" s="54"/>
      <c r="G690" s="54"/>
      <c r="H690" s="54"/>
      <c r="I690" s="54"/>
      <c r="J690" s="54"/>
      <c r="K690" s="54"/>
      <c r="L690" s="54"/>
      <c r="M690" s="54"/>
      <c r="N690" s="54"/>
      <c r="O690" s="54"/>
      <c r="P690" s="54"/>
      <c r="Q690" s="54"/>
      <c r="R690" s="54"/>
      <c r="S690" s="54"/>
      <c r="T690" s="54"/>
      <c r="U690" s="54"/>
      <c r="V690" s="54"/>
      <c r="W690" s="54"/>
      <c r="X690" s="54"/>
      <c r="Y690" s="350"/>
      <c r="Z690" s="54"/>
      <c r="AA690" s="54"/>
      <c r="AB690" s="54"/>
      <c r="AC690" s="54"/>
      <c r="AD690" s="54"/>
      <c r="AE690" s="54"/>
      <c r="AF690" s="54"/>
      <c r="AG690" s="54"/>
      <c r="AH690" s="54"/>
      <c r="AI690" s="54"/>
      <c r="AJ690" s="54"/>
      <c r="AK690" s="54"/>
      <c r="AL690" s="54"/>
      <c r="AM690" s="54"/>
      <c r="AN690" s="54"/>
      <c r="AO690" s="54"/>
      <c r="AP690" s="54"/>
      <c r="AQ690" s="54"/>
      <c r="AR690" s="54"/>
      <c r="AS690" s="54"/>
      <c r="AT690" s="54"/>
    </row>
    <row r="691">
      <c r="A691" s="54"/>
      <c r="B691" s="54"/>
      <c r="C691" s="54"/>
      <c r="D691" s="54"/>
      <c r="E691" s="54"/>
      <c r="F691" s="54"/>
      <c r="G691" s="54"/>
      <c r="H691" s="54"/>
      <c r="I691" s="54"/>
      <c r="J691" s="54"/>
      <c r="K691" s="54"/>
      <c r="L691" s="54"/>
      <c r="M691" s="54"/>
      <c r="N691" s="54"/>
      <c r="O691" s="54"/>
      <c r="P691" s="54"/>
      <c r="Q691" s="54"/>
      <c r="R691" s="54"/>
      <c r="S691" s="54"/>
      <c r="T691" s="54"/>
      <c r="U691" s="54"/>
      <c r="V691" s="54"/>
      <c r="W691" s="54"/>
      <c r="X691" s="54"/>
      <c r="Y691" s="350"/>
      <c r="Z691" s="54"/>
      <c r="AA691" s="54"/>
      <c r="AB691" s="54"/>
      <c r="AC691" s="54"/>
      <c r="AD691" s="54"/>
      <c r="AE691" s="54"/>
      <c r="AF691" s="54"/>
      <c r="AG691" s="54"/>
      <c r="AH691" s="54"/>
      <c r="AI691" s="54"/>
      <c r="AJ691" s="54"/>
      <c r="AK691" s="54"/>
      <c r="AL691" s="54"/>
      <c r="AM691" s="54"/>
      <c r="AN691" s="54"/>
      <c r="AO691" s="54"/>
      <c r="AP691" s="54"/>
      <c r="AQ691" s="54"/>
      <c r="AR691" s="54"/>
      <c r="AS691" s="54"/>
      <c r="AT691" s="54"/>
    </row>
    <row r="692">
      <c r="A692" s="54"/>
      <c r="B692" s="54"/>
      <c r="C692" s="54"/>
      <c r="D692" s="54"/>
      <c r="E692" s="54"/>
      <c r="F692" s="54"/>
      <c r="G692" s="54"/>
      <c r="H692" s="54"/>
      <c r="I692" s="54"/>
      <c r="J692" s="54"/>
      <c r="K692" s="54"/>
      <c r="L692" s="54"/>
      <c r="M692" s="54"/>
      <c r="N692" s="54"/>
      <c r="O692" s="54"/>
      <c r="P692" s="54"/>
      <c r="Q692" s="54"/>
      <c r="R692" s="54"/>
      <c r="S692" s="54"/>
      <c r="T692" s="54"/>
      <c r="U692" s="54"/>
      <c r="V692" s="54"/>
      <c r="W692" s="54"/>
      <c r="X692" s="54"/>
      <c r="Y692" s="350"/>
      <c r="Z692" s="54"/>
      <c r="AA692" s="54"/>
      <c r="AB692" s="54"/>
      <c r="AC692" s="54"/>
      <c r="AD692" s="54"/>
      <c r="AE692" s="54"/>
      <c r="AF692" s="54"/>
      <c r="AG692" s="54"/>
      <c r="AH692" s="54"/>
      <c r="AI692" s="54"/>
      <c r="AJ692" s="54"/>
      <c r="AK692" s="54"/>
      <c r="AL692" s="54"/>
      <c r="AM692" s="54"/>
      <c r="AN692" s="54"/>
      <c r="AO692" s="54"/>
      <c r="AP692" s="54"/>
      <c r="AQ692" s="54"/>
      <c r="AR692" s="54"/>
      <c r="AS692" s="54"/>
      <c r="AT692" s="54"/>
    </row>
    <row r="693">
      <c r="A693" s="54"/>
      <c r="B693" s="54"/>
      <c r="C693" s="54"/>
      <c r="D693" s="54"/>
      <c r="E693" s="54"/>
      <c r="F693" s="54"/>
      <c r="G693" s="54"/>
      <c r="H693" s="54"/>
      <c r="I693" s="54"/>
      <c r="J693" s="54"/>
      <c r="K693" s="54"/>
      <c r="L693" s="54"/>
      <c r="M693" s="54"/>
      <c r="N693" s="54"/>
      <c r="O693" s="54"/>
      <c r="P693" s="54"/>
      <c r="Q693" s="54"/>
      <c r="R693" s="54"/>
      <c r="S693" s="54"/>
      <c r="T693" s="54"/>
      <c r="U693" s="54"/>
      <c r="V693" s="54"/>
      <c r="W693" s="54"/>
      <c r="X693" s="54"/>
      <c r="Y693" s="350"/>
      <c r="Z693" s="54"/>
      <c r="AA693" s="54"/>
      <c r="AB693" s="54"/>
      <c r="AC693" s="54"/>
      <c r="AD693" s="54"/>
      <c r="AE693" s="54"/>
      <c r="AF693" s="54"/>
      <c r="AG693" s="54"/>
      <c r="AH693" s="54"/>
      <c r="AI693" s="54"/>
      <c r="AJ693" s="54"/>
      <c r="AK693" s="54"/>
      <c r="AL693" s="54"/>
      <c r="AM693" s="54"/>
      <c r="AN693" s="54"/>
      <c r="AO693" s="54"/>
      <c r="AP693" s="54"/>
      <c r="AQ693" s="54"/>
      <c r="AR693" s="54"/>
      <c r="AS693" s="54"/>
      <c r="AT693" s="54"/>
    </row>
    <row r="694">
      <c r="A694" s="54"/>
      <c r="B694" s="54"/>
      <c r="C694" s="54"/>
      <c r="D694" s="54"/>
      <c r="E694" s="54"/>
      <c r="F694" s="54"/>
      <c r="G694" s="54"/>
      <c r="H694" s="54"/>
      <c r="I694" s="54"/>
      <c r="J694" s="54"/>
      <c r="K694" s="54"/>
      <c r="L694" s="54"/>
      <c r="M694" s="54"/>
      <c r="N694" s="54"/>
      <c r="O694" s="54"/>
      <c r="P694" s="54"/>
      <c r="Q694" s="54"/>
      <c r="R694" s="54"/>
      <c r="S694" s="54"/>
      <c r="T694" s="54"/>
      <c r="U694" s="54"/>
      <c r="V694" s="54"/>
      <c r="W694" s="54"/>
      <c r="X694" s="54"/>
      <c r="Y694" s="350"/>
      <c r="Z694" s="54"/>
      <c r="AA694" s="54"/>
      <c r="AB694" s="54"/>
      <c r="AC694" s="54"/>
      <c r="AD694" s="54"/>
      <c r="AE694" s="54"/>
      <c r="AF694" s="54"/>
      <c r="AG694" s="54"/>
      <c r="AH694" s="54"/>
      <c r="AI694" s="54"/>
      <c r="AJ694" s="54"/>
      <c r="AK694" s="54"/>
      <c r="AL694" s="54"/>
      <c r="AM694" s="54"/>
      <c r="AN694" s="54"/>
      <c r="AO694" s="54"/>
      <c r="AP694" s="54"/>
      <c r="AQ694" s="54"/>
      <c r="AR694" s="54"/>
      <c r="AS694" s="54"/>
      <c r="AT694" s="54"/>
    </row>
    <row r="695">
      <c r="A695" s="54"/>
      <c r="B695" s="54"/>
      <c r="C695" s="54"/>
      <c r="D695" s="54"/>
      <c r="E695" s="54"/>
      <c r="F695" s="54"/>
      <c r="G695" s="54"/>
      <c r="H695" s="54"/>
      <c r="I695" s="54"/>
      <c r="J695" s="54"/>
      <c r="K695" s="54"/>
      <c r="L695" s="54"/>
      <c r="M695" s="54"/>
      <c r="N695" s="54"/>
      <c r="O695" s="54"/>
      <c r="P695" s="54"/>
      <c r="Q695" s="54"/>
      <c r="R695" s="54"/>
      <c r="S695" s="54"/>
      <c r="T695" s="54"/>
      <c r="U695" s="54"/>
      <c r="V695" s="54"/>
      <c r="W695" s="54"/>
      <c r="X695" s="54"/>
      <c r="Y695" s="350"/>
      <c r="Z695" s="54"/>
      <c r="AA695" s="54"/>
      <c r="AB695" s="54"/>
      <c r="AC695" s="54"/>
      <c r="AD695" s="54"/>
      <c r="AE695" s="54"/>
      <c r="AF695" s="54"/>
      <c r="AG695" s="54"/>
      <c r="AH695" s="54"/>
      <c r="AI695" s="54"/>
      <c r="AJ695" s="54"/>
      <c r="AK695" s="54"/>
      <c r="AL695" s="54"/>
      <c r="AM695" s="54"/>
      <c r="AN695" s="54"/>
      <c r="AO695" s="54"/>
      <c r="AP695" s="54"/>
      <c r="AQ695" s="54"/>
      <c r="AR695" s="54"/>
      <c r="AS695" s="54"/>
      <c r="AT695" s="54"/>
    </row>
    <row r="696">
      <c r="A696" s="54"/>
      <c r="B696" s="54"/>
      <c r="C696" s="54"/>
      <c r="D696" s="54"/>
      <c r="E696" s="54"/>
      <c r="F696" s="54"/>
      <c r="G696" s="54"/>
      <c r="H696" s="54"/>
      <c r="I696" s="54"/>
      <c r="J696" s="54"/>
      <c r="K696" s="54"/>
      <c r="L696" s="54"/>
      <c r="M696" s="54"/>
      <c r="N696" s="54"/>
      <c r="O696" s="54"/>
      <c r="P696" s="54"/>
      <c r="Q696" s="54"/>
      <c r="R696" s="54"/>
      <c r="S696" s="54"/>
      <c r="T696" s="54"/>
      <c r="U696" s="54"/>
      <c r="V696" s="54"/>
      <c r="W696" s="54"/>
      <c r="X696" s="54"/>
      <c r="Y696" s="350"/>
      <c r="Z696" s="54"/>
      <c r="AA696" s="54"/>
      <c r="AB696" s="54"/>
      <c r="AC696" s="54"/>
      <c r="AD696" s="54"/>
      <c r="AE696" s="54"/>
      <c r="AF696" s="54"/>
      <c r="AG696" s="54"/>
      <c r="AH696" s="54"/>
      <c r="AI696" s="54"/>
      <c r="AJ696" s="54"/>
      <c r="AK696" s="54"/>
      <c r="AL696" s="54"/>
      <c r="AM696" s="54"/>
      <c r="AN696" s="54"/>
      <c r="AO696" s="54"/>
      <c r="AP696" s="54"/>
      <c r="AQ696" s="54"/>
      <c r="AR696" s="54"/>
      <c r="AS696" s="54"/>
      <c r="AT696" s="54"/>
    </row>
    <row r="697">
      <c r="A697" s="54"/>
      <c r="B697" s="54"/>
      <c r="C697" s="54"/>
      <c r="D697" s="54"/>
      <c r="E697" s="54"/>
      <c r="F697" s="54"/>
      <c r="G697" s="54"/>
      <c r="H697" s="54"/>
      <c r="I697" s="54"/>
      <c r="J697" s="54"/>
      <c r="K697" s="54"/>
      <c r="L697" s="54"/>
      <c r="M697" s="54"/>
      <c r="N697" s="54"/>
      <c r="O697" s="54"/>
      <c r="P697" s="54"/>
      <c r="Q697" s="54"/>
      <c r="R697" s="54"/>
      <c r="S697" s="54"/>
      <c r="T697" s="54"/>
      <c r="U697" s="54"/>
      <c r="V697" s="54"/>
      <c r="W697" s="54"/>
      <c r="X697" s="54"/>
      <c r="Y697" s="350"/>
      <c r="Z697" s="54"/>
      <c r="AA697" s="54"/>
      <c r="AB697" s="54"/>
      <c r="AC697" s="54"/>
      <c r="AD697" s="54"/>
      <c r="AE697" s="54"/>
      <c r="AF697" s="54"/>
      <c r="AG697" s="54"/>
      <c r="AH697" s="54"/>
      <c r="AI697" s="54"/>
      <c r="AJ697" s="54"/>
      <c r="AK697" s="54"/>
      <c r="AL697" s="54"/>
      <c r="AM697" s="54"/>
      <c r="AN697" s="54"/>
      <c r="AO697" s="54"/>
      <c r="AP697" s="54"/>
      <c r="AQ697" s="54"/>
      <c r="AR697" s="54"/>
      <c r="AS697" s="54"/>
      <c r="AT697" s="54"/>
    </row>
    <row r="698">
      <c r="A698" s="54"/>
      <c r="B698" s="54"/>
      <c r="C698" s="54"/>
      <c r="D698" s="54"/>
      <c r="E698" s="54"/>
      <c r="F698" s="54"/>
      <c r="G698" s="54"/>
      <c r="H698" s="54"/>
      <c r="I698" s="54"/>
      <c r="J698" s="54"/>
      <c r="K698" s="54"/>
      <c r="L698" s="54"/>
      <c r="M698" s="54"/>
      <c r="N698" s="54"/>
      <c r="O698" s="54"/>
      <c r="P698" s="54"/>
      <c r="Q698" s="54"/>
      <c r="R698" s="54"/>
      <c r="S698" s="54"/>
      <c r="T698" s="54"/>
      <c r="U698" s="54"/>
      <c r="V698" s="54"/>
      <c r="W698" s="54"/>
      <c r="X698" s="54"/>
      <c r="Y698" s="350"/>
      <c r="Z698" s="54"/>
      <c r="AA698" s="54"/>
      <c r="AB698" s="54"/>
      <c r="AC698" s="54"/>
      <c r="AD698" s="54"/>
      <c r="AE698" s="54"/>
      <c r="AF698" s="54"/>
      <c r="AG698" s="54"/>
      <c r="AH698" s="54"/>
      <c r="AI698" s="54"/>
      <c r="AJ698" s="54"/>
      <c r="AK698" s="54"/>
      <c r="AL698" s="54"/>
      <c r="AM698" s="54"/>
      <c r="AN698" s="54"/>
      <c r="AO698" s="54"/>
      <c r="AP698" s="54"/>
      <c r="AQ698" s="54"/>
      <c r="AR698" s="54"/>
      <c r="AS698" s="54"/>
      <c r="AT698" s="54"/>
    </row>
    <row r="699">
      <c r="A699" s="54"/>
      <c r="B699" s="54"/>
      <c r="C699" s="54"/>
      <c r="D699" s="54"/>
      <c r="E699" s="54"/>
      <c r="F699" s="54"/>
      <c r="G699" s="54"/>
      <c r="H699" s="54"/>
      <c r="I699" s="54"/>
      <c r="J699" s="54"/>
      <c r="K699" s="54"/>
      <c r="L699" s="54"/>
      <c r="M699" s="54"/>
      <c r="N699" s="54"/>
      <c r="O699" s="54"/>
      <c r="P699" s="54"/>
      <c r="Q699" s="54"/>
      <c r="R699" s="54"/>
      <c r="S699" s="54"/>
      <c r="T699" s="54"/>
      <c r="U699" s="54"/>
      <c r="V699" s="54"/>
      <c r="W699" s="54"/>
      <c r="X699" s="54"/>
      <c r="Y699" s="350"/>
      <c r="Z699" s="54"/>
      <c r="AA699" s="54"/>
      <c r="AB699" s="54"/>
      <c r="AC699" s="54"/>
      <c r="AD699" s="54"/>
      <c r="AE699" s="54"/>
      <c r="AF699" s="54"/>
      <c r="AG699" s="54"/>
      <c r="AH699" s="54"/>
      <c r="AI699" s="54"/>
      <c r="AJ699" s="54"/>
      <c r="AK699" s="54"/>
      <c r="AL699" s="54"/>
      <c r="AM699" s="54"/>
      <c r="AN699" s="54"/>
      <c r="AO699" s="54"/>
      <c r="AP699" s="54"/>
      <c r="AQ699" s="54"/>
      <c r="AR699" s="54"/>
      <c r="AS699" s="54"/>
      <c r="AT699" s="54"/>
    </row>
    <row r="700">
      <c r="A700" s="54"/>
      <c r="B700" s="54"/>
      <c r="C700" s="54"/>
      <c r="D700" s="54"/>
      <c r="E700" s="54"/>
      <c r="F700" s="54"/>
      <c r="G700" s="54"/>
      <c r="H700" s="54"/>
      <c r="I700" s="54"/>
      <c r="J700" s="54"/>
      <c r="K700" s="54"/>
      <c r="L700" s="54"/>
      <c r="M700" s="54"/>
      <c r="N700" s="54"/>
      <c r="O700" s="54"/>
      <c r="P700" s="54"/>
      <c r="Q700" s="54"/>
      <c r="R700" s="54"/>
      <c r="S700" s="54"/>
      <c r="T700" s="54"/>
      <c r="U700" s="54"/>
      <c r="V700" s="54"/>
      <c r="W700" s="54"/>
      <c r="X700" s="54"/>
      <c r="Y700" s="350"/>
      <c r="Z700" s="54"/>
      <c r="AA700" s="54"/>
      <c r="AB700" s="54"/>
      <c r="AC700" s="54"/>
      <c r="AD700" s="54"/>
      <c r="AE700" s="54"/>
      <c r="AF700" s="54"/>
      <c r="AG700" s="54"/>
      <c r="AH700" s="54"/>
      <c r="AI700" s="54"/>
      <c r="AJ700" s="54"/>
      <c r="AK700" s="54"/>
      <c r="AL700" s="54"/>
      <c r="AM700" s="54"/>
      <c r="AN700" s="54"/>
      <c r="AO700" s="54"/>
      <c r="AP700" s="54"/>
      <c r="AQ700" s="54"/>
      <c r="AR700" s="54"/>
      <c r="AS700" s="54"/>
      <c r="AT700" s="54"/>
    </row>
    <row r="701">
      <c r="A701" s="54"/>
      <c r="B701" s="54"/>
      <c r="C701" s="54"/>
      <c r="D701" s="54"/>
      <c r="E701" s="54"/>
      <c r="F701" s="54"/>
      <c r="G701" s="54"/>
      <c r="H701" s="54"/>
      <c r="I701" s="54"/>
      <c r="J701" s="54"/>
      <c r="K701" s="54"/>
      <c r="L701" s="54"/>
      <c r="M701" s="54"/>
      <c r="N701" s="54"/>
      <c r="O701" s="54"/>
      <c r="P701" s="54"/>
      <c r="Q701" s="54"/>
      <c r="R701" s="54"/>
      <c r="S701" s="54"/>
      <c r="T701" s="54"/>
      <c r="U701" s="54"/>
      <c r="V701" s="54"/>
      <c r="W701" s="54"/>
      <c r="X701" s="54"/>
      <c r="Y701" s="350"/>
      <c r="Z701" s="54"/>
      <c r="AA701" s="54"/>
      <c r="AB701" s="54"/>
      <c r="AC701" s="54"/>
      <c r="AD701" s="54"/>
      <c r="AE701" s="54"/>
      <c r="AF701" s="54"/>
      <c r="AG701" s="54"/>
      <c r="AH701" s="54"/>
      <c r="AI701" s="54"/>
      <c r="AJ701" s="54"/>
      <c r="AK701" s="54"/>
      <c r="AL701" s="54"/>
      <c r="AM701" s="54"/>
      <c r="AN701" s="54"/>
      <c r="AO701" s="54"/>
      <c r="AP701" s="54"/>
      <c r="AQ701" s="54"/>
      <c r="AR701" s="54"/>
      <c r="AS701" s="54"/>
      <c r="AT701" s="54"/>
    </row>
    <row r="702">
      <c r="A702" s="54"/>
      <c r="B702" s="54"/>
      <c r="C702" s="54"/>
      <c r="D702" s="54"/>
      <c r="E702" s="54"/>
      <c r="F702" s="54"/>
      <c r="G702" s="54"/>
      <c r="H702" s="54"/>
      <c r="I702" s="54"/>
      <c r="J702" s="54"/>
      <c r="K702" s="54"/>
      <c r="L702" s="54"/>
      <c r="M702" s="54"/>
      <c r="N702" s="54"/>
      <c r="O702" s="54"/>
      <c r="P702" s="54"/>
      <c r="Q702" s="54"/>
      <c r="R702" s="54"/>
      <c r="S702" s="54"/>
      <c r="T702" s="54"/>
      <c r="U702" s="54"/>
      <c r="V702" s="54"/>
      <c r="W702" s="54"/>
      <c r="X702" s="54"/>
      <c r="Y702" s="350"/>
      <c r="Z702" s="54"/>
      <c r="AA702" s="54"/>
      <c r="AB702" s="54"/>
      <c r="AC702" s="54"/>
      <c r="AD702" s="54"/>
      <c r="AE702" s="54"/>
      <c r="AF702" s="54"/>
      <c r="AG702" s="54"/>
      <c r="AH702" s="54"/>
      <c r="AI702" s="54"/>
      <c r="AJ702" s="54"/>
      <c r="AK702" s="54"/>
      <c r="AL702" s="54"/>
      <c r="AM702" s="54"/>
      <c r="AN702" s="54"/>
      <c r="AO702" s="54"/>
      <c r="AP702" s="54"/>
      <c r="AQ702" s="54"/>
      <c r="AR702" s="54"/>
      <c r="AS702" s="54"/>
      <c r="AT702" s="54"/>
    </row>
    <row r="703">
      <c r="A703" s="54"/>
      <c r="B703" s="54"/>
      <c r="C703" s="54"/>
      <c r="D703" s="54"/>
      <c r="E703" s="54"/>
      <c r="F703" s="54"/>
      <c r="G703" s="54"/>
      <c r="H703" s="54"/>
      <c r="I703" s="54"/>
      <c r="J703" s="54"/>
      <c r="K703" s="54"/>
      <c r="L703" s="54"/>
      <c r="M703" s="54"/>
      <c r="N703" s="54"/>
      <c r="O703" s="54"/>
      <c r="P703" s="54"/>
      <c r="Q703" s="54"/>
      <c r="R703" s="54"/>
      <c r="S703" s="54"/>
      <c r="T703" s="54"/>
      <c r="U703" s="54"/>
      <c r="V703" s="54"/>
      <c r="W703" s="54"/>
      <c r="X703" s="54"/>
      <c r="Y703" s="350"/>
      <c r="Z703" s="54"/>
      <c r="AA703" s="54"/>
      <c r="AB703" s="54"/>
      <c r="AC703" s="54"/>
      <c r="AD703" s="54"/>
      <c r="AE703" s="54"/>
      <c r="AF703" s="54"/>
      <c r="AG703" s="54"/>
      <c r="AH703" s="54"/>
      <c r="AI703" s="54"/>
      <c r="AJ703" s="54"/>
      <c r="AK703" s="54"/>
      <c r="AL703" s="54"/>
      <c r="AM703" s="54"/>
      <c r="AN703" s="54"/>
      <c r="AO703" s="54"/>
      <c r="AP703" s="54"/>
      <c r="AQ703" s="54"/>
      <c r="AR703" s="54"/>
      <c r="AS703" s="54"/>
      <c r="AT703" s="54"/>
    </row>
    <row r="704">
      <c r="A704" s="54"/>
      <c r="B704" s="54"/>
      <c r="C704" s="54"/>
      <c r="D704" s="54"/>
      <c r="E704" s="54"/>
      <c r="F704" s="54"/>
      <c r="G704" s="54"/>
      <c r="H704" s="54"/>
      <c r="I704" s="54"/>
      <c r="J704" s="54"/>
      <c r="K704" s="54"/>
      <c r="L704" s="54"/>
      <c r="M704" s="54"/>
      <c r="N704" s="54"/>
      <c r="O704" s="54"/>
      <c r="P704" s="54"/>
      <c r="Q704" s="54"/>
      <c r="R704" s="54"/>
      <c r="S704" s="54"/>
      <c r="T704" s="54"/>
      <c r="U704" s="54"/>
      <c r="V704" s="54"/>
      <c r="W704" s="54"/>
      <c r="X704" s="54"/>
      <c r="Y704" s="350"/>
      <c r="Z704" s="54"/>
      <c r="AA704" s="54"/>
      <c r="AB704" s="54"/>
      <c r="AC704" s="54"/>
      <c r="AD704" s="54"/>
      <c r="AE704" s="54"/>
      <c r="AF704" s="54"/>
      <c r="AG704" s="54"/>
      <c r="AH704" s="54"/>
      <c r="AI704" s="54"/>
      <c r="AJ704" s="54"/>
      <c r="AK704" s="54"/>
      <c r="AL704" s="54"/>
      <c r="AM704" s="54"/>
      <c r="AN704" s="54"/>
      <c r="AO704" s="54"/>
      <c r="AP704" s="54"/>
      <c r="AQ704" s="54"/>
      <c r="AR704" s="54"/>
      <c r="AS704" s="54"/>
      <c r="AT704" s="54"/>
    </row>
    <row r="705">
      <c r="A705" s="54"/>
      <c r="B705" s="54"/>
      <c r="C705" s="54"/>
      <c r="D705" s="54"/>
      <c r="E705" s="54"/>
      <c r="F705" s="54"/>
      <c r="G705" s="54"/>
      <c r="H705" s="54"/>
      <c r="I705" s="54"/>
      <c r="J705" s="54"/>
      <c r="K705" s="54"/>
      <c r="L705" s="54"/>
      <c r="M705" s="54"/>
      <c r="N705" s="54"/>
      <c r="O705" s="54"/>
      <c r="P705" s="54"/>
      <c r="Q705" s="54"/>
      <c r="R705" s="54"/>
      <c r="S705" s="54"/>
      <c r="T705" s="54"/>
      <c r="U705" s="54"/>
      <c r="V705" s="54"/>
      <c r="W705" s="54"/>
      <c r="X705" s="54"/>
      <c r="Y705" s="350"/>
      <c r="Z705" s="54"/>
      <c r="AA705" s="54"/>
      <c r="AB705" s="54"/>
      <c r="AC705" s="54"/>
      <c r="AD705" s="54"/>
      <c r="AE705" s="54"/>
      <c r="AF705" s="54"/>
      <c r="AG705" s="54"/>
      <c r="AH705" s="54"/>
      <c r="AI705" s="54"/>
      <c r="AJ705" s="54"/>
      <c r="AK705" s="54"/>
      <c r="AL705" s="54"/>
      <c r="AM705" s="54"/>
      <c r="AN705" s="54"/>
      <c r="AO705" s="54"/>
      <c r="AP705" s="54"/>
      <c r="AQ705" s="54"/>
      <c r="AR705" s="54"/>
      <c r="AS705" s="54"/>
      <c r="AT705" s="54"/>
    </row>
    <row r="706">
      <c r="A706" s="54"/>
      <c r="B706" s="54"/>
      <c r="C706" s="54"/>
      <c r="D706" s="54"/>
      <c r="E706" s="54"/>
      <c r="F706" s="54"/>
      <c r="G706" s="54"/>
      <c r="H706" s="54"/>
      <c r="I706" s="54"/>
      <c r="J706" s="54"/>
      <c r="K706" s="54"/>
      <c r="L706" s="54"/>
      <c r="M706" s="54"/>
      <c r="N706" s="54"/>
      <c r="O706" s="54"/>
      <c r="P706" s="54"/>
      <c r="Q706" s="54"/>
      <c r="R706" s="54"/>
      <c r="S706" s="54"/>
      <c r="T706" s="54"/>
      <c r="U706" s="54"/>
      <c r="V706" s="54"/>
      <c r="W706" s="54"/>
      <c r="X706" s="54"/>
      <c r="Y706" s="350"/>
      <c r="Z706" s="54"/>
      <c r="AA706" s="54"/>
      <c r="AB706" s="54"/>
      <c r="AC706" s="54"/>
      <c r="AD706" s="54"/>
      <c r="AE706" s="54"/>
      <c r="AF706" s="54"/>
      <c r="AG706" s="54"/>
      <c r="AH706" s="54"/>
      <c r="AI706" s="54"/>
      <c r="AJ706" s="54"/>
      <c r="AK706" s="54"/>
      <c r="AL706" s="54"/>
      <c r="AM706" s="54"/>
      <c r="AN706" s="54"/>
      <c r="AO706" s="54"/>
      <c r="AP706" s="54"/>
      <c r="AQ706" s="54"/>
      <c r="AR706" s="54"/>
      <c r="AS706" s="54"/>
      <c r="AT706" s="54"/>
    </row>
    <row r="707">
      <c r="A707" s="54"/>
      <c r="B707" s="54"/>
      <c r="C707" s="54"/>
      <c r="D707" s="54"/>
      <c r="E707" s="54"/>
      <c r="F707" s="54"/>
      <c r="G707" s="54"/>
      <c r="H707" s="54"/>
      <c r="I707" s="54"/>
      <c r="J707" s="54"/>
      <c r="K707" s="54"/>
      <c r="L707" s="54"/>
      <c r="M707" s="54"/>
      <c r="N707" s="54"/>
      <c r="O707" s="54"/>
      <c r="P707" s="54"/>
      <c r="Q707" s="54"/>
      <c r="R707" s="54"/>
      <c r="S707" s="54"/>
      <c r="T707" s="54"/>
      <c r="U707" s="54"/>
      <c r="V707" s="54"/>
      <c r="W707" s="54"/>
      <c r="X707" s="54"/>
      <c r="Y707" s="350"/>
      <c r="Z707" s="54"/>
      <c r="AA707" s="54"/>
      <c r="AB707" s="54"/>
      <c r="AC707" s="54"/>
      <c r="AD707" s="54"/>
      <c r="AE707" s="54"/>
      <c r="AF707" s="54"/>
      <c r="AG707" s="54"/>
      <c r="AH707" s="54"/>
      <c r="AI707" s="54"/>
      <c r="AJ707" s="54"/>
      <c r="AK707" s="54"/>
      <c r="AL707" s="54"/>
      <c r="AM707" s="54"/>
      <c r="AN707" s="54"/>
      <c r="AO707" s="54"/>
      <c r="AP707" s="54"/>
      <c r="AQ707" s="54"/>
      <c r="AR707" s="54"/>
      <c r="AS707" s="54"/>
      <c r="AT707" s="54"/>
    </row>
    <row r="708">
      <c r="A708" s="54"/>
      <c r="B708" s="54"/>
      <c r="C708" s="54"/>
      <c r="D708" s="54"/>
      <c r="E708" s="54"/>
      <c r="F708" s="54"/>
      <c r="G708" s="54"/>
      <c r="H708" s="54"/>
      <c r="I708" s="54"/>
      <c r="J708" s="54"/>
      <c r="K708" s="54"/>
      <c r="L708" s="54"/>
      <c r="M708" s="54"/>
      <c r="N708" s="54"/>
      <c r="O708" s="54"/>
      <c r="P708" s="54"/>
      <c r="Q708" s="54"/>
      <c r="R708" s="54"/>
      <c r="S708" s="54"/>
      <c r="T708" s="54"/>
      <c r="U708" s="54"/>
      <c r="V708" s="54"/>
      <c r="W708" s="54"/>
      <c r="X708" s="54"/>
      <c r="Y708" s="350"/>
      <c r="Z708" s="54"/>
      <c r="AA708" s="54"/>
      <c r="AB708" s="54"/>
      <c r="AC708" s="54"/>
      <c r="AD708" s="54"/>
      <c r="AE708" s="54"/>
      <c r="AF708" s="54"/>
      <c r="AG708" s="54"/>
      <c r="AH708" s="54"/>
      <c r="AI708" s="54"/>
      <c r="AJ708" s="54"/>
      <c r="AK708" s="54"/>
      <c r="AL708" s="54"/>
      <c r="AM708" s="54"/>
      <c r="AN708" s="54"/>
      <c r="AO708" s="54"/>
      <c r="AP708" s="54"/>
      <c r="AQ708" s="54"/>
      <c r="AR708" s="54"/>
      <c r="AS708" s="54"/>
      <c r="AT708" s="54"/>
    </row>
    <row r="709">
      <c r="A709" s="54"/>
      <c r="B709" s="54"/>
      <c r="C709" s="54"/>
      <c r="D709" s="54"/>
      <c r="E709" s="54"/>
      <c r="F709" s="54"/>
      <c r="G709" s="54"/>
      <c r="H709" s="54"/>
      <c r="I709" s="54"/>
      <c r="J709" s="54"/>
      <c r="K709" s="54"/>
      <c r="L709" s="54"/>
      <c r="M709" s="54"/>
      <c r="N709" s="54"/>
      <c r="O709" s="54"/>
      <c r="P709" s="54"/>
      <c r="Q709" s="54"/>
      <c r="R709" s="54"/>
      <c r="S709" s="54"/>
      <c r="T709" s="54"/>
      <c r="U709" s="54"/>
      <c r="V709" s="54"/>
      <c r="W709" s="54"/>
      <c r="X709" s="54"/>
      <c r="Y709" s="350"/>
      <c r="Z709" s="54"/>
      <c r="AA709" s="54"/>
      <c r="AB709" s="54"/>
      <c r="AC709" s="54"/>
      <c r="AD709" s="54"/>
      <c r="AE709" s="54"/>
      <c r="AF709" s="54"/>
      <c r="AG709" s="54"/>
      <c r="AH709" s="54"/>
      <c r="AI709" s="54"/>
      <c r="AJ709" s="54"/>
      <c r="AK709" s="54"/>
      <c r="AL709" s="54"/>
      <c r="AM709" s="54"/>
      <c r="AN709" s="54"/>
      <c r="AO709" s="54"/>
      <c r="AP709" s="54"/>
      <c r="AQ709" s="54"/>
      <c r="AR709" s="54"/>
      <c r="AS709" s="54"/>
      <c r="AT709" s="54"/>
    </row>
    <row r="710">
      <c r="A710" s="54"/>
      <c r="B710" s="54"/>
      <c r="C710" s="54"/>
      <c r="D710" s="54"/>
      <c r="E710" s="54"/>
      <c r="F710" s="54"/>
      <c r="G710" s="54"/>
      <c r="H710" s="54"/>
      <c r="I710" s="54"/>
      <c r="J710" s="54"/>
      <c r="K710" s="54"/>
      <c r="L710" s="54"/>
      <c r="M710" s="54"/>
      <c r="N710" s="54"/>
      <c r="O710" s="54"/>
      <c r="P710" s="54"/>
      <c r="Q710" s="54"/>
      <c r="R710" s="54"/>
      <c r="S710" s="54"/>
      <c r="T710" s="54"/>
      <c r="U710" s="54"/>
      <c r="V710" s="54"/>
      <c r="W710" s="54"/>
      <c r="X710" s="54"/>
      <c r="Y710" s="350"/>
      <c r="Z710" s="54"/>
      <c r="AA710" s="54"/>
      <c r="AB710" s="54"/>
      <c r="AC710" s="54"/>
      <c r="AD710" s="54"/>
      <c r="AE710" s="54"/>
      <c r="AF710" s="54"/>
      <c r="AG710" s="54"/>
      <c r="AH710" s="54"/>
      <c r="AI710" s="54"/>
      <c r="AJ710" s="54"/>
      <c r="AK710" s="54"/>
      <c r="AL710" s="54"/>
      <c r="AM710" s="54"/>
      <c r="AN710" s="54"/>
      <c r="AO710" s="54"/>
      <c r="AP710" s="54"/>
      <c r="AQ710" s="54"/>
      <c r="AR710" s="54"/>
      <c r="AS710" s="54"/>
      <c r="AT710" s="54"/>
    </row>
    <row r="711">
      <c r="A711" s="54"/>
      <c r="B711" s="54"/>
      <c r="C711" s="54"/>
      <c r="D711" s="54"/>
      <c r="E711" s="54"/>
      <c r="F711" s="54"/>
      <c r="G711" s="54"/>
      <c r="H711" s="54"/>
      <c r="I711" s="54"/>
      <c r="J711" s="54"/>
      <c r="K711" s="54"/>
      <c r="L711" s="54"/>
      <c r="M711" s="54"/>
      <c r="N711" s="54"/>
      <c r="O711" s="54"/>
      <c r="P711" s="54"/>
      <c r="Q711" s="54"/>
      <c r="R711" s="54"/>
      <c r="S711" s="54"/>
      <c r="T711" s="54"/>
      <c r="U711" s="54"/>
      <c r="V711" s="54"/>
      <c r="W711" s="54"/>
      <c r="X711" s="54"/>
      <c r="Y711" s="350"/>
      <c r="Z711" s="54"/>
      <c r="AA711" s="54"/>
      <c r="AB711" s="54"/>
      <c r="AC711" s="54"/>
      <c r="AD711" s="54"/>
      <c r="AE711" s="54"/>
      <c r="AF711" s="54"/>
      <c r="AG711" s="54"/>
      <c r="AH711" s="54"/>
      <c r="AI711" s="54"/>
      <c r="AJ711" s="54"/>
      <c r="AK711" s="54"/>
      <c r="AL711" s="54"/>
      <c r="AM711" s="54"/>
      <c r="AN711" s="54"/>
      <c r="AO711" s="54"/>
      <c r="AP711" s="54"/>
      <c r="AQ711" s="54"/>
      <c r="AR711" s="54"/>
      <c r="AS711" s="54"/>
      <c r="AT711" s="54"/>
    </row>
    <row r="712">
      <c r="A712" s="54"/>
      <c r="B712" s="54"/>
      <c r="C712" s="54"/>
      <c r="D712" s="54"/>
      <c r="E712" s="54"/>
      <c r="F712" s="54"/>
      <c r="G712" s="54"/>
      <c r="H712" s="54"/>
      <c r="I712" s="54"/>
      <c r="J712" s="54"/>
      <c r="K712" s="54"/>
      <c r="L712" s="54"/>
      <c r="M712" s="54"/>
      <c r="N712" s="54"/>
      <c r="O712" s="54"/>
      <c r="P712" s="54"/>
      <c r="Q712" s="54"/>
      <c r="R712" s="54"/>
      <c r="S712" s="54"/>
      <c r="T712" s="54"/>
      <c r="U712" s="54"/>
      <c r="V712" s="54"/>
      <c r="W712" s="54"/>
      <c r="X712" s="54"/>
      <c r="Y712" s="350"/>
      <c r="Z712" s="54"/>
      <c r="AA712" s="54"/>
      <c r="AB712" s="54"/>
      <c r="AC712" s="54"/>
      <c r="AD712" s="54"/>
      <c r="AE712" s="54"/>
      <c r="AF712" s="54"/>
      <c r="AG712" s="54"/>
      <c r="AH712" s="54"/>
      <c r="AI712" s="54"/>
      <c r="AJ712" s="54"/>
      <c r="AK712" s="54"/>
      <c r="AL712" s="54"/>
      <c r="AM712" s="54"/>
      <c r="AN712" s="54"/>
      <c r="AO712" s="54"/>
      <c r="AP712" s="54"/>
      <c r="AQ712" s="54"/>
      <c r="AR712" s="54"/>
      <c r="AS712" s="54"/>
      <c r="AT712" s="54"/>
    </row>
    <row r="713">
      <c r="A713" s="54"/>
      <c r="B713" s="54"/>
      <c r="C713" s="54"/>
      <c r="D713" s="54"/>
      <c r="E713" s="54"/>
      <c r="F713" s="54"/>
      <c r="G713" s="54"/>
      <c r="H713" s="54"/>
      <c r="I713" s="54"/>
      <c r="J713" s="54"/>
      <c r="K713" s="54"/>
      <c r="L713" s="54"/>
      <c r="M713" s="54"/>
      <c r="N713" s="54"/>
      <c r="O713" s="54"/>
      <c r="P713" s="54"/>
      <c r="Q713" s="54"/>
      <c r="R713" s="54"/>
      <c r="S713" s="54"/>
      <c r="T713" s="54"/>
      <c r="U713" s="54"/>
      <c r="V713" s="54"/>
      <c r="W713" s="54"/>
      <c r="X713" s="54"/>
      <c r="Y713" s="350"/>
      <c r="Z713" s="54"/>
      <c r="AA713" s="54"/>
      <c r="AB713" s="54"/>
      <c r="AC713" s="54"/>
      <c r="AD713" s="54"/>
      <c r="AE713" s="54"/>
      <c r="AF713" s="54"/>
      <c r="AG713" s="54"/>
      <c r="AH713" s="54"/>
      <c r="AI713" s="54"/>
      <c r="AJ713" s="54"/>
      <c r="AK713" s="54"/>
      <c r="AL713" s="54"/>
      <c r="AM713" s="54"/>
      <c r="AN713" s="54"/>
      <c r="AO713" s="54"/>
      <c r="AP713" s="54"/>
      <c r="AQ713" s="54"/>
      <c r="AR713" s="54"/>
      <c r="AS713" s="54"/>
      <c r="AT713" s="54"/>
    </row>
    <row r="714">
      <c r="A714" s="54"/>
      <c r="B714" s="54"/>
      <c r="C714" s="54"/>
      <c r="D714" s="54"/>
      <c r="E714" s="54"/>
      <c r="F714" s="54"/>
      <c r="G714" s="54"/>
      <c r="H714" s="54"/>
      <c r="I714" s="54"/>
      <c r="J714" s="54"/>
      <c r="K714" s="54"/>
      <c r="L714" s="54"/>
      <c r="M714" s="54"/>
      <c r="N714" s="54"/>
      <c r="O714" s="54"/>
      <c r="P714" s="54"/>
      <c r="Q714" s="54"/>
      <c r="R714" s="54"/>
      <c r="S714" s="54"/>
      <c r="T714" s="54"/>
      <c r="U714" s="54"/>
      <c r="V714" s="54"/>
      <c r="W714" s="54"/>
      <c r="X714" s="54"/>
      <c r="Y714" s="350"/>
      <c r="Z714" s="54"/>
      <c r="AA714" s="54"/>
      <c r="AB714" s="54"/>
      <c r="AC714" s="54"/>
      <c r="AD714" s="54"/>
      <c r="AE714" s="54"/>
      <c r="AF714" s="54"/>
      <c r="AG714" s="54"/>
      <c r="AH714" s="54"/>
      <c r="AI714" s="54"/>
      <c r="AJ714" s="54"/>
      <c r="AK714" s="54"/>
      <c r="AL714" s="54"/>
      <c r="AM714" s="54"/>
      <c r="AN714" s="54"/>
      <c r="AO714" s="54"/>
      <c r="AP714" s="54"/>
      <c r="AQ714" s="54"/>
      <c r="AR714" s="54"/>
      <c r="AS714" s="54"/>
      <c r="AT714" s="54"/>
    </row>
    <row r="715">
      <c r="A715" s="54"/>
      <c r="B715" s="54"/>
      <c r="C715" s="54"/>
      <c r="D715" s="54"/>
      <c r="E715" s="54"/>
      <c r="F715" s="54"/>
      <c r="G715" s="54"/>
      <c r="H715" s="54"/>
      <c r="I715" s="54"/>
      <c r="J715" s="54"/>
      <c r="K715" s="54"/>
      <c r="L715" s="54"/>
      <c r="M715" s="54"/>
      <c r="N715" s="54"/>
      <c r="O715" s="54"/>
      <c r="P715" s="54"/>
      <c r="Q715" s="54"/>
      <c r="R715" s="54"/>
      <c r="S715" s="54"/>
      <c r="T715" s="54"/>
      <c r="U715" s="54"/>
      <c r="V715" s="54"/>
      <c r="W715" s="54"/>
      <c r="X715" s="54"/>
      <c r="Y715" s="350"/>
      <c r="Z715" s="54"/>
      <c r="AA715" s="54"/>
      <c r="AB715" s="54"/>
      <c r="AC715" s="54"/>
      <c r="AD715" s="54"/>
      <c r="AE715" s="54"/>
      <c r="AF715" s="54"/>
      <c r="AG715" s="54"/>
      <c r="AH715" s="54"/>
      <c r="AI715" s="54"/>
      <c r="AJ715" s="54"/>
      <c r="AK715" s="54"/>
      <c r="AL715" s="54"/>
      <c r="AM715" s="54"/>
      <c r="AN715" s="54"/>
      <c r="AO715" s="54"/>
      <c r="AP715" s="54"/>
      <c r="AQ715" s="54"/>
      <c r="AR715" s="54"/>
      <c r="AS715" s="54"/>
      <c r="AT715" s="54"/>
    </row>
    <row r="716">
      <c r="A716" s="54"/>
      <c r="B716" s="54"/>
      <c r="C716" s="54"/>
      <c r="D716" s="54"/>
      <c r="E716" s="54"/>
      <c r="F716" s="54"/>
      <c r="G716" s="54"/>
      <c r="H716" s="54"/>
      <c r="I716" s="54"/>
      <c r="J716" s="54"/>
      <c r="K716" s="54"/>
      <c r="L716" s="54"/>
      <c r="M716" s="54"/>
      <c r="N716" s="54"/>
      <c r="O716" s="54"/>
      <c r="P716" s="54"/>
      <c r="Q716" s="54"/>
      <c r="R716" s="54"/>
      <c r="S716" s="54"/>
      <c r="T716" s="54"/>
      <c r="U716" s="54"/>
      <c r="V716" s="54"/>
      <c r="W716" s="54"/>
      <c r="X716" s="54"/>
      <c r="Y716" s="350"/>
      <c r="Z716" s="54"/>
      <c r="AA716" s="54"/>
      <c r="AB716" s="54"/>
      <c r="AC716" s="54"/>
      <c r="AD716" s="54"/>
      <c r="AE716" s="54"/>
      <c r="AF716" s="54"/>
      <c r="AG716" s="54"/>
      <c r="AH716" s="54"/>
      <c r="AI716" s="54"/>
      <c r="AJ716" s="54"/>
      <c r="AK716" s="54"/>
      <c r="AL716" s="54"/>
      <c r="AM716" s="54"/>
      <c r="AN716" s="54"/>
      <c r="AO716" s="54"/>
      <c r="AP716" s="54"/>
      <c r="AQ716" s="54"/>
      <c r="AR716" s="54"/>
      <c r="AS716" s="54"/>
      <c r="AT716" s="54"/>
    </row>
    <row r="717">
      <c r="A717" s="54"/>
      <c r="B717" s="54"/>
      <c r="C717" s="54"/>
      <c r="D717" s="54"/>
      <c r="E717" s="54"/>
      <c r="F717" s="54"/>
      <c r="G717" s="54"/>
      <c r="H717" s="54"/>
      <c r="I717" s="54"/>
      <c r="J717" s="54"/>
      <c r="K717" s="54"/>
      <c r="L717" s="54"/>
      <c r="M717" s="54"/>
      <c r="N717" s="54"/>
      <c r="O717" s="54"/>
      <c r="P717" s="54"/>
      <c r="Q717" s="54"/>
      <c r="R717" s="54"/>
      <c r="S717" s="54"/>
      <c r="T717" s="54"/>
      <c r="U717" s="54"/>
      <c r="V717" s="54"/>
      <c r="W717" s="54"/>
      <c r="X717" s="54"/>
      <c r="Y717" s="350"/>
      <c r="Z717" s="54"/>
      <c r="AA717" s="54"/>
      <c r="AB717" s="54"/>
      <c r="AC717" s="54"/>
      <c r="AD717" s="54"/>
      <c r="AE717" s="54"/>
      <c r="AF717" s="54"/>
      <c r="AG717" s="54"/>
      <c r="AH717" s="54"/>
      <c r="AI717" s="54"/>
      <c r="AJ717" s="54"/>
      <c r="AK717" s="54"/>
      <c r="AL717" s="54"/>
      <c r="AM717" s="54"/>
      <c r="AN717" s="54"/>
      <c r="AO717" s="54"/>
      <c r="AP717" s="54"/>
      <c r="AQ717" s="54"/>
      <c r="AR717" s="54"/>
      <c r="AS717" s="54"/>
      <c r="AT717" s="54"/>
    </row>
    <row r="718">
      <c r="A718" s="54"/>
      <c r="B718" s="54"/>
      <c r="C718" s="54"/>
      <c r="D718" s="54"/>
      <c r="E718" s="54"/>
      <c r="F718" s="54"/>
      <c r="G718" s="54"/>
      <c r="H718" s="54"/>
      <c r="I718" s="54"/>
      <c r="J718" s="54"/>
      <c r="K718" s="54"/>
      <c r="L718" s="54"/>
      <c r="M718" s="54"/>
      <c r="N718" s="54"/>
      <c r="O718" s="54"/>
      <c r="P718" s="54"/>
      <c r="Q718" s="54"/>
      <c r="R718" s="54"/>
      <c r="S718" s="54"/>
      <c r="T718" s="54"/>
      <c r="U718" s="54"/>
      <c r="V718" s="54"/>
      <c r="W718" s="54"/>
      <c r="X718" s="54"/>
      <c r="Y718" s="350"/>
      <c r="Z718" s="54"/>
      <c r="AA718" s="54"/>
      <c r="AB718" s="54"/>
      <c r="AC718" s="54"/>
      <c r="AD718" s="54"/>
      <c r="AE718" s="54"/>
      <c r="AF718" s="54"/>
      <c r="AG718" s="54"/>
      <c r="AH718" s="54"/>
      <c r="AI718" s="54"/>
      <c r="AJ718" s="54"/>
      <c r="AK718" s="54"/>
      <c r="AL718" s="54"/>
      <c r="AM718" s="54"/>
      <c r="AN718" s="54"/>
      <c r="AO718" s="54"/>
      <c r="AP718" s="54"/>
      <c r="AQ718" s="54"/>
      <c r="AR718" s="54"/>
      <c r="AS718" s="54"/>
      <c r="AT718" s="54"/>
    </row>
    <row r="719">
      <c r="A719" s="54"/>
      <c r="B719" s="54"/>
      <c r="C719" s="54"/>
      <c r="D719" s="54"/>
      <c r="E719" s="54"/>
      <c r="F719" s="54"/>
      <c r="G719" s="54"/>
      <c r="H719" s="54"/>
      <c r="I719" s="54"/>
      <c r="J719" s="54"/>
      <c r="K719" s="54"/>
      <c r="L719" s="54"/>
      <c r="M719" s="54"/>
      <c r="N719" s="54"/>
      <c r="O719" s="54"/>
      <c r="P719" s="54"/>
      <c r="Q719" s="54"/>
      <c r="R719" s="54"/>
      <c r="S719" s="54"/>
      <c r="T719" s="54"/>
      <c r="U719" s="54"/>
      <c r="V719" s="54"/>
      <c r="W719" s="54"/>
      <c r="X719" s="54"/>
      <c r="Y719" s="350"/>
      <c r="Z719" s="54"/>
      <c r="AA719" s="54"/>
      <c r="AB719" s="54"/>
      <c r="AC719" s="54"/>
      <c r="AD719" s="54"/>
      <c r="AE719" s="54"/>
      <c r="AF719" s="54"/>
      <c r="AG719" s="54"/>
      <c r="AH719" s="54"/>
      <c r="AI719" s="54"/>
      <c r="AJ719" s="54"/>
      <c r="AK719" s="54"/>
      <c r="AL719" s="54"/>
      <c r="AM719" s="54"/>
      <c r="AN719" s="54"/>
      <c r="AO719" s="54"/>
      <c r="AP719" s="54"/>
      <c r="AQ719" s="54"/>
      <c r="AR719" s="54"/>
      <c r="AS719" s="54"/>
      <c r="AT719" s="54"/>
    </row>
    <row r="720">
      <c r="A720" s="54"/>
      <c r="B720" s="54"/>
      <c r="C720" s="54"/>
      <c r="D720" s="54"/>
      <c r="E720" s="54"/>
      <c r="F720" s="54"/>
      <c r="G720" s="54"/>
      <c r="H720" s="54"/>
      <c r="I720" s="54"/>
      <c r="J720" s="54"/>
      <c r="K720" s="54"/>
      <c r="L720" s="54"/>
      <c r="M720" s="54"/>
      <c r="N720" s="54"/>
      <c r="O720" s="54"/>
      <c r="P720" s="54"/>
      <c r="Q720" s="54"/>
      <c r="R720" s="54"/>
      <c r="S720" s="54"/>
      <c r="T720" s="54"/>
      <c r="U720" s="54"/>
      <c r="V720" s="54"/>
      <c r="W720" s="54"/>
      <c r="X720" s="54"/>
      <c r="Y720" s="350"/>
      <c r="Z720" s="54"/>
      <c r="AA720" s="54"/>
      <c r="AB720" s="54"/>
      <c r="AC720" s="54"/>
      <c r="AD720" s="54"/>
      <c r="AE720" s="54"/>
      <c r="AF720" s="54"/>
      <c r="AG720" s="54"/>
      <c r="AH720" s="54"/>
      <c r="AI720" s="54"/>
      <c r="AJ720" s="54"/>
      <c r="AK720" s="54"/>
      <c r="AL720" s="54"/>
      <c r="AM720" s="54"/>
      <c r="AN720" s="54"/>
      <c r="AO720" s="54"/>
      <c r="AP720" s="54"/>
      <c r="AQ720" s="54"/>
      <c r="AR720" s="54"/>
      <c r="AS720" s="54"/>
      <c r="AT720" s="54"/>
    </row>
    <row r="721">
      <c r="A721" s="54"/>
      <c r="B721" s="54"/>
      <c r="C721" s="54"/>
      <c r="D721" s="54"/>
      <c r="E721" s="54"/>
      <c r="F721" s="54"/>
      <c r="G721" s="54"/>
      <c r="H721" s="54"/>
      <c r="I721" s="54"/>
      <c r="J721" s="54"/>
      <c r="K721" s="54"/>
      <c r="L721" s="54"/>
      <c r="M721" s="54"/>
      <c r="N721" s="54"/>
      <c r="O721" s="54"/>
      <c r="P721" s="54"/>
      <c r="Q721" s="54"/>
      <c r="R721" s="54"/>
      <c r="S721" s="54"/>
      <c r="T721" s="54"/>
      <c r="U721" s="54"/>
      <c r="V721" s="54"/>
      <c r="W721" s="54"/>
      <c r="X721" s="54"/>
      <c r="Y721" s="350"/>
      <c r="Z721" s="54"/>
      <c r="AA721" s="54"/>
      <c r="AB721" s="54"/>
      <c r="AC721" s="54"/>
      <c r="AD721" s="54"/>
      <c r="AE721" s="54"/>
      <c r="AF721" s="54"/>
      <c r="AG721" s="54"/>
      <c r="AH721" s="54"/>
      <c r="AI721" s="54"/>
      <c r="AJ721" s="54"/>
      <c r="AK721" s="54"/>
      <c r="AL721" s="54"/>
      <c r="AM721" s="54"/>
      <c r="AN721" s="54"/>
      <c r="AO721" s="54"/>
      <c r="AP721" s="54"/>
      <c r="AQ721" s="54"/>
      <c r="AR721" s="54"/>
      <c r="AS721" s="54"/>
      <c r="AT721" s="54"/>
    </row>
    <row r="722">
      <c r="A722" s="54"/>
      <c r="B722" s="54"/>
      <c r="C722" s="54"/>
      <c r="D722" s="54"/>
      <c r="E722" s="54"/>
      <c r="F722" s="54"/>
      <c r="G722" s="54"/>
      <c r="H722" s="54"/>
      <c r="I722" s="54"/>
      <c r="J722" s="54"/>
      <c r="K722" s="54"/>
      <c r="L722" s="54"/>
      <c r="M722" s="54"/>
      <c r="N722" s="54"/>
      <c r="O722" s="54"/>
      <c r="P722" s="54"/>
      <c r="Q722" s="54"/>
      <c r="R722" s="54"/>
      <c r="S722" s="54"/>
      <c r="T722" s="54"/>
      <c r="U722" s="54"/>
      <c r="V722" s="54"/>
      <c r="W722" s="54"/>
      <c r="X722" s="54"/>
      <c r="Y722" s="350"/>
      <c r="Z722" s="54"/>
      <c r="AA722" s="54"/>
      <c r="AB722" s="54"/>
      <c r="AC722" s="54"/>
      <c r="AD722" s="54"/>
      <c r="AE722" s="54"/>
      <c r="AF722" s="54"/>
      <c r="AG722" s="54"/>
      <c r="AH722" s="54"/>
      <c r="AI722" s="54"/>
      <c r="AJ722" s="54"/>
      <c r="AK722" s="54"/>
      <c r="AL722" s="54"/>
      <c r="AM722" s="54"/>
      <c r="AN722" s="54"/>
      <c r="AO722" s="54"/>
      <c r="AP722" s="54"/>
      <c r="AQ722" s="54"/>
      <c r="AR722" s="54"/>
      <c r="AS722" s="54"/>
      <c r="AT722" s="54"/>
    </row>
    <row r="723">
      <c r="A723" s="54"/>
      <c r="B723" s="54"/>
      <c r="C723" s="54"/>
      <c r="D723" s="54"/>
      <c r="E723" s="54"/>
      <c r="F723" s="54"/>
      <c r="G723" s="54"/>
      <c r="H723" s="54"/>
      <c r="I723" s="54"/>
      <c r="J723" s="54"/>
      <c r="K723" s="54"/>
      <c r="L723" s="54"/>
      <c r="M723" s="54"/>
      <c r="N723" s="54"/>
      <c r="O723" s="54"/>
      <c r="P723" s="54"/>
      <c r="Q723" s="54"/>
      <c r="R723" s="54"/>
      <c r="S723" s="54"/>
      <c r="T723" s="54"/>
      <c r="U723" s="54"/>
      <c r="V723" s="54"/>
      <c r="W723" s="54"/>
      <c r="X723" s="54"/>
      <c r="Y723" s="350"/>
      <c r="Z723" s="54"/>
      <c r="AA723" s="54"/>
      <c r="AB723" s="54"/>
      <c r="AC723" s="54"/>
      <c r="AD723" s="54"/>
      <c r="AE723" s="54"/>
      <c r="AF723" s="54"/>
      <c r="AG723" s="54"/>
      <c r="AH723" s="54"/>
      <c r="AI723" s="54"/>
      <c r="AJ723" s="54"/>
      <c r="AK723" s="54"/>
      <c r="AL723" s="54"/>
      <c r="AM723" s="54"/>
      <c r="AN723" s="54"/>
      <c r="AO723" s="54"/>
      <c r="AP723" s="54"/>
      <c r="AQ723" s="54"/>
      <c r="AR723" s="54"/>
      <c r="AS723" s="54"/>
      <c r="AT723" s="54"/>
    </row>
    <row r="724">
      <c r="A724" s="54"/>
      <c r="B724" s="54"/>
      <c r="C724" s="54"/>
      <c r="D724" s="54"/>
      <c r="E724" s="54"/>
      <c r="F724" s="54"/>
      <c r="G724" s="54"/>
      <c r="H724" s="54"/>
      <c r="I724" s="54"/>
      <c r="J724" s="54"/>
      <c r="K724" s="54"/>
      <c r="L724" s="54"/>
      <c r="M724" s="54"/>
      <c r="N724" s="54"/>
      <c r="O724" s="54"/>
      <c r="P724" s="54"/>
      <c r="Q724" s="54"/>
      <c r="R724" s="54"/>
      <c r="S724" s="54"/>
      <c r="T724" s="54"/>
      <c r="U724" s="54"/>
      <c r="V724" s="54"/>
      <c r="W724" s="54"/>
      <c r="X724" s="54"/>
      <c r="Y724" s="350"/>
      <c r="Z724" s="54"/>
      <c r="AA724" s="54"/>
      <c r="AB724" s="54"/>
      <c r="AC724" s="54"/>
      <c r="AD724" s="54"/>
      <c r="AE724" s="54"/>
      <c r="AF724" s="54"/>
      <c r="AG724" s="54"/>
      <c r="AH724" s="54"/>
      <c r="AI724" s="54"/>
      <c r="AJ724" s="54"/>
      <c r="AK724" s="54"/>
      <c r="AL724" s="54"/>
      <c r="AM724" s="54"/>
      <c r="AN724" s="54"/>
      <c r="AO724" s="54"/>
      <c r="AP724" s="54"/>
      <c r="AQ724" s="54"/>
      <c r="AR724" s="54"/>
      <c r="AS724" s="54"/>
      <c r="AT724" s="54"/>
    </row>
    <row r="725">
      <c r="A725" s="54"/>
      <c r="B725" s="54"/>
      <c r="C725" s="54"/>
      <c r="D725" s="54"/>
      <c r="E725" s="54"/>
      <c r="F725" s="54"/>
      <c r="G725" s="54"/>
      <c r="H725" s="54"/>
      <c r="I725" s="54"/>
      <c r="J725" s="54"/>
      <c r="K725" s="54"/>
      <c r="L725" s="54"/>
      <c r="M725" s="54"/>
      <c r="N725" s="54"/>
      <c r="O725" s="54"/>
      <c r="P725" s="54"/>
      <c r="Q725" s="54"/>
      <c r="R725" s="54"/>
      <c r="S725" s="54"/>
      <c r="T725" s="54"/>
      <c r="U725" s="54"/>
      <c r="V725" s="54"/>
      <c r="W725" s="54"/>
      <c r="X725" s="54"/>
      <c r="Y725" s="350"/>
      <c r="Z725" s="54"/>
      <c r="AA725" s="54"/>
      <c r="AB725" s="54"/>
      <c r="AC725" s="54"/>
      <c r="AD725" s="54"/>
      <c r="AE725" s="54"/>
      <c r="AF725" s="54"/>
      <c r="AG725" s="54"/>
      <c r="AH725" s="54"/>
      <c r="AI725" s="54"/>
      <c r="AJ725" s="54"/>
      <c r="AK725" s="54"/>
      <c r="AL725" s="54"/>
      <c r="AM725" s="54"/>
      <c r="AN725" s="54"/>
      <c r="AO725" s="54"/>
      <c r="AP725" s="54"/>
      <c r="AQ725" s="54"/>
      <c r="AR725" s="54"/>
      <c r="AS725" s="54"/>
      <c r="AT725" s="54"/>
    </row>
    <row r="726">
      <c r="A726" s="54"/>
      <c r="B726" s="54"/>
      <c r="C726" s="54"/>
      <c r="D726" s="54"/>
      <c r="E726" s="54"/>
      <c r="F726" s="54"/>
      <c r="G726" s="54"/>
      <c r="H726" s="54"/>
      <c r="I726" s="54"/>
      <c r="J726" s="54"/>
      <c r="K726" s="54"/>
      <c r="L726" s="54"/>
      <c r="M726" s="54"/>
      <c r="N726" s="54"/>
      <c r="O726" s="54"/>
      <c r="P726" s="54"/>
      <c r="Q726" s="54"/>
      <c r="R726" s="54"/>
      <c r="S726" s="54"/>
      <c r="T726" s="54"/>
      <c r="U726" s="54"/>
      <c r="V726" s="54"/>
      <c r="W726" s="54"/>
      <c r="X726" s="54"/>
      <c r="Y726" s="350"/>
      <c r="Z726" s="54"/>
      <c r="AA726" s="54"/>
      <c r="AB726" s="54"/>
      <c r="AC726" s="54"/>
      <c r="AD726" s="54"/>
      <c r="AE726" s="54"/>
      <c r="AF726" s="54"/>
      <c r="AG726" s="54"/>
      <c r="AH726" s="54"/>
      <c r="AI726" s="54"/>
      <c r="AJ726" s="54"/>
      <c r="AK726" s="54"/>
      <c r="AL726" s="54"/>
      <c r="AM726" s="54"/>
      <c r="AN726" s="54"/>
      <c r="AO726" s="54"/>
      <c r="AP726" s="54"/>
      <c r="AQ726" s="54"/>
      <c r="AR726" s="54"/>
      <c r="AS726" s="54"/>
      <c r="AT726" s="54"/>
    </row>
    <row r="727">
      <c r="A727" s="54"/>
      <c r="B727" s="54"/>
      <c r="C727" s="54"/>
      <c r="D727" s="54"/>
      <c r="E727" s="54"/>
      <c r="F727" s="54"/>
      <c r="G727" s="54"/>
      <c r="H727" s="54"/>
      <c r="I727" s="54"/>
      <c r="J727" s="54"/>
      <c r="K727" s="54"/>
      <c r="L727" s="54"/>
      <c r="M727" s="54"/>
      <c r="N727" s="54"/>
      <c r="O727" s="54"/>
      <c r="P727" s="54"/>
      <c r="Q727" s="54"/>
      <c r="R727" s="54"/>
      <c r="S727" s="54"/>
      <c r="T727" s="54"/>
      <c r="U727" s="54"/>
      <c r="V727" s="54"/>
      <c r="W727" s="54"/>
      <c r="X727" s="54"/>
      <c r="Y727" s="350"/>
      <c r="Z727" s="54"/>
      <c r="AA727" s="54"/>
      <c r="AB727" s="54"/>
      <c r="AC727" s="54"/>
      <c r="AD727" s="54"/>
      <c r="AE727" s="54"/>
      <c r="AF727" s="54"/>
      <c r="AG727" s="54"/>
      <c r="AH727" s="54"/>
      <c r="AI727" s="54"/>
      <c r="AJ727" s="54"/>
      <c r="AK727" s="54"/>
      <c r="AL727" s="54"/>
      <c r="AM727" s="54"/>
      <c r="AN727" s="54"/>
      <c r="AO727" s="54"/>
      <c r="AP727" s="54"/>
      <c r="AQ727" s="54"/>
      <c r="AR727" s="54"/>
      <c r="AS727" s="54"/>
      <c r="AT727" s="54"/>
    </row>
    <row r="728">
      <c r="A728" s="54"/>
      <c r="B728" s="54"/>
      <c r="C728" s="54"/>
      <c r="D728" s="54"/>
      <c r="E728" s="54"/>
      <c r="F728" s="54"/>
      <c r="G728" s="54"/>
      <c r="H728" s="54"/>
      <c r="I728" s="54"/>
      <c r="J728" s="54"/>
      <c r="K728" s="54"/>
      <c r="L728" s="54"/>
      <c r="M728" s="54"/>
      <c r="N728" s="54"/>
      <c r="O728" s="54"/>
      <c r="P728" s="54"/>
      <c r="Q728" s="54"/>
      <c r="R728" s="54"/>
      <c r="S728" s="54"/>
      <c r="T728" s="54"/>
      <c r="U728" s="54"/>
      <c r="V728" s="54"/>
      <c r="W728" s="54"/>
      <c r="X728" s="54"/>
      <c r="Y728" s="350"/>
      <c r="Z728" s="54"/>
      <c r="AA728" s="54"/>
      <c r="AB728" s="54"/>
      <c r="AC728" s="54"/>
      <c r="AD728" s="54"/>
      <c r="AE728" s="54"/>
      <c r="AF728" s="54"/>
      <c r="AG728" s="54"/>
      <c r="AH728" s="54"/>
      <c r="AI728" s="54"/>
      <c r="AJ728" s="54"/>
      <c r="AK728" s="54"/>
      <c r="AL728" s="54"/>
      <c r="AM728" s="54"/>
      <c r="AN728" s="54"/>
      <c r="AO728" s="54"/>
      <c r="AP728" s="54"/>
      <c r="AQ728" s="54"/>
      <c r="AR728" s="54"/>
      <c r="AS728" s="54"/>
      <c r="AT728" s="54"/>
    </row>
    <row r="729">
      <c r="A729" s="54"/>
      <c r="B729" s="54"/>
      <c r="C729" s="54"/>
      <c r="D729" s="54"/>
      <c r="E729" s="54"/>
      <c r="F729" s="54"/>
      <c r="G729" s="54"/>
      <c r="H729" s="54"/>
      <c r="I729" s="54"/>
      <c r="J729" s="54"/>
      <c r="K729" s="54"/>
      <c r="L729" s="54"/>
      <c r="M729" s="54"/>
      <c r="N729" s="54"/>
      <c r="O729" s="54"/>
      <c r="P729" s="54"/>
      <c r="Q729" s="54"/>
      <c r="R729" s="54"/>
      <c r="S729" s="54"/>
      <c r="T729" s="54"/>
      <c r="U729" s="54"/>
      <c r="V729" s="54"/>
      <c r="W729" s="54"/>
      <c r="X729" s="54"/>
      <c r="Y729" s="350"/>
      <c r="Z729" s="54"/>
      <c r="AA729" s="54"/>
      <c r="AB729" s="54"/>
      <c r="AC729" s="54"/>
      <c r="AD729" s="54"/>
      <c r="AE729" s="54"/>
      <c r="AF729" s="54"/>
      <c r="AG729" s="54"/>
      <c r="AH729" s="54"/>
      <c r="AI729" s="54"/>
      <c r="AJ729" s="54"/>
      <c r="AK729" s="54"/>
      <c r="AL729" s="54"/>
      <c r="AM729" s="54"/>
      <c r="AN729" s="54"/>
      <c r="AO729" s="54"/>
      <c r="AP729" s="54"/>
      <c r="AQ729" s="54"/>
      <c r="AR729" s="54"/>
      <c r="AS729" s="54"/>
      <c r="AT729" s="54"/>
    </row>
    <row r="730">
      <c r="A730" s="54"/>
      <c r="B730" s="54"/>
      <c r="C730" s="54"/>
      <c r="D730" s="54"/>
      <c r="E730" s="54"/>
      <c r="F730" s="54"/>
      <c r="G730" s="54"/>
      <c r="H730" s="54"/>
      <c r="I730" s="54"/>
      <c r="J730" s="54"/>
      <c r="K730" s="54"/>
      <c r="L730" s="54"/>
      <c r="M730" s="54"/>
      <c r="N730" s="54"/>
      <c r="O730" s="54"/>
      <c r="P730" s="54"/>
      <c r="Q730" s="54"/>
      <c r="R730" s="54"/>
      <c r="S730" s="54"/>
      <c r="T730" s="54"/>
      <c r="U730" s="54"/>
      <c r="V730" s="54"/>
      <c r="W730" s="54"/>
      <c r="X730" s="54"/>
      <c r="Y730" s="350"/>
      <c r="Z730" s="54"/>
      <c r="AA730" s="54"/>
      <c r="AB730" s="54"/>
      <c r="AC730" s="54"/>
      <c r="AD730" s="54"/>
      <c r="AE730" s="54"/>
      <c r="AF730" s="54"/>
      <c r="AG730" s="54"/>
      <c r="AH730" s="54"/>
      <c r="AI730" s="54"/>
      <c r="AJ730" s="54"/>
      <c r="AK730" s="54"/>
      <c r="AL730" s="54"/>
      <c r="AM730" s="54"/>
      <c r="AN730" s="54"/>
      <c r="AO730" s="54"/>
      <c r="AP730" s="54"/>
      <c r="AQ730" s="54"/>
      <c r="AR730" s="54"/>
      <c r="AS730" s="54"/>
      <c r="AT730" s="54"/>
    </row>
    <row r="731">
      <c r="A731" s="54"/>
      <c r="B731" s="54"/>
      <c r="C731" s="54"/>
      <c r="D731" s="54"/>
      <c r="E731" s="54"/>
      <c r="F731" s="54"/>
      <c r="G731" s="54"/>
      <c r="H731" s="54"/>
      <c r="I731" s="54"/>
      <c r="J731" s="54"/>
      <c r="K731" s="54"/>
      <c r="L731" s="54"/>
      <c r="M731" s="54"/>
      <c r="N731" s="54"/>
      <c r="O731" s="54"/>
      <c r="P731" s="54"/>
      <c r="Q731" s="54"/>
      <c r="R731" s="54"/>
      <c r="S731" s="54"/>
      <c r="T731" s="54"/>
      <c r="U731" s="54"/>
      <c r="V731" s="54"/>
      <c r="W731" s="54"/>
      <c r="X731" s="54"/>
      <c r="Y731" s="350"/>
      <c r="Z731" s="54"/>
      <c r="AA731" s="54"/>
      <c r="AB731" s="54"/>
      <c r="AC731" s="54"/>
      <c r="AD731" s="54"/>
      <c r="AE731" s="54"/>
      <c r="AF731" s="54"/>
      <c r="AG731" s="54"/>
      <c r="AH731" s="54"/>
      <c r="AI731" s="54"/>
      <c r="AJ731" s="54"/>
      <c r="AK731" s="54"/>
      <c r="AL731" s="54"/>
      <c r="AM731" s="54"/>
      <c r="AN731" s="54"/>
      <c r="AO731" s="54"/>
      <c r="AP731" s="54"/>
      <c r="AQ731" s="54"/>
      <c r="AR731" s="54"/>
      <c r="AS731" s="54"/>
      <c r="AT731" s="54"/>
    </row>
    <row r="732">
      <c r="A732" s="54"/>
      <c r="B732" s="54"/>
      <c r="C732" s="54"/>
      <c r="D732" s="54"/>
      <c r="E732" s="54"/>
      <c r="F732" s="54"/>
      <c r="G732" s="54"/>
      <c r="H732" s="54"/>
      <c r="I732" s="54"/>
      <c r="J732" s="54"/>
      <c r="K732" s="54"/>
      <c r="L732" s="54"/>
      <c r="M732" s="54"/>
      <c r="N732" s="54"/>
      <c r="O732" s="54"/>
      <c r="P732" s="54"/>
      <c r="Q732" s="54"/>
      <c r="R732" s="54"/>
      <c r="S732" s="54"/>
      <c r="T732" s="54"/>
      <c r="U732" s="54"/>
      <c r="V732" s="54"/>
      <c r="W732" s="54"/>
      <c r="X732" s="54"/>
      <c r="Y732" s="350"/>
      <c r="Z732" s="54"/>
      <c r="AA732" s="54"/>
      <c r="AB732" s="54"/>
      <c r="AC732" s="54"/>
      <c r="AD732" s="54"/>
      <c r="AE732" s="54"/>
      <c r="AF732" s="54"/>
      <c r="AG732" s="54"/>
      <c r="AH732" s="54"/>
      <c r="AI732" s="54"/>
      <c r="AJ732" s="54"/>
      <c r="AK732" s="54"/>
      <c r="AL732" s="54"/>
      <c r="AM732" s="54"/>
      <c r="AN732" s="54"/>
      <c r="AO732" s="54"/>
      <c r="AP732" s="54"/>
      <c r="AQ732" s="54"/>
      <c r="AR732" s="54"/>
      <c r="AS732" s="54"/>
      <c r="AT732" s="54"/>
    </row>
    <row r="733">
      <c r="A733" s="54"/>
      <c r="B733" s="54"/>
      <c r="C733" s="54"/>
      <c r="D733" s="54"/>
      <c r="E733" s="54"/>
      <c r="F733" s="54"/>
      <c r="G733" s="54"/>
      <c r="H733" s="54"/>
      <c r="I733" s="54"/>
      <c r="J733" s="54"/>
      <c r="K733" s="54"/>
      <c r="L733" s="54"/>
      <c r="M733" s="54"/>
      <c r="N733" s="54"/>
      <c r="O733" s="54"/>
      <c r="P733" s="54"/>
      <c r="Q733" s="54"/>
      <c r="R733" s="54"/>
      <c r="S733" s="54"/>
      <c r="T733" s="54"/>
      <c r="U733" s="54"/>
      <c r="V733" s="54"/>
      <c r="W733" s="54"/>
      <c r="X733" s="54"/>
      <c r="Y733" s="350"/>
      <c r="Z733" s="54"/>
      <c r="AA733" s="54"/>
      <c r="AB733" s="54"/>
      <c r="AC733" s="54"/>
      <c r="AD733" s="54"/>
      <c r="AE733" s="54"/>
      <c r="AF733" s="54"/>
      <c r="AG733" s="54"/>
      <c r="AH733" s="54"/>
      <c r="AI733" s="54"/>
      <c r="AJ733" s="54"/>
      <c r="AK733" s="54"/>
      <c r="AL733" s="54"/>
      <c r="AM733" s="54"/>
      <c r="AN733" s="54"/>
      <c r="AO733" s="54"/>
      <c r="AP733" s="54"/>
      <c r="AQ733" s="54"/>
      <c r="AR733" s="54"/>
      <c r="AS733" s="54"/>
      <c r="AT733" s="54"/>
    </row>
    <row r="734">
      <c r="A734" s="54"/>
      <c r="B734" s="54"/>
      <c r="C734" s="54"/>
      <c r="D734" s="54"/>
      <c r="E734" s="54"/>
      <c r="F734" s="54"/>
      <c r="G734" s="54"/>
      <c r="H734" s="54"/>
      <c r="I734" s="54"/>
      <c r="J734" s="54"/>
      <c r="K734" s="54"/>
      <c r="L734" s="54"/>
      <c r="M734" s="54"/>
      <c r="N734" s="54"/>
      <c r="O734" s="54"/>
      <c r="P734" s="54"/>
      <c r="Q734" s="54"/>
      <c r="R734" s="54"/>
      <c r="S734" s="54"/>
      <c r="T734" s="54"/>
      <c r="U734" s="54"/>
      <c r="V734" s="54"/>
      <c r="W734" s="54"/>
      <c r="X734" s="54"/>
      <c r="Y734" s="350"/>
      <c r="Z734" s="54"/>
      <c r="AA734" s="54"/>
      <c r="AB734" s="54"/>
      <c r="AC734" s="54"/>
      <c r="AD734" s="54"/>
      <c r="AE734" s="54"/>
      <c r="AF734" s="54"/>
      <c r="AG734" s="54"/>
      <c r="AH734" s="54"/>
      <c r="AI734" s="54"/>
      <c r="AJ734" s="54"/>
      <c r="AK734" s="54"/>
      <c r="AL734" s="54"/>
      <c r="AM734" s="54"/>
      <c r="AN734" s="54"/>
      <c r="AO734" s="54"/>
      <c r="AP734" s="54"/>
      <c r="AQ734" s="54"/>
      <c r="AR734" s="54"/>
      <c r="AS734" s="54"/>
      <c r="AT734" s="54"/>
    </row>
    <row r="735">
      <c r="A735" s="54"/>
      <c r="B735" s="54"/>
      <c r="C735" s="54"/>
      <c r="D735" s="54"/>
      <c r="E735" s="54"/>
      <c r="F735" s="54"/>
      <c r="G735" s="54"/>
      <c r="H735" s="54"/>
      <c r="I735" s="54"/>
      <c r="J735" s="54"/>
      <c r="K735" s="54"/>
      <c r="L735" s="54"/>
      <c r="M735" s="54"/>
      <c r="N735" s="54"/>
      <c r="O735" s="54"/>
      <c r="P735" s="54"/>
      <c r="Q735" s="54"/>
      <c r="R735" s="54"/>
      <c r="S735" s="54"/>
      <c r="T735" s="54"/>
      <c r="U735" s="54"/>
      <c r="V735" s="54"/>
      <c r="W735" s="54"/>
      <c r="X735" s="54"/>
      <c r="Y735" s="350"/>
      <c r="Z735" s="54"/>
      <c r="AA735" s="54"/>
      <c r="AB735" s="54"/>
      <c r="AC735" s="54"/>
      <c r="AD735" s="54"/>
      <c r="AE735" s="54"/>
      <c r="AF735" s="54"/>
      <c r="AG735" s="54"/>
      <c r="AH735" s="54"/>
      <c r="AI735" s="54"/>
      <c r="AJ735" s="54"/>
      <c r="AK735" s="54"/>
      <c r="AL735" s="54"/>
      <c r="AM735" s="54"/>
      <c r="AN735" s="54"/>
      <c r="AO735" s="54"/>
      <c r="AP735" s="54"/>
      <c r="AQ735" s="54"/>
      <c r="AR735" s="54"/>
      <c r="AS735" s="54"/>
      <c r="AT735" s="54"/>
    </row>
    <row r="736">
      <c r="A736" s="54"/>
      <c r="B736" s="54"/>
      <c r="C736" s="54"/>
      <c r="D736" s="54"/>
      <c r="E736" s="54"/>
      <c r="F736" s="54"/>
      <c r="G736" s="54"/>
      <c r="H736" s="54"/>
      <c r="I736" s="54"/>
      <c r="J736" s="54"/>
      <c r="K736" s="54"/>
      <c r="L736" s="54"/>
      <c r="M736" s="54"/>
      <c r="N736" s="54"/>
      <c r="O736" s="54"/>
      <c r="P736" s="54"/>
      <c r="Q736" s="54"/>
      <c r="R736" s="54"/>
      <c r="S736" s="54"/>
      <c r="T736" s="54"/>
      <c r="U736" s="54"/>
      <c r="V736" s="54"/>
      <c r="W736" s="54"/>
      <c r="X736" s="54"/>
      <c r="Y736" s="350"/>
      <c r="Z736" s="54"/>
      <c r="AA736" s="54"/>
      <c r="AB736" s="54"/>
      <c r="AC736" s="54"/>
      <c r="AD736" s="54"/>
      <c r="AE736" s="54"/>
      <c r="AF736" s="54"/>
      <c r="AG736" s="54"/>
      <c r="AH736" s="54"/>
      <c r="AI736" s="54"/>
      <c r="AJ736" s="54"/>
      <c r="AK736" s="54"/>
      <c r="AL736" s="54"/>
      <c r="AM736" s="54"/>
      <c r="AN736" s="54"/>
      <c r="AO736" s="54"/>
      <c r="AP736" s="54"/>
      <c r="AQ736" s="54"/>
      <c r="AR736" s="54"/>
      <c r="AS736" s="54"/>
      <c r="AT736" s="54"/>
    </row>
    <row r="737">
      <c r="A737" s="54"/>
      <c r="B737" s="54"/>
      <c r="C737" s="54"/>
      <c r="D737" s="54"/>
      <c r="E737" s="54"/>
      <c r="F737" s="54"/>
      <c r="G737" s="54"/>
      <c r="H737" s="54"/>
      <c r="I737" s="54"/>
      <c r="J737" s="54"/>
      <c r="K737" s="54"/>
      <c r="L737" s="54"/>
      <c r="M737" s="54"/>
      <c r="N737" s="54"/>
      <c r="O737" s="54"/>
      <c r="P737" s="54"/>
      <c r="Q737" s="54"/>
      <c r="R737" s="54"/>
      <c r="S737" s="54"/>
      <c r="T737" s="54"/>
      <c r="U737" s="54"/>
      <c r="V737" s="54"/>
      <c r="W737" s="54"/>
      <c r="X737" s="54"/>
      <c r="Y737" s="350"/>
      <c r="Z737" s="54"/>
      <c r="AA737" s="54"/>
      <c r="AB737" s="54"/>
      <c r="AC737" s="54"/>
      <c r="AD737" s="54"/>
      <c r="AE737" s="54"/>
      <c r="AF737" s="54"/>
      <c r="AG737" s="54"/>
      <c r="AH737" s="54"/>
      <c r="AI737" s="54"/>
      <c r="AJ737" s="54"/>
      <c r="AK737" s="54"/>
      <c r="AL737" s="54"/>
      <c r="AM737" s="54"/>
      <c r="AN737" s="54"/>
      <c r="AO737" s="54"/>
      <c r="AP737" s="54"/>
      <c r="AQ737" s="54"/>
      <c r="AR737" s="54"/>
      <c r="AS737" s="54"/>
      <c r="AT737" s="54"/>
    </row>
    <row r="738">
      <c r="A738" s="54"/>
      <c r="B738" s="54"/>
      <c r="C738" s="54"/>
      <c r="D738" s="54"/>
      <c r="E738" s="54"/>
      <c r="F738" s="54"/>
      <c r="G738" s="54"/>
      <c r="H738" s="54"/>
      <c r="I738" s="54"/>
      <c r="J738" s="54"/>
      <c r="K738" s="54"/>
      <c r="L738" s="54"/>
      <c r="M738" s="54"/>
      <c r="N738" s="54"/>
      <c r="O738" s="54"/>
      <c r="P738" s="54"/>
      <c r="Q738" s="54"/>
      <c r="R738" s="54"/>
      <c r="S738" s="54"/>
      <c r="T738" s="54"/>
      <c r="U738" s="54"/>
      <c r="V738" s="54"/>
      <c r="W738" s="54"/>
      <c r="X738" s="54"/>
      <c r="Y738" s="350"/>
      <c r="Z738" s="54"/>
      <c r="AA738" s="54"/>
      <c r="AB738" s="54"/>
      <c r="AC738" s="54"/>
      <c r="AD738" s="54"/>
      <c r="AE738" s="54"/>
      <c r="AF738" s="54"/>
      <c r="AG738" s="54"/>
      <c r="AH738" s="54"/>
      <c r="AI738" s="54"/>
      <c r="AJ738" s="54"/>
      <c r="AK738" s="54"/>
      <c r="AL738" s="54"/>
      <c r="AM738" s="54"/>
      <c r="AN738" s="54"/>
      <c r="AO738" s="54"/>
      <c r="AP738" s="54"/>
      <c r="AQ738" s="54"/>
      <c r="AR738" s="54"/>
      <c r="AS738" s="54"/>
      <c r="AT738" s="54"/>
    </row>
    <row r="739">
      <c r="A739" s="54"/>
      <c r="B739" s="54"/>
      <c r="C739" s="54"/>
      <c r="D739" s="54"/>
      <c r="E739" s="54"/>
      <c r="F739" s="54"/>
      <c r="G739" s="54"/>
      <c r="H739" s="54"/>
      <c r="I739" s="54"/>
      <c r="J739" s="54"/>
      <c r="K739" s="54"/>
      <c r="L739" s="54"/>
      <c r="M739" s="54"/>
      <c r="N739" s="54"/>
      <c r="O739" s="54"/>
      <c r="P739" s="54"/>
      <c r="Q739" s="54"/>
      <c r="R739" s="54"/>
      <c r="S739" s="54"/>
      <c r="T739" s="54"/>
      <c r="U739" s="54"/>
      <c r="V739" s="54"/>
      <c r="W739" s="54"/>
      <c r="X739" s="54"/>
      <c r="Y739" s="350"/>
      <c r="Z739" s="54"/>
      <c r="AA739" s="54"/>
      <c r="AB739" s="54"/>
      <c r="AC739" s="54"/>
      <c r="AD739" s="54"/>
      <c r="AE739" s="54"/>
      <c r="AF739" s="54"/>
      <c r="AG739" s="54"/>
      <c r="AH739" s="54"/>
      <c r="AI739" s="54"/>
      <c r="AJ739" s="54"/>
      <c r="AK739" s="54"/>
      <c r="AL739" s="54"/>
      <c r="AM739" s="54"/>
      <c r="AN739" s="54"/>
      <c r="AO739" s="54"/>
      <c r="AP739" s="54"/>
      <c r="AQ739" s="54"/>
      <c r="AR739" s="54"/>
      <c r="AS739" s="54"/>
      <c r="AT739" s="54"/>
    </row>
    <row r="740">
      <c r="A740" s="54"/>
      <c r="B740" s="54"/>
      <c r="C740" s="54"/>
      <c r="D740" s="54"/>
      <c r="E740" s="54"/>
      <c r="F740" s="54"/>
      <c r="G740" s="54"/>
      <c r="H740" s="54"/>
      <c r="I740" s="54"/>
      <c r="J740" s="54"/>
      <c r="K740" s="54"/>
      <c r="L740" s="54"/>
      <c r="M740" s="54"/>
      <c r="N740" s="54"/>
      <c r="O740" s="54"/>
      <c r="P740" s="54"/>
      <c r="Q740" s="54"/>
      <c r="R740" s="54"/>
      <c r="S740" s="54"/>
      <c r="T740" s="54"/>
      <c r="U740" s="54"/>
      <c r="V740" s="54"/>
      <c r="W740" s="54"/>
      <c r="X740" s="54"/>
      <c r="Y740" s="350"/>
      <c r="Z740" s="54"/>
      <c r="AA740" s="54"/>
      <c r="AB740" s="54"/>
      <c r="AC740" s="54"/>
      <c r="AD740" s="54"/>
      <c r="AE740" s="54"/>
      <c r="AF740" s="54"/>
      <c r="AG740" s="54"/>
      <c r="AH740" s="54"/>
      <c r="AI740" s="54"/>
      <c r="AJ740" s="54"/>
      <c r="AK740" s="54"/>
      <c r="AL740" s="54"/>
      <c r="AM740" s="54"/>
      <c r="AN740" s="54"/>
      <c r="AO740" s="54"/>
      <c r="AP740" s="54"/>
      <c r="AQ740" s="54"/>
      <c r="AR740" s="54"/>
      <c r="AS740" s="54"/>
      <c r="AT740" s="54"/>
    </row>
    <row r="741">
      <c r="A741" s="54"/>
      <c r="B741" s="54"/>
      <c r="C741" s="54"/>
      <c r="D741" s="54"/>
      <c r="E741" s="54"/>
      <c r="F741" s="54"/>
      <c r="G741" s="54"/>
      <c r="H741" s="54"/>
      <c r="I741" s="54"/>
      <c r="J741" s="54"/>
      <c r="K741" s="54"/>
      <c r="L741" s="54"/>
      <c r="M741" s="54"/>
      <c r="N741" s="54"/>
      <c r="O741" s="54"/>
      <c r="P741" s="54"/>
      <c r="Q741" s="54"/>
      <c r="R741" s="54"/>
      <c r="S741" s="54"/>
      <c r="T741" s="54"/>
      <c r="U741" s="54"/>
      <c r="V741" s="54"/>
      <c r="W741" s="54"/>
      <c r="X741" s="54"/>
      <c r="Y741" s="350"/>
      <c r="Z741" s="54"/>
      <c r="AA741" s="54"/>
      <c r="AB741" s="54"/>
      <c r="AC741" s="54"/>
      <c r="AD741" s="54"/>
      <c r="AE741" s="54"/>
      <c r="AF741" s="54"/>
      <c r="AG741" s="54"/>
      <c r="AH741" s="54"/>
      <c r="AI741" s="54"/>
      <c r="AJ741" s="54"/>
      <c r="AK741" s="54"/>
      <c r="AL741" s="54"/>
      <c r="AM741" s="54"/>
      <c r="AN741" s="54"/>
      <c r="AO741" s="54"/>
      <c r="AP741" s="54"/>
      <c r="AQ741" s="54"/>
      <c r="AR741" s="54"/>
      <c r="AS741" s="54"/>
      <c r="AT741" s="54"/>
    </row>
    <row r="742">
      <c r="A742" s="54"/>
      <c r="B742" s="54"/>
      <c r="C742" s="54"/>
      <c r="D742" s="54"/>
      <c r="E742" s="54"/>
      <c r="F742" s="54"/>
      <c r="G742" s="54"/>
      <c r="H742" s="54"/>
      <c r="I742" s="54"/>
      <c r="J742" s="54"/>
      <c r="K742" s="54"/>
      <c r="L742" s="54"/>
      <c r="M742" s="54"/>
      <c r="N742" s="54"/>
      <c r="O742" s="54"/>
      <c r="P742" s="54"/>
      <c r="Q742" s="54"/>
      <c r="R742" s="54"/>
      <c r="S742" s="54"/>
      <c r="T742" s="54"/>
      <c r="U742" s="54"/>
      <c r="V742" s="54"/>
      <c r="W742" s="54"/>
      <c r="X742" s="54"/>
      <c r="Y742" s="350"/>
      <c r="Z742" s="54"/>
      <c r="AA742" s="54"/>
      <c r="AB742" s="54"/>
      <c r="AC742" s="54"/>
      <c r="AD742" s="54"/>
      <c r="AE742" s="54"/>
      <c r="AF742" s="54"/>
      <c r="AG742" s="54"/>
      <c r="AH742" s="54"/>
      <c r="AI742" s="54"/>
      <c r="AJ742" s="54"/>
      <c r="AK742" s="54"/>
      <c r="AL742" s="54"/>
      <c r="AM742" s="54"/>
      <c r="AN742" s="54"/>
      <c r="AO742" s="54"/>
      <c r="AP742" s="54"/>
      <c r="AQ742" s="54"/>
      <c r="AR742" s="54"/>
      <c r="AS742" s="54"/>
      <c r="AT742" s="54"/>
    </row>
    <row r="743">
      <c r="A743" s="54"/>
      <c r="B743" s="54"/>
      <c r="C743" s="54"/>
      <c r="D743" s="54"/>
      <c r="E743" s="54"/>
      <c r="F743" s="54"/>
      <c r="G743" s="54"/>
      <c r="H743" s="54"/>
      <c r="I743" s="54"/>
      <c r="J743" s="54"/>
      <c r="K743" s="54"/>
      <c r="L743" s="54"/>
      <c r="M743" s="54"/>
      <c r="N743" s="54"/>
      <c r="O743" s="54"/>
      <c r="P743" s="54"/>
      <c r="Q743" s="54"/>
      <c r="R743" s="54"/>
      <c r="S743" s="54"/>
      <c r="T743" s="54"/>
      <c r="U743" s="54"/>
      <c r="V743" s="54"/>
      <c r="W743" s="54"/>
      <c r="X743" s="54"/>
      <c r="Y743" s="350"/>
      <c r="Z743" s="54"/>
      <c r="AA743" s="54"/>
      <c r="AB743" s="54"/>
      <c r="AC743" s="54"/>
      <c r="AD743" s="54"/>
      <c r="AE743" s="54"/>
      <c r="AF743" s="54"/>
      <c r="AG743" s="54"/>
      <c r="AH743" s="54"/>
      <c r="AI743" s="54"/>
      <c r="AJ743" s="54"/>
      <c r="AK743" s="54"/>
      <c r="AL743" s="54"/>
      <c r="AM743" s="54"/>
      <c r="AN743" s="54"/>
      <c r="AO743" s="54"/>
      <c r="AP743" s="54"/>
      <c r="AQ743" s="54"/>
      <c r="AR743" s="54"/>
      <c r="AS743" s="54"/>
      <c r="AT743" s="54"/>
    </row>
    <row r="744">
      <c r="A744" s="54"/>
      <c r="B744" s="54"/>
      <c r="C744" s="54"/>
      <c r="D744" s="54"/>
      <c r="E744" s="54"/>
      <c r="F744" s="54"/>
      <c r="G744" s="54"/>
      <c r="H744" s="54"/>
      <c r="I744" s="54"/>
      <c r="J744" s="54"/>
      <c r="K744" s="54"/>
      <c r="L744" s="54"/>
      <c r="M744" s="54"/>
      <c r="N744" s="54"/>
      <c r="O744" s="54"/>
      <c r="P744" s="54"/>
      <c r="Q744" s="54"/>
      <c r="R744" s="54"/>
      <c r="S744" s="54"/>
      <c r="T744" s="54"/>
      <c r="U744" s="54"/>
      <c r="V744" s="54"/>
      <c r="W744" s="54"/>
      <c r="X744" s="54"/>
      <c r="Y744" s="350"/>
      <c r="Z744" s="54"/>
      <c r="AA744" s="54"/>
      <c r="AB744" s="54"/>
      <c r="AC744" s="54"/>
      <c r="AD744" s="54"/>
      <c r="AE744" s="54"/>
      <c r="AF744" s="54"/>
      <c r="AG744" s="54"/>
      <c r="AH744" s="54"/>
      <c r="AI744" s="54"/>
      <c r="AJ744" s="54"/>
      <c r="AK744" s="54"/>
      <c r="AL744" s="54"/>
      <c r="AM744" s="54"/>
      <c r="AN744" s="54"/>
      <c r="AO744" s="54"/>
      <c r="AP744" s="54"/>
      <c r="AQ744" s="54"/>
      <c r="AR744" s="54"/>
      <c r="AS744" s="54"/>
      <c r="AT744" s="54"/>
    </row>
    <row r="745">
      <c r="A745" s="54"/>
      <c r="B745" s="54"/>
      <c r="C745" s="54"/>
      <c r="D745" s="54"/>
      <c r="E745" s="54"/>
      <c r="F745" s="54"/>
      <c r="G745" s="54"/>
      <c r="H745" s="54"/>
      <c r="I745" s="54"/>
      <c r="J745" s="54"/>
      <c r="K745" s="54"/>
      <c r="L745" s="54"/>
      <c r="M745" s="54"/>
      <c r="N745" s="54"/>
      <c r="O745" s="54"/>
      <c r="P745" s="54"/>
      <c r="Q745" s="54"/>
      <c r="R745" s="54"/>
      <c r="S745" s="54"/>
      <c r="T745" s="54"/>
      <c r="U745" s="54"/>
      <c r="V745" s="54"/>
      <c r="W745" s="54"/>
      <c r="X745" s="54"/>
      <c r="Y745" s="350"/>
      <c r="Z745" s="54"/>
      <c r="AA745" s="54"/>
      <c r="AB745" s="54"/>
      <c r="AC745" s="54"/>
      <c r="AD745" s="54"/>
      <c r="AE745" s="54"/>
      <c r="AF745" s="54"/>
      <c r="AG745" s="54"/>
      <c r="AH745" s="54"/>
      <c r="AI745" s="54"/>
      <c r="AJ745" s="54"/>
      <c r="AK745" s="54"/>
      <c r="AL745" s="54"/>
      <c r="AM745" s="54"/>
      <c r="AN745" s="54"/>
      <c r="AO745" s="54"/>
      <c r="AP745" s="54"/>
      <c r="AQ745" s="54"/>
      <c r="AR745" s="54"/>
      <c r="AS745" s="54"/>
      <c r="AT745" s="54"/>
    </row>
    <row r="746">
      <c r="A746" s="54"/>
      <c r="B746" s="54"/>
      <c r="C746" s="54"/>
      <c r="D746" s="54"/>
      <c r="E746" s="54"/>
      <c r="F746" s="54"/>
      <c r="G746" s="54"/>
      <c r="H746" s="54"/>
      <c r="I746" s="54"/>
      <c r="J746" s="54"/>
      <c r="K746" s="54"/>
      <c r="L746" s="54"/>
      <c r="M746" s="54"/>
      <c r="N746" s="54"/>
      <c r="O746" s="54"/>
      <c r="P746" s="54"/>
      <c r="Q746" s="54"/>
      <c r="R746" s="54"/>
      <c r="S746" s="54"/>
      <c r="T746" s="54"/>
      <c r="U746" s="54"/>
      <c r="V746" s="54"/>
      <c r="W746" s="54"/>
      <c r="X746" s="54"/>
      <c r="Y746" s="350"/>
      <c r="Z746" s="54"/>
      <c r="AA746" s="54"/>
      <c r="AB746" s="54"/>
      <c r="AC746" s="54"/>
      <c r="AD746" s="54"/>
      <c r="AE746" s="54"/>
      <c r="AF746" s="54"/>
      <c r="AG746" s="54"/>
      <c r="AH746" s="54"/>
      <c r="AI746" s="54"/>
      <c r="AJ746" s="54"/>
      <c r="AK746" s="54"/>
      <c r="AL746" s="54"/>
      <c r="AM746" s="54"/>
      <c r="AN746" s="54"/>
      <c r="AO746" s="54"/>
      <c r="AP746" s="54"/>
      <c r="AQ746" s="54"/>
      <c r="AR746" s="54"/>
      <c r="AS746" s="54"/>
      <c r="AT746" s="54"/>
    </row>
    <row r="747">
      <c r="A747" s="54"/>
      <c r="B747" s="54"/>
      <c r="C747" s="54"/>
      <c r="D747" s="54"/>
      <c r="E747" s="54"/>
      <c r="F747" s="54"/>
      <c r="G747" s="54"/>
      <c r="H747" s="54"/>
      <c r="I747" s="54"/>
      <c r="J747" s="54"/>
      <c r="K747" s="54"/>
      <c r="L747" s="54"/>
      <c r="M747" s="54"/>
      <c r="N747" s="54"/>
      <c r="O747" s="54"/>
      <c r="P747" s="54"/>
      <c r="Q747" s="54"/>
      <c r="R747" s="54"/>
      <c r="S747" s="54"/>
      <c r="T747" s="54"/>
      <c r="U747" s="54"/>
      <c r="V747" s="54"/>
      <c r="W747" s="54"/>
      <c r="X747" s="54"/>
      <c r="Y747" s="350"/>
      <c r="Z747" s="54"/>
      <c r="AA747" s="54"/>
      <c r="AB747" s="54"/>
      <c r="AC747" s="54"/>
      <c r="AD747" s="54"/>
      <c r="AE747" s="54"/>
      <c r="AF747" s="54"/>
      <c r="AG747" s="54"/>
      <c r="AH747" s="54"/>
      <c r="AI747" s="54"/>
      <c r="AJ747" s="54"/>
      <c r="AK747" s="54"/>
      <c r="AL747" s="54"/>
      <c r="AM747" s="54"/>
      <c r="AN747" s="54"/>
      <c r="AO747" s="54"/>
      <c r="AP747" s="54"/>
      <c r="AQ747" s="54"/>
      <c r="AR747" s="54"/>
      <c r="AS747" s="54"/>
      <c r="AT747" s="54"/>
    </row>
    <row r="748">
      <c r="A748" s="54"/>
      <c r="B748" s="54"/>
      <c r="C748" s="54"/>
      <c r="D748" s="54"/>
      <c r="E748" s="54"/>
      <c r="F748" s="54"/>
      <c r="G748" s="54"/>
      <c r="H748" s="54"/>
      <c r="I748" s="54"/>
      <c r="J748" s="54"/>
      <c r="K748" s="54"/>
      <c r="L748" s="54"/>
      <c r="M748" s="54"/>
      <c r="N748" s="54"/>
      <c r="O748" s="54"/>
      <c r="P748" s="54"/>
      <c r="Q748" s="54"/>
      <c r="R748" s="54"/>
      <c r="S748" s="54"/>
      <c r="T748" s="54"/>
      <c r="U748" s="54"/>
      <c r="V748" s="54"/>
      <c r="W748" s="54"/>
      <c r="X748" s="54"/>
      <c r="Y748" s="350"/>
      <c r="Z748" s="54"/>
      <c r="AA748" s="54"/>
      <c r="AB748" s="54"/>
      <c r="AC748" s="54"/>
      <c r="AD748" s="54"/>
      <c r="AE748" s="54"/>
      <c r="AF748" s="54"/>
      <c r="AG748" s="54"/>
      <c r="AH748" s="54"/>
      <c r="AI748" s="54"/>
      <c r="AJ748" s="54"/>
      <c r="AK748" s="54"/>
      <c r="AL748" s="54"/>
      <c r="AM748" s="54"/>
      <c r="AN748" s="54"/>
      <c r="AO748" s="54"/>
      <c r="AP748" s="54"/>
      <c r="AQ748" s="54"/>
      <c r="AR748" s="54"/>
      <c r="AS748" s="54"/>
      <c r="AT748" s="54"/>
    </row>
    <row r="749">
      <c r="A749" s="54"/>
      <c r="B749" s="54"/>
      <c r="C749" s="54"/>
      <c r="D749" s="54"/>
      <c r="E749" s="54"/>
      <c r="F749" s="54"/>
      <c r="G749" s="54"/>
      <c r="H749" s="54"/>
      <c r="I749" s="54"/>
      <c r="J749" s="54"/>
      <c r="K749" s="54"/>
      <c r="L749" s="54"/>
      <c r="M749" s="54"/>
      <c r="N749" s="54"/>
      <c r="O749" s="54"/>
      <c r="P749" s="54"/>
      <c r="Q749" s="54"/>
      <c r="R749" s="54"/>
      <c r="S749" s="54"/>
      <c r="T749" s="54"/>
      <c r="U749" s="54"/>
      <c r="V749" s="54"/>
      <c r="W749" s="54"/>
      <c r="X749" s="54"/>
      <c r="Y749" s="350"/>
      <c r="Z749" s="54"/>
      <c r="AA749" s="54"/>
      <c r="AB749" s="54"/>
      <c r="AC749" s="54"/>
      <c r="AD749" s="54"/>
      <c r="AE749" s="54"/>
      <c r="AF749" s="54"/>
      <c r="AG749" s="54"/>
      <c r="AH749" s="54"/>
      <c r="AI749" s="54"/>
      <c r="AJ749" s="54"/>
      <c r="AK749" s="54"/>
      <c r="AL749" s="54"/>
      <c r="AM749" s="54"/>
      <c r="AN749" s="54"/>
      <c r="AO749" s="54"/>
      <c r="AP749" s="54"/>
      <c r="AQ749" s="54"/>
      <c r="AR749" s="54"/>
      <c r="AS749" s="54"/>
      <c r="AT749" s="54"/>
    </row>
    <row r="750">
      <c r="A750" s="54"/>
      <c r="B750" s="54"/>
      <c r="C750" s="54"/>
      <c r="D750" s="54"/>
      <c r="E750" s="54"/>
      <c r="F750" s="54"/>
      <c r="G750" s="54"/>
      <c r="H750" s="54"/>
      <c r="I750" s="54"/>
      <c r="J750" s="54"/>
      <c r="K750" s="54"/>
      <c r="L750" s="54"/>
      <c r="M750" s="54"/>
      <c r="N750" s="54"/>
      <c r="O750" s="54"/>
      <c r="P750" s="54"/>
      <c r="Q750" s="54"/>
      <c r="R750" s="54"/>
      <c r="S750" s="54"/>
      <c r="T750" s="54"/>
      <c r="U750" s="54"/>
      <c r="V750" s="54"/>
      <c r="W750" s="54"/>
      <c r="X750" s="54"/>
      <c r="Y750" s="350"/>
      <c r="Z750" s="54"/>
      <c r="AA750" s="54"/>
      <c r="AB750" s="54"/>
      <c r="AC750" s="54"/>
      <c r="AD750" s="54"/>
      <c r="AE750" s="54"/>
      <c r="AF750" s="54"/>
      <c r="AG750" s="54"/>
      <c r="AH750" s="54"/>
      <c r="AI750" s="54"/>
      <c r="AJ750" s="54"/>
      <c r="AK750" s="54"/>
      <c r="AL750" s="54"/>
      <c r="AM750" s="54"/>
      <c r="AN750" s="54"/>
      <c r="AO750" s="54"/>
      <c r="AP750" s="54"/>
      <c r="AQ750" s="54"/>
      <c r="AR750" s="54"/>
      <c r="AS750" s="54"/>
      <c r="AT750" s="54"/>
    </row>
    <row r="751">
      <c r="A751" s="54"/>
      <c r="B751" s="54"/>
      <c r="C751" s="54"/>
      <c r="D751" s="54"/>
      <c r="E751" s="54"/>
      <c r="F751" s="54"/>
      <c r="G751" s="54"/>
      <c r="H751" s="54"/>
      <c r="I751" s="54"/>
      <c r="J751" s="54"/>
      <c r="K751" s="54"/>
      <c r="L751" s="54"/>
      <c r="M751" s="54"/>
      <c r="N751" s="54"/>
      <c r="O751" s="54"/>
      <c r="P751" s="54"/>
      <c r="Q751" s="54"/>
      <c r="R751" s="54"/>
      <c r="S751" s="54"/>
      <c r="T751" s="54"/>
      <c r="U751" s="54"/>
      <c r="V751" s="54"/>
      <c r="W751" s="54"/>
      <c r="X751" s="54"/>
      <c r="Y751" s="350"/>
      <c r="Z751" s="54"/>
      <c r="AA751" s="54"/>
      <c r="AB751" s="54"/>
      <c r="AC751" s="54"/>
      <c r="AD751" s="54"/>
      <c r="AE751" s="54"/>
      <c r="AF751" s="54"/>
      <c r="AG751" s="54"/>
      <c r="AH751" s="54"/>
      <c r="AI751" s="54"/>
      <c r="AJ751" s="54"/>
      <c r="AK751" s="54"/>
      <c r="AL751" s="54"/>
      <c r="AM751" s="54"/>
      <c r="AN751" s="54"/>
      <c r="AO751" s="54"/>
      <c r="AP751" s="54"/>
      <c r="AQ751" s="54"/>
      <c r="AR751" s="54"/>
      <c r="AS751" s="54"/>
      <c r="AT751" s="54"/>
    </row>
    <row r="752">
      <c r="A752" s="54"/>
      <c r="B752" s="54"/>
      <c r="C752" s="54"/>
      <c r="D752" s="54"/>
      <c r="E752" s="54"/>
      <c r="F752" s="54"/>
      <c r="G752" s="54"/>
      <c r="H752" s="54"/>
      <c r="I752" s="54"/>
      <c r="J752" s="54"/>
      <c r="K752" s="54"/>
      <c r="L752" s="54"/>
      <c r="M752" s="54"/>
      <c r="N752" s="54"/>
      <c r="O752" s="54"/>
      <c r="P752" s="54"/>
      <c r="Q752" s="54"/>
      <c r="R752" s="54"/>
      <c r="S752" s="54"/>
      <c r="T752" s="54"/>
      <c r="U752" s="54"/>
      <c r="V752" s="54"/>
      <c r="W752" s="54"/>
      <c r="X752" s="54"/>
      <c r="Y752" s="350"/>
      <c r="Z752" s="54"/>
      <c r="AA752" s="54"/>
      <c r="AB752" s="54"/>
      <c r="AC752" s="54"/>
      <c r="AD752" s="54"/>
      <c r="AE752" s="54"/>
      <c r="AF752" s="54"/>
      <c r="AG752" s="54"/>
      <c r="AH752" s="54"/>
      <c r="AI752" s="54"/>
      <c r="AJ752" s="54"/>
      <c r="AK752" s="54"/>
      <c r="AL752" s="54"/>
      <c r="AM752" s="54"/>
      <c r="AN752" s="54"/>
      <c r="AO752" s="54"/>
      <c r="AP752" s="54"/>
      <c r="AQ752" s="54"/>
      <c r="AR752" s="54"/>
      <c r="AS752" s="54"/>
      <c r="AT752" s="54"/>
    </row>
    <row r="753">
      <c r="A753" s="54"/>
      <c r="B753" s="54"/>
      <c r="C753" s="54"/>
      <c r="D753" s="54"/>
      <c r="E753" s="54"/>
      <c r="F753" s="54"/>
      <c r="G753" s="54"/>
      <c r="H753" s="54"/>
      <c r="I753" s="54"/>
      <c r="J753" s="54"/>
      <c r="K753" s="54"/>
      <c r="L753" s="54"/>
      <c r="M753" s="54"/>
      <c r="N753" s="54"/>
      <c r="O753" s="54"/>
      <c r="P753" s="54"/>
      <c r="Q753" s="54"/>
      <c r="R753" s="54"/>
      <c r="S753" s="54"/>
      <c r="T753" s="54"/>
      <c r="U753" s="54"/>
      <c r="V753" s="54"/>
      <c r="W753" s="54"/>
      <c r="X753" s="54"/>
      <c r="Y753" s="350"/>
      <c r="Z753" s="54"/>
      <c r="AA753" s="54"/>
      <c r="AB753" s="54"/>
      <c r="AC753" s="54"/>
      <c r="AD753" s="54"/>
      <c r="AE753" s="54"/>
      <c r="AF753" s="54"/>
      <c r="AG753" s="54"/>
      <c r="AH753" s="54"/>
      <c r="AI753" s="54"/>
      <c r="AJ753" s="54"/>
      <c r="AK753" s="54"/>
      <c r="AL753" s="54"/>
      <c r="AM753" s="54"/>
      <c r="AN753" s="54"/>
      <c r="AO753" s="54"/>
      <c r="AP753" s="54"/>
      <c r="AQ753" s="54"/>
      <c r="AR753" s="54"/>
      <c r="AS753" s="54"/>
      <c r="AT753" s="54"/>
    </row>
    <row r="754">
      <c r="A754" s="54"/>
      <c r="B754" s="54"/>
      <c r="C754" s="54"/>
      <c r="D754" s="54"/>
      <c r="E754" s="54"/>
      <c r="F754" s="54"/>
      <c r="G754" s="54"/>
      <c r="H754" s="54"/>
      <c r="I754" s="54"/>
      <c r="J754" s="54"/>
      <c r="K754" s="54"/>
      <c r="L754" s="54"/>
      <c r="M754" s="54"/>
      <c r="N754" s="54"/>
      <c r="O754" s="54"/>
      <c r="P754" s="54"/>
      <c r="Q754" s="54"/>
      <c r="R754" s="54"/>
      <c r="S754" s="54"/>
      <c r="T754" s="54"/>
      <c r="U754" s="54"/>
      <c r="V754" s="54"/>
      <c r="W754" s="54"/>
      <c r="X754" s="54"/>
      <c r="Y754" s="350"/>
      <c r="Z754" s="54"/>
      <c r="AA754" s="54"/>
      <c r="AB754" s="54"/>
      <c r="AC754" s="54"/>
      <c r="AD754" s="54"/>
      <c r="AE754" s="54"/>
      <c r="AF754" s="54"/>
      <c r="AG754" s="54"/>
      <c r="AH754" s="54"/>
      <c r="AI754" s="54"/>
      <c r="AJ754" s="54"/>
      <c r="AK754" s="54"/>
      <c r="AL754" s="54"/>
      <c r="AM754" s="54"/>
      <c r="AN754" s="54"/>
      <c r="AO754" s="54"/>
      <c r="AP754" s="54"/>
      <c r="AQ754" s="54"/>
      <c r="AR754" s="54"/>
      <c r="AS754" s="54"/>
      <c r="AT754" s="54"/>
    </row>
    <row r="755">
      <c r="A755" s="54"/>
      <c r="B755" s="54"/>
      <c r="C755" s="54"/>
      <c r="D755" s="54"/>
      <c r="E755" s="54"/>
      <c r="F755" s="54"/>
      <c r="G755" s="54"/>
      <c r="H755" s="54"/>
      <c r="I755" s="54"/>
      <c r="J755" s="54"/>
      <c r="K755" s="54"/>
      <c r="L755" s="54"/>
      <c r="M755" s="54"/>
      <c r="N755" s="54"/>
      <c r="O755" s="54"/>
      <c r="P755" s="54"/>
      <c r="Q755" s="54"/>
      <c r="R755" s="54"/>
      <c r="S755" s="54"/>
      <c r="T755" s="54"/>
      <c r="U755" s="54"/>
      <c r="V755" s="54"/>
      <c r="W755" s="54"/>
      <c r="X755" s="54"/>
      <c r="Y755" s="350"/>
      <c r="Z755" s="54"/>
      <c r="AA755" s="54"/>
      <c r="AB755" s="54"/>
      <c r="AC755" s="54"/>
      <c r="AD755" s="54"/>
      <c r="AE755" s="54"/>
      <c r="AF755" s="54"/>
      <c r="AG755" s="54"/>
      <c r="AH755" s="54"/>
      <c r="AI755" s="54"/>
      <c r="AJ755" s="54"/>
      <c r="AK755" s="54"/>
      <c r="AL755" s="54"/>
      <c r="AM755" s="54"/>
      <c r="AN755" s="54"/>
      <c r="AO755" s="54"/>
      <c r="AP755" s="54"/>
      <c r="AQ755" s="54"/>
      <c r="AR755" s="54"/>
      <c r="AS755" s="54"/>
      <c r="AT755" s="54"/>
    </row>
    <row r="756">
      <c r="A756" s="54"/>
      <c r="B756" s="54"/>
      <c r="C756" s="54"/>
      <c r="D756" s="54"/>
      <c r="E756" s="54"/>
      <c r="F756" s="54"/>
      <c r="G756" s="54"/>
      <c r="H756" s="54"/>
      <c r="I756" s="54"/>
      <c r="J756" s="54"/>
      <c r="K756" s="54"/>
      <c r="L756" s="54"/>
      <c r="M756" s="54"/>
      <c r="N756" s="54"/>
      <c r="O756" s="54"/>
      <c r="P756" s="54"/>
      <c r="Q756" s="54"/>
      <c r="R756" s="54"/>
      <c r="S756" s="54"/>
      <c r="T756" s="54"/>
      <c r="U756" s="54"/>
      <c r="V756" s="54"/>
      <c r="W756" s="54"/>
      <c r="X756" s="54"/>
      <c r="Y756" s="350"/>
      <c r="Z756" s="54"/>
      <c r="AA756" s="54"/>
      <c r="AB756" s="54"/>
      <c r="AC756" s="54"/>
      <c r="AD756" s="54"/>
      <c r="AE756" s="54"/>
      <c r="AF756" s="54"/>
      <c r="AG756" s="54"/>
      <c r="AH756" s="54"/>
      <c r="AI756" s="54"/>
      <c r="AJ756" s="54"/>
      <c r="AK756" s="54"/>
      <c r="AL756" s="54"/>
      <c r="AM756" s="54"/>
      <c r="AN756" s="54"/>
      <c r="AO756" s="54"/>
      <c r="AP756" s="54"/>
      <c r="AQ756" s="54"/>
      <c r="AR756" s="54"/>
      <c r="AS756" s="54"/>
      <c r="AT756" s="54"/>
    </row>
    <row r="757">
      <c r="A757" s="54"/>
      <c r="B757" s="54"/>
      <c r="C757" s="54"/>
      <c r="D757" s="54"/>
      <c r="E757" s="54"/>
      <c r="F757" s="54"/>
      <c r="G757" s="54"/>
      <c r="H757" s="54"/>
      <c r="I757" s="54"/>
      <c r="J757" s="54"/>
      <c r="K757" s="54"/>
      <c r="L757" s="54"/>
      <c r="M757" s="54"/>
      <c r="N757" s="54"/>
      <c r="O757" s="54"/>
      <c r="P757" s="54"/>
      <c r="Q757" s="54"/>
      <c r="R757" s="54"/>
      <c r="S757" s="54"/>
      <c r="T757" s="54"/>
      <c r="U757" s="54"/>
      <c r="V757" s="54"/>
      <c r="W757" s="54"/>
      <c r="X757" s="54"/>
      <c r="Y757" s="350"/>
      <c r="Z757" s="54"/>
      <c r="AA757" s="54"/>
      <c r="AB757" s="54"/>
      <c r="AC757" s="54"/>
      <c r="AD757" s="54"/>
      <c r="AE757" s="54"/>
      <c r="AF757" s="54"/>
      <c r="AG757" s="54"/>
      <c r="AH757" s="54"/>
      <c r="AI757" s="54"/>
      <c r="AJ757" s="54"/>
      <c r="AK757" s="54"/>
      <c r="AL757" s="54"/>
      <c r="AM757" s="54"/>
      <c r="AN757" s="54"/>
      <c r="AO757" s="54"/>
      <c r="AP757" s="54"/>
      <c r="AQ757" s="54"/>
      <c r="AR757" s="54"/>
      <c r="AS757" s="54"/>
      <c r="AT757" s="54"/>
    </row>
    <row r="758">
      <c r="A758" s="54"/>
      <c r="B758" s="54"/>
      <c r="C758" s="54"/>
      <c r="D758" s="54"/>
      <c r="E758" s="54"/>
      <c r="F758" s="54"/>
      <c r="G758" s="54"/>
      <c r="H758" s="54"/>
      <c r="I758" s="54"/>
      <c r="J758" s="54"/>
      <c r="K758" s="54"/>
      <c r="L758" s="54"/>
      <c r="M758" s="54"/>
      <c r="N758" s="54"/>
      <c r="O758" s="54"/>
      <c r="P758" s="54"/>
      <c r="Q758" s="54"/>
      <c r="R758" s="54"/>
      <c r="S758" s="54"/>
      <c r="T758" s="54"/>
      <c r="U758" s="54"/>
      <c r="V758" s="54"/>
      <c r="W758" s="54"/>
      <c r="X758" s="54"/>
      <c r="Y758" s="350"/>
      <c r="Z758" s="54"/>
      <c r="AA758" s="54"/>
      <c r="AB758" s="54"/>
      <c r="AC758" s="54"/>
      <c r="AD758" s="54"/>
      <c r="AE758" s="54"/>
      <c r="AF758" s="54"/>
      <c r="AG758" s="54"/>
      <c r="AH758" s="54"/>
      <c r="AI758" s="54"/>
      <c r="AJ758" s="54"/>
      <c r="AK758" s="54"/>
      <c r="AL758" s="54"/>
      <c r="AM758" s="54"/>
      <c r="AN758" s="54"/>
      <c r="AO758" s="54"/>
      <c r="AP758" s="54"/>
      <c r="AQ758" s="54"/>
      <c r="AR758" s="54"/>
      <c r="AS758" s="54"/>
      <c r="AT758" s="54"/>
    </row>
    <row r="759">
      <c r="A759" s="54"/>
      <c r="B759" s="54"/>
      <c r="C759" s="54"/>
      <c r="D759" s="54"/>
      <c r="E759" s="54"/>
      <c r="F759" s="54"/>
      <c r="G759" s="54"/>
      <c r="H759" s="54"/>
      <c r="I759" s="54"/>
      <c r="J759" s="54"/>
      <c r="K759" s="54"/>
      <c r="L759" s="54"/>
      <c r="M759" s="54"/>
      <c r="N759" s="54"/>
      <c r="O759" s="54"/>
      <c r="P759" s="54"/>
      <c r="Q759" s="54"/>
      <c r="R759" s="54"/>
      <c r="S759" s="54"/>
      <c r="T759" s="54"/>
      <c r="U759" s="54"/>
      <c r="V759" s="54"/>
      <c r="W759" s="54"/>
      <c r="X759" s="54"/>
      <c r="Y759" s="350"/>
      <c r="Z759" s="54"/>
      <c r="AA759" s="54"/>
      <c r="AB759" s="54"/>
      <c r="AC759" s="54"/>
      <c r="AD759" s="54"/>
      <c r="AE759" s="54"/>
      <c r="AF759" s="54"/>
      <c r="AG759" s="54"/>
      <c r="AH759" s="54"/>
      <c r="AI759" s="54"/>
      <c r="AJ759" s="54"/>
      <c r="AK759" s="54"/>
      <c r="AL759" s="54"/>
      <c r="AM759" s="54"/>
      <c r="AN759" s="54"/>
      <c r="AO759" s="54"/>
      <c r="AP759" s="54"/>
      <c r="AQ759" s="54"/>
      <c r="AR759" s="54"/>
      <c r="AS759" s="54"/>
      <c r="AT759" s="54"/>
    </row>
    <row r="760">
      <c r="A760" s="54"/>
      <c r="B760" s="54"/>
      <c r="C760" s="54"/>
      <c r="D760" s="54"/>
      <c r="E760" s="54"/>
      <c r="F760" s="54"/>
      <c r="G760" s="54"/>
      <c r="H760" s="54"/>
      <c r="I760" s="54"/>
      <c r="J760" s="54"/>
      <c r="K760" s="54"/>
      <c r="L760" s="54"/>
      <c r="M760" s="54"/>
      <c r="N760" s="54"/>
      <c r="O760" s="54"/>
      <c r="P760" s="54"/>
      <c r="Q760" s="54"/>
      <c r="R760" s="54"/>
      <c r="S760" s="54"/>
      <c r="T760" s="54"/>
      <c r="U760" s="54"/>
      <c r="V760" s="54"/>
      <c r="W760" s="54"/>
      <c r="X760" s="54"/>
      <c r="Y760" s="350"/>
      <c r="Z760" s="54"/>
      <c r="AA760" s="54"/>
      <c r="AB760" s="54"/>
      <c r="AC760" s="54"/>
      <c r="AD760" s="54"/>
      <c r="AE760" s="54"/>
      <c r="AF760" s="54"/>
      <c r="AG760" s="54"/>
      <c r="AH760" s="54"/>
      <c r="AI760" s="54"/>
      <c r="AJ760" s="54"/>
      <c r="AK760" s="54"/>
      <c r="AL760" s="54"/>
      <c r="AM760" s="54"/>
      <c r="AN760" s="54"/>
      <c r="AO760" s="54"/>
      <c r="AP760" s="54"/>
      <c r="AQ760" s="54"/>
      <c r="AR760" s="54"/>
      <c r="AS760" s="54"/>
      <c r="AT760" s="54"/>
    </row>
    <row r="761">
      <c r="A761" s="54"/>
      <c r="B761" s="54"/>
      <c r="C761" s="54"/>
      <c r="D761" s="54"/>
      <c r="E761" s="54"/>
      <c r="F761" s="54"/>
      <c r="G761" s="54"/>
      <c r="H761" s="54"/>
      <c r="I761" s="54"/>
      <c r="J761" s="54"/>
      <c r="K761" s="54"/>
      <c r="L761" s="54"/>
      <c r="M761" s="54"/>
      <c r="N761" s="54"/>
      <c r="O761" s="54"/>
      <c r="P761" s="54"/>
      <c r="Q761" s="54"/>
      <c r="R761" s="54"/>
      <c r="S761" s="54"/>
      <c r="T761" s="54"/>
      <c r="U761" s="54"/>
      <c r="V761" s="54"/>
      <c r="W761" s="54"/>
      <c r="X761" s="54"/>
      <c r="Y761" s="350"/>
      <c r="Z761" s="54"/>
      <c r="AA761" s="54"/>
      <c r="AB761" s="54"/>
      <c r="AC761" s="54"/>
      <c r="AD761" s="54"/>
      <c r="AE761" s="54"/>
      <c r="AF761" s="54"/>
      <c r="AG761" s="54"/>
      <c r="AH761" s="54"/>
      <c r="AI761" s="54"/>
      <c r="AJ761" s="54"/>
      <c r="AK761" s="54"/>
      <c r="AL761" s="54"/>
      <c r="AM761" s="54"/>
      <c r="AN761" s="54"/>
      <c r="AO761" s="54"/>
      <c r="AP761" s="54"/>
      <c r="AQ761" s="54"/>
      <c r="AR761" s="54"/>
      <c r="AS761" s="54"/>
      <c r="AT761" s="54"/>
    </row>
    <row r="762">
      <c r="A762" s="54"/>
      <c r="B762" s="54"/>
      <c r="C762" s="54"/>
      <c r="D762" s="54"/>
      <c r="E762" s="54"/>
      <c r="F762" s="54"/>
      <c r="G762" s="54"/>
      <c r="H762" s="54"/>
      <c r="I762" s="54"/>
      <c r="J762" s="54"/>
      <c r="K762" s="54"/>
      <c r="L762" s="54"/>
      <c r="M762" s="54"/>
      <c r="N762" s="54"/>
      <c r="O762" s="54"/>
      <c r="P762" s="54"/>
      <c r="Q762" s="54"/>
      <c r="R762" s="54"/>
      <c r="S762" s="54"/>
      <c r="T762" s="54"/>
      <c r="U762" s="54"/>
      <c r="V762" s="54"/>
      <c r="W762" s="54"/>
      <c r="X762" s="54"/>
      <c r="Y762" s="350"/>
      <c r="Z762" s="54"/>
      <c r="AA762" s="54"/>
      <c r="AB762" s="54"/>
      <c r="AC762" s="54"/>
      <c r="AD762" s="54"/>
      <c r="AE762" s="54"/>
      <c r="AF762" s="54"/>
      <c r="AG762" s="54"/>
      <c r="AH762" s="54"/>
      <c r="AI762" s="54"/>
      <c r="AJ762" s="54"/>
      <c r="AK762" s="54"/>
      <c r="AL762" s="54"/>
      <c r="AM762" s="54"/>
      <c r="AN762" s="54"/>
      <c r="AO762" s="54"/>
      <c r="AP762" s="54"/>
      <c r="AQ762" s="54"/>
      <c r="AR762" s="54"/>
      <c r="AS762" s="54"/>
      <c r="AT762" s="54"/>
    </row>
    <row r="763">
      <c r="A763" s="54"/>
      <c r="B763" s="54"/>
      <c r="C763" s="54"/>
      <c r="D763" s="54"/>
      <c r="E763" s="54"/>
      <c r="F763" s="54"/>
      <c r="G763" s="54"/>
      <c r="H763" s="54"/>
      <c r="I763" s="54"/>
      <c r="J763" s="54"/>
      <c r="K763" s="54"/>
      <c r="L763" s="54"/>
      <c r="M763" s="54"/>
      <c r="N763" s="54"/>
      <c r="O763" s="54"/>
      <c r="P763" s="54"/>
      <c r="Q763" s="54"/>
      <c r="R763" s="54"/>
      <c r="S763" s="54"/>
      <c r="T763" s="54"/>
      <c r="U763" s="54"/>
      <c r="V763" s="54"/>
      <c r="W763" s="54"/>
      <c r="X763" s="54"/>
      <c r="Y763" s="350"/>
      <c r="Z763" s="54"/>
      <c r="AA763" s="54"/>
      <c r="AB763" s="54"/>
      <c r="AC763" s="54"/>
      <c r="AD763" s="54"/>
      <c r="AE763" s="54"/>
      <c r="AF763" s="54"/>
      <c r="AG763" s="54"/>
      <c r="AH763" s="54"/>
      <c r="AI763" s="54"/>
      <c r="AJ763" s="54"/>
      <c r="AK763" s="54"/>
      <c r="AL763" s="54"/>
      <c r="AM763" s="54"/>
      <c r="AN763" s="54"/>
      <c r="AO763" s="54"/>
      <c r="AP763" s="54"/>
      <c r="AQ763" s="54"/>
      <c r="AR763" s="54"/>
      <c r="AS763" s="54"/>
      <c r="AT763" s="54"/>
    </row>
    <row r="764">
      <c r="A764" s="54"/>
      <c r="B764" s="54"/>
      <c r="C764" s="54"/>
      <c r="D764" s="54"/>
      <c r="E764" s="54"/>
      <c r="F764" s="54"/>
      <c r="G764" s="54"/>
      <c r="H764" s="54"/>
      <c r="I764" s="54"/>
      <c r="J764" s="54"/>
      <c r="K764" s="54"/>
      <c r="L764" s="54"/>
      <c r="M764" s="54"/>
      <c r="N764" s="54"/>
      <c r="O764" s="54"/>
      <c r="P764" s="54"/>
      <c r="Q764" s="54"/>
      <c r="R764" s="54"/>
      <c r="S764" s="54"/>
      <c r="T764" s="54"/>
      <c r="U764" s="54"/>
      <c r="V764" s="54"/>
      <c r="W764" s="54"/>
      <c r="X764" s="54"/>
      <c r="Y764" s="350"/>
      <c r="Z764" s="54"/>
      <c r="AA764" s="54"/>
      <c r="AB764" s="54"/>
      <c r="AC764" s="54"/>
      <c r="AD764" s="54"/>
      <c r="AE764" s="54"/>
      <c r="AF764" s="54"/>
      <c r="AG764" s="54"/>
      <c r="AH764" s="54"/>
      <c r="AI764" s="54"/>
      <c r="AJ764" s="54"/>
      <c r="AK764" s="54"/>
      <c r="AL764" s="54"/>
      <c r="AM764" s="54"/>
      <c r="AN764" s="54"/>
      <c r="AO764" s="54"/>
      <c r="AP764" s="54"/>
      <c r="AQ764" s="54"/>
      <c r="AR764" s="54"/>
      <c r="AS764" s="54"/>
      <c r="AT764" s="54"/>
    </row>
    <row r="765">
      <c r="A765" s="54"/>
      <c r="B765" s="54"/>
      <c r="C765" s="54"/>
      <c r="D765" s="54"/>
      <c r="E765" s="54"/>
      <c r="F765" s="54"/>
      <c r="G765" s="54"/>
      <c r="H765" s="54"/>
      <c r="I765" s="54"/>
      <c r="J765" s="54"/>
      <c r="K765" s="54"/>
      <c r="L765" s="54"/>
      <c r="M765" s="54"/>
      <c r="N765" s="54"/>
      <c r="O765" s="54"/>
      <c r="P765" s="54"/>
      <c r="Q765" s="54"/>
      <c r="R765" s="54"/>
      <c r="S765" s="54"/>
      <c r="T765" s="54"/>
      <c r="U765" s="54"/>
      <c r="V765" s="54"/>
      <c r="W765" s="54"/>
      <c r="X765" s="54"/>
      <c r="Y765" s="350"/>
      <c r="Z765" s="54"/>
      <c r="AA765" s="54"/>
      <c r="AB765" s="54"/>
      <c r="AC765" s="54"/>
      <c r="AD765" s="54"/>
      <c r="AE765" s="54"/>
      <c r="AF765" s="54"/>
      <c r="AG765" s="54"/>
      <c r="AH765" s="54"/>
      <c r="AI765" s="54"/>
      <c r="AJ765" s="54"/>
      <c r="AK765" s="54"/>
      <c r="AL765" s="54"/>
      <c r="AM765" s="54"/>
      <c r="AN765" s="54"/>
      <c r="AO765" s="54"/>
      <c r="AP765" s="54"/>
      <c r="AQ765" s="54"/>
      <c r="AR765" s="54"/>
      <c r="AS765" s="54"/>
      <c r="AT765" s="54"/>
    </row>
    <row r="766">
      <c r="A766" s="54"/>
      <c r="B766" s="54"/>
      <c r="C766" s="54"/>
      <c r="D766" s="54"/>
      <c r="E766" s="54"/>
      <c r="F766" s="54"/>
      <c r="G766" s="54"/>
      <c r="H766" s="54"/>
      <c r="I766" s="54"/>
      <c r="J766" s="54"/>
      <c r="K766" s="54"/>
      <c r="L766" s="54"/>
      <c r="M766" s="54"/>
      <c r="N766" s="54"/>
      <c r="O766" s="54"/>
      <c r="P766" s="54"/>
      <c r="Q766" s="54"/>
      <c r="R766" s="54"/>
      <c r="S766" s="54"/>
      <c r="T766" s="54"/>
      <c r="U766" s="54"/>
      <c r="V766" s="54"/>
      <c r="W766" s="54"/>
      <c r="X766" s="54"/>
      <c r="Y766" s="350"/>
      <c r="Z766" s="54"/>
      <c r="AA766" s="54"/>
      <c r="AB766" s="54"/>
      <c r="AC766" s="54"/>
      <c r="AD766" s="54"/>
      <c r="AE766" s="54"/>
      <c r="AF766" s="54"/>
      <c r="AG766" s="54"/>
      <c r="AH766" s="54"/>
      <c r="AI766" s="54"/>
      <c r="AJ766" s="54"/>
      <c r="AK766" s="54"/>
      <c r="AL766" s="54"/>
      <c r="AM766" s="54"/>
      <c r="AN766" s="54"/>
      <c r="AO766" s="54"/>
      <c r="AP766" s="54"/>
      <c r="AQ766" s="54"/>
      <c r="AR766" s="54"/>
      <c r="AS766" s="54"/>
      <c r="AT766" s="54"/>
    </row>
    <row r="767">
      <c r="A767" s="54"/>
      <c r="B767" s="54"/>
      <c r="C767" s="54"/>
      <c r="D767" s="54"/>
      <c r="E767" s="54"/>
      <c r="F767" s="54"/>
      <c r="G767" s="54"/>
      <c r="H767" s="54"/>
      <c r="I767" s="54"/>
      <c r="J767" s="54"/>
      <c r="K767" s="54"/>
      <c r="L767" s="54"/>
      <c r="M767" s="54"/>
      <c r="N767" s="54"/>
      <c r="O767" s="54"/>
      <c r="P767" s="54"/>
      <c r="Q767" s="54"/>
      <c r="R767" s="54"/>
      <c r="S767" s="54"/>
      <c r="T767" s="54"/>
      <c r="U767" s="54"/>
      <c r="V767" s="54"/>
      <c r="W767" s="54"/>
      <c r="X767" s="54"/>
      <c r="Y767" s="350"/>
      <c r="Z767" s="54"/>
      <c r="AA767" s="54"/>
      <c r="AB767" s="54"/>
      <c r="AC767" s="54"/>
      <c r="AD767" s="54"/>
      <c r="AE767" s="54"/>
      <c r="AF767" s="54"/>
      <c r="AG767" s="54"/>
      <c r="AH767" s="54"/>
      <c r="AI767" s="54"/>
      <c r="AJ767" s="54"/>
      <c r="AK767" s="54"/>
      <c r="AL767" s="54"/>
      <c r="AM767" s="54"/>
      <c r="AN767" s="54"/>
      <c r="AO767" s="54"/>
      <c r="AP767" s="54"/>
      <c r="AQ767" s="54"/>
      <c r="AR767" s="54"/>
      <c r="AS767" s="54"/>
      <c r="AT767" s="54"/>
    </row>
    <row r="768">
      <c r="A768" s="54"/>
      <c r="B768" s="54"/>
      <c r="C768" s="54"/>
      <c r="D768" s="54"/>
      <c r="E768" s="54"/>
      <c r="F768" s="54"/>
      <c r="G768" s="54"/>
      <c r="H768" s="54"/>
      <c r="I768" s="54"/>
      <c r="J768" s="54"/>
      <c r="K768" s="54"/>
      <c r="L768" s="54"/>
      <c r="M768" s="54"/>
      <c r="N768" s="54"/>
      <c r="O768" s="54"/>
      <c r="P768" s="54"/>
      <c r="Q768" s="54"/>
      <c r="R768" s="54"/>
      <c r="S768" s="54"/>
      <c r="T768" s="54"/>
      <c r="U768" s="54"/>
      <c r="V768" s="54"/>
      <c r="W768" s="54"/>
      <c r="X768" s="54"/>
      <c r="Y768" s="350"/>
      <c r="Z768" s="54"/>
      <c r="AA768" s="54"/>
      <c r="AB768" s="54"/>
      <c r="AC768" s="54"/>
      <c r="AD768" s="54"/>
      <c r="AE768" s="54"/>
      <c r="AF768" s="54"/>
      <c r="AG768" s="54"/>
      <c r="AH768" s="54"/>
      <c r="AI768" s="54"/>
      <c r="AJ768" s="54"/>
      <c r="AK768" s="54"/>
      <c r="AL768" s="54"/>
      <c r="AM768" s="54"/>
      <c r="AN768" s="54"/>
      <c r="AO768" s="54"/>
      <c r="AP768" s="54"/>
      <c r="AQ768" s="54"/>
      <c r="AR768" s="54"/>
      <c r="AS768" s="54"/>
      <c r="AT768" s="54"/>
    </row>
    <row r="769">
      <c r="A769" s="54"/>
      <c r="B769" s="54"/>
      <c r="C769" s="54"/>
      <c r="D769" s="54"/>
      <c r="E769" s="54"/>
      <c r="F769" s="54"/>
      <c r="G769" s="54"/>
      <c r="H769" s="54"/>
      <c r="I769" s="54"/>
      <c r="J769" s="54"/>
      <c r="K769" s="54"/>
      <c r="L769" s="54"/>
      <c r="M769" s="54"/>
      <c r="N769" s="54"/>
      <c r="O769" s="54"/>
      <c r="P769" s="54"/>
      <c r="Q769" s="54"/>
      <c r="R769" s="54"/>
      <c r="S769" s="54"/>
      <c r="T769" s="54"/>
      <c r="U769" s="54"/>
      <c r="V769" s="54"/>
      <c r="W769" s="54"/>
      <c r="X769" s="54"/>
      <c r="Y769" s="350"/>
      <c r="Z769" s="54"/>
      <c r="AA769" s="54"/>
      <c r="AB769" s="54"/>
      <c r="AC769" s="54"/>
      <c r="AD769" s="54"/>
      <c r="AE769" s="54"/>
      <c r="AF769" s="54"/>
      <c r="AG769" s="54"/>
      <c r="AH769" s="54"/>
      <c r="AI769" s="54"/>
      <c r="AJ769" s="54"/>
      <c r="AK769" s="54"/>
      <c r="AL769" s="54"/>
      <c r="AM769" s="54"/>
      <c r="AN769" s="54"/>
      <c r="AO769" s="54"/>
      <c r="AP769" s="54"/>
      <c r="AQ769" s="54"/>
      <c r="AR769" s="54"/>
      <c r="AS769" s="54"/>
      <c r="AT769" s="54"/>
    </row>
    <row r="770">
      <c r="A770" s="54"/>
      <c r="B770" s="54"/>
      <c r="C770" s="54"/>
      <c r="D770" s="54"/>
      <c r="E770" s="54"/>
      <c r="F770" s="54"/>
      <c r="G770" s="54"/>
      <c r="H770" s="54"/>
      <c r="I770" s="54"/>
      <c r="J770" s="54"/>
      <c r="K770" s="54"/>
      <c r="L770" s="54"/>
      <c r="M770" s="54"/>
      <c r="N770" s="54"/>
      <c r="O770" s="54"/>
      <c r="P770" s="54"/>
      <c r="Q770" s="54"/>
      <c r="R770" s="54"/>
      <c r="S770" s="54"/>
      <c r="T770" s="54"/>
      <c r="U770" s="54"/>
      <c r="V770" s="54"/>
      <c r="W770" s="54"/>
      <c r="X770" s="54"/>
      <c r="Y770" s="350"/>
      <c r="Z770" s="54"/>
      <c r="AA770" s="54"/>
      <c r="AB770" s="54"/>
      <c r="AC770" s="54"/>
      <c r="AD770" s="54"/>
      <c r="AE770" s="54"/>
      <c r="AF770" s="54"/>
      <c r="AG770" s="54"/>
      <c r="AH770" s="54"/>
      <c r="AI770" s="54"/>
      <c r="AJ770" s="54"/>
      <c r="AK770" s="54"/>
      <c r="AL770" s="54"/>
      <c r="AM770" s="54"/>
      <c r="AN770" s="54"/>
      <c r="AO770" s="54"/>
      <c r="AP770" s="54"/>
      <c r="AQ770" s="54"/>
      <c r="AR770" s="54"/>
      <c r="AS770" s="54"/>
      <c r="AT770" s="54"/>
    </row>
    <row r="771">
      <c r="A771" s="54"/>
      <c r="B771" s="54"/>
      <c r="C771" s="54"/>
      <c r="D771" s="54"/>
      <c r="E771" s="54"/>
      <c r="F771" s="54"/>
      <c r="G771" s="54"/>
      <c r="H771" s="54"/>
      <c r="I771" s="54"/>
      <c r="J771" s="54"/>
      <c r="K771" s="54"/>
      <c r="L771" s="54"/>
      <c r="M771" s="54"/>
      <c r="N771" s="54"/>
      <c r="O771" s="54"/>
      <c r="P771" s="54"/>
      <c r="Q771" s="54"/>
      <c r="R771" s="54"/>
      <c r="S771" s="54"/>
      <c r="T771" s="54"/>
      <c r="U771" s="54"/>
      <c r="V771" s="54"/>
      <c r="W771" s="54"/>
      <c r="X771" s="54"/>
      <c r="Y771" s="350"/>
      <c r="Z771" s="54"/>
      <c r="AA771" s="54"/>
      <c r="AB771" s="54"/>
      <c r="AC771" s="54"/>
      <c r="AD771" s="54"/>
      <c r="AE771" s="54"/>
      <c r="AF771" s="54"/>
      <c r="AG771" s="54"/>
      <c r="AH771" s="54"/>
      <c r="AI771" s="54"/>
      <c r="AJ771" s="54"/>
      <c r="AK771" s="54"/>
      <c r="AL771" s="54"/>
      <c r="AM771" s="54"/>
      <c r="AN771" s="54"/>
      <c r="AO771" s="54"/>
      <c r="AP771" s="54"/>
      <c r="AQ771" s="54"/>
      <c r="AR771" s="54"/>
      <c r="AS771" s="54"/>
      <c r="AT771" s="54"/>
    </row>
    <row r="772">
      <c r="A772" s="54"/>
      <c r="B772" s="54"/>
      <c r="C772" s="54"/>
      <c r="D772" s="54"/>
      <c r="E772" s="54"/>
      <c r="F772" s="54"/>
      <c r="G772" s="54"/>
      <c r="H772" s="54"/>
      <c r="I772" s="54"/>
      <c r="J772" s="54"/>
      <c r="K772" s="54"/>
      <c r="L772" s="54"/>
      <c r="M772" s="54"/>
      <c r="N772" s="54"/>
      <c r="O772" s="54"/>
      <c r="P772" s="54"/>
      <c r="Q772" s="54"/>
      <c r="R772" s="54"/>
      <c r="S772" s="54"/>
      <c r="T772" s="54"/>
      <c r="U772" s="54"/>
      <c r="V772" s="54"/>
      <c r="W772" s="54"/>
      <c r="X772" s="54"/>
      <c r="Y772" s="350"/>
      <c r="Z772" s="54"/>
      <c r="AA772" s="54"/>
      <c r="AB772" s="54"/>
      <c r="AC772" s="54"/>
      <c r="AD772" s="54"/>
      <c r="AE772" s="54"/>
      <c r="AF772" s="54"/>
      <c r="AG772" s="54"/>
      <c r="AH772" s="54"/>
      <c r="AI772" s="54"/>
      <c r="AJ772" s="54"/>
      <c r="AK772" s="54"/>
      <c r="AL772" s="54"/>
      <c r="AM772" s="54"/>
      <c r="AN772" s="54"/>
      <c r="AO772" s="54"/>
      <c r="AP772" s="54"/>
      <c r="AQ772" s="54"/>
      <c r="AR772" s="54"/>
      <c r="AS772" s="54"/>
      <c r="AT772" s="54"/>
    </row>
    <row r="773">
      <c r="A773" s="54"/>
      <c r="B773" s="54"/>
      <c r="C773" s="54"/>
      <c r="D773" s="54"/>
      <c r="E773" s="54"/>
      <c r="F773" s="54"/>
      <c r="G773" s="54"/>
      <c r="H773" s="54"/>
      <c r="I773" s="54"/>
      <c r="J773" s="54"/>
      <c r="K773" s="54"/>
      <c r="L773" s="54"/>
      <c r="M773" s="54"/>
      <c r="N773" s="54"/>
      <c r="O773" s="54"/>
      <c r="P773" s="54"/>
      <c r="Q773" s="54"/>
      <c r="R773" s="54"/>
      <c r="S773" s="54"/>
      <c r="T773" s="54"/>
      <c r="U773" s="54"/>
      <c r="V773" s="54"/>
      <c r="W773" s="54"/>
      <c r="X773" s="54"/>
      <c r="Y773" s="350"/>
      <c r="Z773" s="54"/>
      <c r="AA773" s="54"/>
      <c r="AB773" s="54"/>
      <c r="AC773" s="54"/>
      <c r="AD773" s="54"/>
      <c r="AE773" s="54"/>
      <c r="AF773" s="54"/>
      <c r="AG773" s="54"/>
      <c r="AH773" s="54"/>
      <c r="AI773" s="54"/>
      <c r="AJ773" s="54"/>
      <c r="AK773" s="54"/>
      <c r="AL773" s="54"/>
      <c r="AM773" s="54"/>
      <c r="AN773" s="54"/>
      <c r="AO773" s="54"/>
      <c r="AP773" s="54"/>
      <c r="AQ773" s="54"/>
      <c r="AR773" s="54"/>
      <c r="AS773" s="54"/>
      <c r="AT773" s="54"/>
    </row>
    <row r="774">
      <c r="A774" s="54"/>
      <c r="B774" s="54"/>
      <c r="C774" s="54"/>
      <c r="D774" s="54"/>
      <c r="E774" s="54"/>
      <c r="F774" s="54"/>
      <c r="G774" s="54"/>
      <c r="H774" s="54"/>
      <c r="I774" s="54"/>
      <c r="J774" s="54"/>
      <c r="K774" s="54"/>
      <c r="L774" s="54"/>
      <c r="M774" s="54"/>
      <c r="N774" s="54"/>
      <c r="O774" s="54"/>
      <c r="P774" s="54"/>
      <c r="Q774" s="54"/>
      <c r="R774" s="54"/>
      <c r="S774" s="54"/>
      <c r="T774" s="54"/>
      <c r="U774" s="54"/>
      <c r="V774" s="54"/>
      <c r="W774" s="54"/>
      <c r="X774" s="54"/>
      <c r="Y774" s="350"/>
      <c r="Z774" s="54"/>
      <c r="AA774" s="54"/>
      <c r="AB774" s="54"/>
      <c r="AC774" s="54"/>
      <c r="AD774" s="54"/>
      <c r="AE774" s="54"/>
      <c r="AF774" s="54"/>
      <c r="AG774" s="54"/>
      <c r="AH774" s="54"/>
      <c r="AI774" s="54"/>
      <c r="AJ774" s="54"/>
      <c r="AK774" s="54"/>
      <c r="AL774" s="54"/>
      <c r="AM774" s="54"/>
      <c r="AN774" s="54"/>
      <c r="AO774" s="54"/>
      <c r="AP774" s="54"/>
      <c r="AQ774" s="54"/>
      <c r="AR774" s="54"/>
      <c r="AS774" s="54"/>
      <c r="AT774" s="54"/>
    </row>
    <row r="775">
      <c r="A775" s="54"/>
      <c r="B775" s="54"/>
      <c r="C775" s="54"/>
      <c r="D775" s="54"/>
      <c r="E775" s="54"/>
      <c r="F775" s="54"/>
      <c r="G775" s="54"/>
      <c r="H775" s="54"/>
      <c r="I775" s="54"/>
      <c r="J775" s="54"/>
      <c r="K775" s="54"/>
      <c r="L775" s="54"/>
      <c r="M775" s="54"/>
      <c r="N775" s="54"/>
      <c r="O775" s="54"/>
      <c r="P775" s="54"/>
      <c r="Q775" s="54"/>
      <c r="R775" s="54"/>
      <c r="S775" s="54"/>
      <c r="T775" s="54"/>
      <c r="U775" s="54"/>
      <c r="V775" s="54"/>
      <c r="W775" s="54"/>
      <c r="X775" s="54"/>
      <c r="Y775" s="350"/>
      <c r="Z775" s="54"/>
      <c r="AA775" s="54"/>
      <c r="AB775" s="54"/>
      <c r="AC775" s="54"/>
      <c r="AD775" s="54"/>
      <c r="AE775" s="54"/>
      <c r="AF775" s="54"/>
      <c r="AG775" s="54"/>
      <c r="AH775" s="54"/>
      <c r="AI775" s="54"/>
      <c r="AJ775" s="54"/>
      <c r="AK775" s="54"/>
      <c r="AL775" s="54"/>
      <c r="AM775" s="54"/>
      <c r="AN775" s="54"/>
      <c r="AO775" s="54"/>
      <c r="AP775" s="54"/>
      <c r="AQ775" s="54"/>
      <c r="AR775" s="54"/>
      <c r="AS775" s="54"/>
      <c r="AT775" s="54"/>
    </row>
    <row r="776">
      <c r="A776" s="54"/>
      <c r="B776" s="54"/>
      <c r="C776" s="54"/>
      <c r="D776" s="54"/>
      <c r="E776" s="54"/>
      <c r="F776" s="54"/>
      <c r="G776" s="54"/>
      <c r="H776" s="54"/>
      <c r="I776" s="54"/>
      <c r="J776" s="54"/>
      <c r="K776" s="54"/>
      <c r="L776" s="54"/>
      <c r="M776" s="54"/>
      <c r="N776" s="54"/>
      <c r="O776" s="54"/>
      <c r="P776" s="54"/>
      <c r="Q776" s="54"/>
      <c r="R776" s="54"/>
      <c r="S776" s="54"/>
      <c r="T776" s="54"/>
      <c r="U776" s="54"/>
      <c r="V776" s="54"/>
      <c r="W776" s="54"/>
      <c r="X776" s="54"/>
      <c r="Y776" s="350"/>
      <c r="Z776" s="54"/>
      <c r="AA776" s="54"/>
      <c r="AB776" s="54"/>
      <c r="AC776" s="54"/>
      <c r="AD776" s="54"/>
      <c r="AE776" s="54"/>
      <c r="AF776" s="54"/>
      <c r="AG776" s="54"/>
      <c r="AH776" s="54"/>
      <c r="AI776" s="54"/>
      <c r="AJ776" s="54"/>
      <c r="AK776" s="54"/>
      <c r="AL776" s="54"/>
      <c r="AM776" s="54"/>
      <c r="AN776" s="54"/>
      <c r="AO776" s="54"/>
      <c r="AP776" s="54"/>
      <c r="AQ776" s="54"/>
      <c r="AR776" s="54"/>
      <c r="AS776" s="54"/>
      <c r="AT776" s="54"/>
    </row>
    <row r="777">
      <c r="A777" s="54"/>
      <c r="B777" s="54"/>
      <c r="C777" s="54"/>
      <c r="D777" s="54"/>
      <c r="E777" s="54"/>
      <c r="F777" s="54"/>
      <c r="G777" s="54"/>
      <c r="H777" s="54"/>
      <c r="I777" s="54"/>
      <c r="J777" s="54"/>
      <c r="K777" s="54"/>
      <c r="L777" s="54"/>
      <c r="M777" s="54"/>
      <c r="N777" s="54"/>
      <c r="O777" s="54"/>
      <c r="P777" s="54"/>
      <c r="Q777" s="54"/>
      <c r="R777" s="54"/>
      <c r="S777" s="54"/>
      <c r="T777" s="54"/>
      <c r="U777" s="54"/>
      <c r="V777" s="54"/>
      <c r="W777" s="54"/>
      <c r="X777" s="54"/>
      <c r="Y777" s="350"/>
      <c r="Z777" s="54"/>
      <c r="AA777" s="54"/>
      <c r="AB777" s="54"/>
      <c r="AC777" s="54"/>
      <c r="AD777" s="54"/>
      <c r="AE777" s="54"/>
      <c r="AF777" s="54"/>
      <c r="AG777" s="54"/>
      <c r="AH777" s="54"/>
      <c r="AI777" s="54"/>
      <c r="AJ777" s="54"/>
      <c r="AK777" s="54"/>
      <c r="AL777" s="54"/>
      <c r="AM777" s="54"/>
      <c r="AN777" s="54"/>
      <c r="AO777" s="54"/>
      <c r="AP777" s="54"/>
      <c r="AQ777" s="54"/>
      <c r="AR777" s="54"/>
      <c r="AS777" s="54"/>
      <c r="AT777" s="54"/>
    </row>
    <row r="778">
      <c r="A778" s="54"/>
      <c r="B778" s="54"/>
      <c r="C778" s="54"/>
      <c r="D778" s="54"/>
      <c r="E778" s="54"/>
      <c r="F778" s="54"/>
      <c r="G778" s="54"/>
      <c r="H778" s="54"/>
      <c r="I778" s="54"/>
      <c r="J778" s="54"/>
      <c r="K778" s="54"/>
      <c r="L778" s="54"/>
      <c r="M778" s="54"/>
      <c r="N778" s="54"/>
      <c r="O778" s="54"/>
      <c r="P778" s="54"/>
      <c r="Q778" s="54"/>
      <c r="R778" s="54"/>
      <c r="S778" s="54"/>
      <c r="T778" s="54"/>
      <c r="U778" s="54"/>
      <c r="V778" s="54"/>
      <c r="W778" s="54"/>
      <c r="X778" s="54"/>
      <c r="Y778" s="350"/>
      <c r="Z778" s="54"/>
      <c r="AA778" s="54"/>
      <c r="AB778" s="54"/>
      <c r="AC778" s="54"/>
      <c r="AD778" s="54"/>
      <c r="AE778" s="54"/>
      <c r="AF778" s="54"/>
      <c r="AG778" s="54"/>
      <c r="AH778" s="54"/>
      <c r="AI778" s="54"/>
      <c r="AJ778" s="54"/>
      <c r="AK778" s="54"/>
      <c r="AL778" s="54"/>
      <c r="AM778" s="54"/>
      <c r="AN778" s="54"/>
      <c r="AO778" s="54"/>
      <c r="AP778" s="54"/>
      <c r="AQ778" s="54"/>
      <c r="AR778" s="54"/>
      <c r="AS778" s="54"/>
      <c r="AT778" s="54"/>
    </row>
    <row r="779">
      <c r="A779" s="54"/>
      <c r="B779" s="54"/>
      <c r="C779" s="54"/>
      <c r="D779" s="54"/>
      <c r="E779" s="54"/>
      <c r="F779" s="54"/>
      <c r="G779" s="54"/>
      <c r="H779" s="54"/>
      <c r="I779" s="54"/>
      <c r="J779" s="54"/>
      <c r="K779" s="54"/>
      <c r="L779" s="54"/>
      <c r="M779" s="54"/>
      <c r="N779" s="54"/>
      <c r="O779" s="54"/>
      <c r="P779" s="54"/>
      <c r="Q779" s="54"/>
      <c r="R779" s="54"/>
      <c r="S779" s="54"/>
      <c r="T779" s="54"/>
      <c r="U779" s="54"/>
      <c r="V779" s="54"/>
      <c r="W779" s="54"/>
      <c r="X779" s="54"/>
      <c r="Y779" s="350"/>
      <c r="Z779" s="54"/>
      <c r="AA779" s="54"/>
      <c r="AB779" s="54"/>
      <c r="AC779" s="54"/>
      <c r="AD779" s="54"/>
      <c r="AE779" s="54"/>
      <c r="AF779" s="54"/>
      <c r="AG779" s="54"/>
      <c r="AH779" s="54"/>
      <c r="AI779" s="54"/>
      <c r="AJ779" s="54"/>
      <c r="AK779" s="54"/>
      <c r="AL779" s="54"/>
      <c r="AM779" s="54"/>
      <c r="AN779" s="54"/>
      <c r="AO779" s="54"/>
      <c r="AP779" s="54"/>
      <c r="AQ779" s="54"/>
      <c r="AR779" s="54"/>
      <c r="AS779" s="54"/>
      <c r="AT779" s="54"/>
    </row>
    <row r="780">
      <c r="A780" s="54"/>
      <c r="B780" s="54"/>
      <c r="C780" s="54"/>
      <c r="D780" s="54"/>
      <c r="E780" s="54"/>
      <c r="F780" s="54"/>
      <c r="G780" s="54"/>
      <c r="H780" s="54"/>
      <c r="I780" s="54"/>
      <c r="J780" s="54"/>
      <c r="K780" s="54"/>
      <c r="L780" s="54"/>
      <c r="M780" s="54"/>
      <c r="N780" s="54"/>
      <c r="O780" s="54"/>
      <c r="P780" s="54"/>
      <c r="Q780" s="54"/>
      <c r="R780" s="54"/>
      <c r="S780" s="54"/>
      <c r="T780" s="54"/>
      <c r="U780" s="54"/>
      <c r="V780" s="54"/>
      <c r="W780" s="54"/>
      <c r="X780" s="54"/>
      <c r="Y780" s="350"/>
      <c r="Z780" s="54"/>
      <c r="AA780" s="54"/>
      <c r="AB780" s="54"/>
      <c r="AC780" s="54"/>
      <c r="AD780" s="54"/>
      <c r="AE780" s="54"/>
      <c r="AF780" s="54"/>
      <c r="AG780" s="54"/>
      <c r="AH780" s="54"/>
      <c r="AI780" s="54"/>
      <c r="AJ780" s="54"/>
      <c r="AK780" s="54"/>
      <c r="AL780" s="54"/>
      <c r="AM780" s="54"/>
      <c r="AN780" s="54"/>
      <c r="AO780" s="54"/>
      <c r="AP780" s="54"/>
      <c r="AQ780" s="54"/>
      <c r="AR780" s="54"/>
      <c r="AS780" s="54"/>
      <c r="AT780" s="54"/>
    </row>
    <row r="781">
      <c r="A781" s="54"/>
      <c r="B781" s="54"/>
      <c r="C781" s="54"/>
      <c r="D781" s="54"/>
      <c r="E781" s="54"/>
      <c r="F781" s="54"/>
      <c r="G781" s="54"/>
      <c r="H781" s="54"/>
      <c r="I781" s="54"/>
      <c r="J781" s="54"/>
      <c r="K781" s="54"/>
      <c r="L781" s="54"/>
      <c r="M781" s="54"/>
      <c r="N781" s="54"/>
      <c r="O781" s="54"/>
      <c r="P781" s="54"/>
      <c r="Q781" s="54"/>
      <c r="R781" s="54"/>
      <c r="S781" s="54"/>
      <c r="T781" s="54"/>
      <c r="U781" s="54"/>
      <c r="V781" s="54"/>
      <c r="W781" s="54"/>
      <c r="X781" s="54"/>
      <c r="Y781" s="350"/>
      <c r="Z781" s="54"/>
      <c r="AA781" s="54"/>
      <c r="AB781" s="54"/>
      <c r="AC781" s="54"/>
      <c r="AD781" s="54"/>
      <c r="AE781" s="54"/>
      <c r="AF781" s="54"/>
      <c r="AG781" s="54"/>
      <c r="AH781" s="54"/>
      <c r="AI781" s="54"/>
      <c r="AJ781" s="54"/>
      <c r="AK781" s="54"/>
      <c r="AL781" s="54"/>
      <c r="AM781" s="54"/>
      <c r="AN781" s="54"/>
      <c r="AO781" s="54"/>
      <c r="AP781" s="54"/>
      <c r="AQ781" s="54"/>
      <c r="AR781" s="54"/>
      <c r="AS781" s="54"/>
      <c r="AT781" s="54"/>
    </row>
    <row r="782">
      <c r="A782" s="54"/>
      <c r="B782" s="54"/>
      <c r="C782" s="54"/>
      <c r="D782" s="54"/>
      <c r="E782" s="54"/>
      <c r="F782" s="54"/>
      <c r="G782" s="54"/>
      <c r="H782" s="54"/>
      <c r="I782" s="54"/>
      <c r="J782" s="54"/>
      <c r="K782" s="54"/>
      <c r="L782" s="54"/>
      <c r="M782" s="54"/>
      <c r="N782" s="54"/>
      <c r="O782" s="54"/>
      <c r="P782" s="54"/>
      <c r="Q782" s="54"/>
      <c r="R782" s="54"/>
      <c r="S782" s="54"/>
      <c r="T782" s="54"/>
      <c r="U782" s="54"/>
      <c r="V782" s="54"/>
      <c r="W782" s="54"/>
      <c r="X782" s="54"/>
      <c r="Y782" s="350"/>
      <c r="Z782" s="54"/>
      <c r="AA782" s="54"/>
      <c r="AB782" s="54"/>
      <c r="AC782" s="54"/>
      <c r="AD782" s="54"/>
      <c r="AE782" s="54"/>
      <c r="AF782" s="54"/>
      <c r="AG782" s="54"/>
      <c r="AH782" s="54"/>
      <c r="AI782" s="54"/>
      <c r="AJ782" s="54"/>
      <c r="AK782" s="54"/>
      <c r="AL782" s="54"/>
      <c r="AM782" s="54"/>
      <c r="AN782" s="54"/>
      <c r="AO782" s="54"/>
      <c r="AP782" s="54"/>
      <c r="AQ782" s="54"/>
      <c r="AR782" s="54"/>
      <c r="AS782" s="54"/>
      <c r="AT782" s="54"/>
    </row>
    <row r="783">
      <c r="A783" s="54"/>
      <c r="B783" s="54"/>
      <c r="C783" s="54"/>
      <c r="D783" s="54"/>
      <c r="E783" s="54"/>
      <c r="F783" s="54"/>
      <c r="G783" s="54"/>
      <c r="H783" s="54"/>
      <c r="I783" s="54"/>
      <c r="J783" s="54"/>
      <c r="K783" s="54"/>
      <c r="L783" s="54"/>
      <c r="M783" s="54"/>
      <c r="N783" s="54"/>
      <c r="O783" s="54"/>
      <c r="P783" s="54"/>
      <c r="Q783" s="54"/>
      <c r="R783" s="54"/>
      <c r="S783" s="54"/>
      <c r="T783" s="54"/>
      <c r="U783" s="54"/>
      <c r="V783" s="54"/>
      <c r="W783" s="54"/>
      <c r="X783" s="54"/>
      <c r="Y783" s="350"/>
      <c r="Z783" s="54"/>
      <c r="AA783" s="54"/>
      <c r="AB783" s="54"/>
      <c r="AC783" s="54"/>
      <c r="AD783" s="54"/>
      <c r="AE783" s="54"/>
      <c r="AF783" s="54"/>
      <c r="AG783" s="54"/>
      <c r="AH783" s="54"/>
      <c r="AI783" s="54"/>
      <c r="AJ783" s="54"/>
      <c r="AK783" s="54"/>
      <c r="AL783" s="54"/>
      <c r="AM783" s="54"/>
      <c r="AN783" s="54"/>
      <c r="AO783" s="54"/>
      <c r="AP783" s="54"/>
      <c r="AQ783" s="54"/>
      <c r="AR783" s="54"/>
      <c r="AS783" s="54"/>
      <c r="AT783" s="54"/>
    </row>
    <row r="784">
      <c r="A784" s="54"/>
      <c r="B784" s="54"/>
      <c r="C784" s="54"/>
      <c r="D784" s="54"/>
      <c r="E784" s="54"/>
      <c r="F784" s="54"/>
      <c r="G784" s="54"/>
      <c r="H784" s="54"/>
      <c r="I784" s="54"/>
      <c r="J784" s="54"/>
      <c r="K784" s="54"/>
      <c r="L784" s="54"/>
      <c r="M784" s="54"/>
      <c r="N784" s="54"/>
      <c r="O784" s="54"/>
      <c r="P784" s="54"/>
      <c r="Q784" s="54"/>
      <c r="R784" s="54"/>
      <c r="S784" s="54"/>
      <c r="T784" s="54"/>
      <c r="U784" s="54"/>
      <c r="V784" s="54"/>
      <c r="W784" s="54"/>
      <c r="X784" s="54"/>
      <c r="Y784" s="350"/>
      <c r="Z784" s="54"/>
      <c r="AA784" s="54"/>
      <c r="AB784" s="54"/>
      <c r="AC784" s="54"/>
      <c r="AD784" s="54"/>
      <c r="AE784" s="54"/>
      <c r="AF784" s="54"/>
      <c r="AG784" s="54"/>
      <c r="AH784" s="54"/>
      <c r="AI784" s="54"/>
      <c r="AJ784" s="54"/>
      <c r="AK784" s="54"/>
      <c r="AL784" s="54"/>
      <c r="AM784" s="54"/>
      <c r="AN784" s="54"/>
      <c r="AO784" s="54"/>
      <c r="AP784" s="54"/>
      <c r="AQ784" s="54"/>
      <c r="AR784" s="54"/>
      <c r="AS784" s="54"/>
      <c r="AT784" s="54"/>
    </row>
    <row r="785">
      <c r="A785" s="54"/>
      <c r="B785" s="54"/>
      <c r="C785" s="54"/>
      <c r="D785" s="54"/>
      <c r="E785" s="54"/>
      <c r="F785" s="54"/>
      <c r="G785" s="54"/>
      <c r="H785" s="54"/>
      <c r="I785" s="54"/>
      <c r="J785" s="54"/>
      <c r="K785" s="54"/>
      <c r="L785" s="54"/>
      <c r="M785" s="54"/>
      <c r="N785" s="54"/>
      <c r="O785" s="54"/>
      <c r="P785" s="54"/>
      <c r="Q785" s="54"/>
      <c r="R785" s="54"/>
      <c r="S785" s="54"/>
      <c r="T785" s="54"/>
      <c r="U785" s="54"/>
      <c r="V785" s="54"/>
      <c r="W785" s="54"/>
      <c r="X785" s="54"/>
      <c r="Y785" s="350"/>
      <c r="Z785" s="54"/>
      <c r="AA785" s="54"/>
      <c r="AB785" s="54"/>
      <c r="AC785" s="54"/>
      <c r="AD785" s="54"/>
      <c r="AE785" s="54"/>
      <c r="AF785" s="54"/>
      <c r="AG785" s="54"/>
      <c r="AH785" s="54"/>
      <c r="AI785" s="54"/>
      <c r="AJ785" s="54"/>
      <c r="AK785" s="54"/>
      <c r="AL785" s="54"/>
      <c r="AM785" s="54"/>
      <c r="AN785" s="54"/>
      <c r="AO785" s="54"/>
      <c r="AP785" s="54"/>
      <c r="AQ785" s="54"/>
      <c r="AR785" s="54"/>
      <c r="AS785" s="54"/>
      <c r="AT785" s="54"/>
    </row>
    <row r="786">
      <c r="A786" s="54"/>
      <c r="B786" s="54"/>
      <c r="C786" s="54"/>
      <c r="D786" s="54"/>
      <c r="E786" s="54"/>
      <c r="F786" s="54"/>
      <c r="G786" s="54"/>
      <c r="H786" s="54"/>
      <c r="I786" s="54"/>
      <c r="J786" s="54"/>
      <c r="K786" s="54"/>
      <c r="L786" s="54"/>
      <c r="M786" s="54"/>
      <c r="N786" s="54"/>
      <c r="O786" s="54"/>
      <c r="P786" s="54"/>
      <c r="Q786" s="54"/>
      <c r="R786" s="54"/>
      <c r="S786" s="54"/>
      <c r="T786" s="54"/>
      <c r="U786" s="54"/>
      <c r="V786" s="54"/>
      <c r="W786" s="54"/>
      <c r="X786" s="54"/>
      <c r="Y786" s="350"/>
      <c r="Z786" s="54"/>
      <c r="AA786" s="54"/>
      <c r="AB786" s="54"/>
      <c r="AC786" s="54"/>
      <c r="AD786" s="54"/>
      <c r="AE786" s="54"/>
      <c r="AF786" s="54"/>
      <c r="AG786" s="54"/>
      <c r="AH786" s="54"/>
      <c r="AI786" s="54"/>
      <c r="AJ786" s="54"/>
      <c r="AK786" s="54"/>
      <c r="AL786" s="54"/>
      <c r="AM786" s="54"/>
      <c r="AN786" s="54"/>
      <c r="AO786" s="54"/>
      <c r="AP786" s="54"/>
      <c r="AQ786" s="54"/>
      <c r="AR786" s="54"/>
      <c r="AS786" s="54"/>
      <c r="AT786" s="54"/>
    </row>
    <row r="787">
      <c r="A787" s="54"/>
      <c r="B787" s="54"/>
      <c r="C787" s="54"/>
      <c r="D787" s="54"/>
      <c r="E787" s="54"/>
      <c r="F787" s="54"/>
      <c r="G787" s="54"/>
      <c r="H787" s="54"/>
      <c r="I787" s="54"/>
      <c r="J787" s="54"/>
      <c r="K787" s="54"/>
      <c r="L787" s="54"/>
      <c r="M787" s="54"/>
      <c r="N787" s="54"/>
      <c r="O787" s="54"/>
      <c r="P787" s="54"/>
      <c r="Q787" s="54"/>
      <c r="R787" s="54"/>
      <c r="S787" s="54"/>
      <c r="T787" s="54"/>
      <c r="U787" s="54"/>
      <c r="V787" s="54"/>
      <c r="W787" s="54"/>
      <c r="X787" s="54"/>
      <c r="Y787" s="350"/>
      <c r="Z787" s="54"/>
      <c r="AA787" s="54"/>
      <c r="AB787" s="54"/>
      <c r="AC787" s="54"/>
      <c r="AD787" s="54"/>
      <c r="AE787" s="54"/>
      <c r="AF787" s="54"/>
      <c r="AG787" s="54"/>
      <c r="AH787" s="54"/>
      <c r="AI787" s="54"/>
      <c r="AJ787" s="54"/>
      <c r="AK787" s="54"/>
      <c r="AL787" s="54"/>
      <c r="AM787" s="54"/>
      <c r="AN787" s="54"/>
      <c r="AO787" s="54"/>
      <c r="AP787" s="54"/>
      <c r="AQ787" s="54"/>
      <c r="AR787" s="54"/>
      <c r="AS787" s="54"/>
      <c r="AT787" s="54"/>
    </row>
    <row r="788">
      <c r="A788" s="54"/>
      <c r="B788" s="54"/>
      <c r="C788" s="54"/>
      <c r="D788" s="54"/>
      <c r="E788" s="54"/>
      <c r="F788" s="54"/>
      <c r="G788" s="54"/>
      <c r="H788" s="54"/>
      <c r="I788" s="54"/>
      <c r="J788" s="54"/>
      <c r="K788" s="54"/>
      <c r="L788" s="54"/>
      <c r="M788" s="54"/>
      <c r="N788" s="54"/>
      <c r="O788" s="54"/>
      <c r="P788" s="54"/>
      <c r="Q788" s="54"/>
      <c r="R788" s="54"/>
      <c r="S788" s="54"/>
      <c r="T788" s="54"/>
      <c r="U788" s="54"/>
      <c r="V788" s="54"/>
      <c r="W788" s="54"/>
      <c r="X788" s="54"/>
      <c r="Y788" s="350"/>
      <c r="Z788" s="54"/>
      <c r="AA788" s="54"/>
      <c r="AB788" s="54"/>
      <c r="AC788" s="54"/>
      <c r="AD788" s="54"/>
      <c r="AE788" s="54"/>
      <c r="AF788" s="54"/>
      <c r="AG788" s="54"/>
      <c r="AH788" s="54"/>
      <c r="AI788" s="54"/>
      <c r="AJ788" s="54"/>
      <c r="AK788" s="54"/>
      <c r="AL788" s="54"/>
      <c r="AM788" s="54"/>
      <c r="AN788" s="54"/>
      <c r="AO788" s="54"/>
      <c r="AP788" s="54"/>
      <c r="AQ788" s="54"/>
      <c r="AR788" s="54"/>
      <c r="AS788" s="54"/>
      <c r="AT788" s="54"/>
    </row>
    <row r="789">
      <c r="A789" s="54"/>
      <c r="B789" s="54"/>
      <c r="C789" s="54"/>
      <c r="D789" s="54"/>
      <c r="E789" s="54"/>
      <c r="F789" s="54"/>
      <c r="G789" s="54"/>
      <c r="H789" s="54"/>
      <c r="I789" s="54"/>
      <c r="J789" s="54"/>
      <c r="K789" s="54"/>
      <c r="L789" s="54"/>
      <c r="M789" s="54"/>
      <c r="N789" s="54"/>
      <c r="O789" s="54"/>
      <c r="P789" s="54"/>
      <c r="Q789" s="54"/>
      <c r="R789" s="54"/>
      <c r="S789" s="54"/>
      <c r="T789" s="54"/>
      <c r="U789" s="54"/>
      <c r="V789" s="54"/>
      <c r="W789" s="54"/>
      <c r="X789" s="54"/>
      <c r="Y789" s="350"/>
      <c r="Z789" s="54"/>
      <c r="AA789" s="54"/>
      <c r="AB789" s="54"/>
      <c r="AC789" s="54"/>
      <c r="AD789" s="54"/>
      <c r="AE789" s="54"/>
      <c r="AF789" s="54"/>
      <c r="AG789" s="54"/>
      <c r="AH789" s="54"/>
      <c r="AI789" s="54"/>
      <c r="AJ789" s="54"/>
      <c r="AK789" s="54"/>
      <c r="AL789" s="54"/>
      <c r="AM789" s="54"/>
      <c r="AN789" s="54"/>
      <c r="AO789" s="54"/>
      <c r="AP789" s="54"/>
      <c r="AQ789" s="54"/>
      <c r="AR789" s="54"/>
      <c r="AS789" s="54"/>
      <c r="AT789" s="54"/>
    </row>
    <row r="790">
      <c r="A790" s="54"/>
      <c r="B790" s="54"/>
      <c r="C790" s="54"/>
      <c r="D790" s="54"/>
      <c r="E790" s="54"/>
      <c r="F790" s="54"/>
      <c r="G790" s="54"/>
      <c r="H790" s="54"/>
      <c r="I790" s="54"/>
      <c r="J790" s="54"/>
      <c r="K790" s="54"/>
      <c r="L790" s="54"/>
      <c r="M790" s="54"/>
      <c r="N790" s="54"/>
      <c r="O790" s="54"/>
      <c r="P790" s="54"/>
      <c r="Q790" s="54"/>
      <c r="R790" s="54"/>
      <c r="S790" s="54"/>
      <c r="T790" s="54"/>
      <c r="U790" s="54"/>
      <c r="V790" s="54"/>
      <c r="W790" s="54"/>
      <c r="X790" s="54"/>
      <c r="Y790" s="350"/>
      <c r="Z790" s="54"/>
      <c r="AA790" s="54"/>
      <c r="AB790" s="54"/>
      <c r="AC790" s="54"/>
      <c r="AD790" s="54"/>
      <c r="AE790" s="54"/>
      <c r="AF790" s="54"/>
      <c r="AG790" s="54"/>
      <c r="AH790" s="54"/>
      <c r="AI790" s="54"/>
      <c r="AJ790" s="54"/>
      <c r="AK790" s="54"/>
      <c r="AL790" s="54"/>
      <c r="AM790" s="54"/>
      <c r="AN790" s="54"/>
      <c r="AO790" s="54"/>
      <c r="AP790" s="54"/>
      <c r="AQ790" s="54"/>
      <c r="AR790" s="54"/>
      <c r="AS790" s="54"/>
      <c r="AT790" s="54"/>
    </row>
    <row r="791">
      <c r="A791" s="54"/>
      <c r="B791" s="54"/>
      <c r="C791" s="54"/>
      <c r="D791" s="54"/>
      <c r="E791" s="54"/>
      <c r="F791" s="54"/>
      <c r="G791" s="54"/>
      <c r="H791" s="54"/>
      <c r="I791" s="54"/>
      <c r="J791" s="54"/>
      <c r="K791" s="54"/>
      <c r="L791" s="54"/>
      <c r="M791" s="54"/>
      <c r="N791" s="54"/>
      <c r="O791" s="54"/>
      <c r="P791" s="54"/>
      <c r="Q791" s="54"/>
      <c r="R791" s="54"/>
      <c r="S791" s="54"/>
      <c r="T791" s="54"/>
      <c r="U791" s="54"/>
      <c r="V791" s="54"/>
      <c r="W791" s="54"/>
      <c r="X791" s="54"/>
      <c r="Y791" s="350"/>
      <c r="Z791" s="54"/>
      <c r="AA791" s="54"/>
      <c r="AB791" s="54"/>
      <c r="AC791" s="54"/>
      <c r="AD791" s="54"/>
      <c r="AE791" s="54"/>
      <c r="AF791" s="54"/>
      <c r="AG791" s="54"/>
      <c r="AH791" s="54"/>
      <c r="AI791" s="54"/>
      <c r="AJ791" s="54"/>
      <c r="AK791" s="54"/>
      <c r="AL791" s="54"/>
      <c r="AM791" s="54"/>
      <c r="AN791" s="54"/>
      <c r="AO791" s="54"/>
      <c r="AP791" s="54"/>
      <c r="AQ791" s="54"/>
      <c r="AR791" s="54"/>
      <c r="AS791" s="54"/>
      <c r="AT791" s="54"/>
    </row>
    <row r="792">
      <c r="A792" s="54"/>
      <c r="B792" s="54"/>
      <c r="C792" s="54"/>
      <c r="D792" s="54"/>
      <c r="E792" s="54"/>
      <c r="F792" s="54"/>
      <c r="G792" s="54"/>
      <c r="H792" s="54"/>
      <c r="I792" s="54"/>
      <c r="J792" s="54"/>
      <c r="K792" s="54"/>
      <c r="L792" s="54"/>
      <c r="M792" s="54"/>
      <c r="N792" s="54"/>
      <c r="O792" s="54"/>
      <c r="P792" s="54"/>
      <c r="Q792" s="54"/>
      <c r="R792" s="54"/>
      <c r="S792" s="54"/>
      <c r="T792" s="54"/>
      <c r="U792" s="54"/>
      <c r="V792" s="54"/>
      <c r="W792" s="54"/>
      <c r="X792" s="54"/>
      <c r="Y792" s="350"/>
      <c r="Z792" s="54"/>
      <c r="AA792" s="54"/>
      <c r="AB792" s="54"/>
      <c r="AC792" s="54"/>
      <c r="AD792" s="54"/>
      <c r="AE792" s="54"/>
      <c r="AF792" s="54"/>
      <c r="AG792" s="54"/>
      <c r="AH792" s="54"/>
      <c r="AI792" s="54"/>
      <c r="AJ792" s="54"/>
      <c r="AK792" s="54"/>
      <c r="AL792" s="54"/>
      <c r="AM792" s="54"/>
      <c r="AN792" s="54"/>
      <c r="AO792" s="54"/>
      <c r="AP792" s="54"/>
      <c r="AQ792" s="54"/>
      <c r="AR792" s="54"/>
      <c r="AS792" s="54"/>
      <c r="AT792" s="54"/>
    </row>
    <row r="793">
      <c r="A793" s="54"/>
      <c r="B793" s="54"/>
      <c r="C793" s="54"/>
      <c r="D793" s="54"/>
      <c r="E793" s="54"/>
      <c r="F793" s="54"/>
      <c r="G793" s="54"/>
      <c r="H793" s="54"/>
      <c r="I793" s="54"/>
      <c r="J793" s="54"/>
      <c r="K793" s="54"/>
      <c r="L793" s="54"/>
      <c r="M793" s="54"/>
      <c r="N793" s="54"/>
      <c r="O793" s="54"/>
      <c r="P793" s="54"/>
      <c r="Q793" s="54"/>
      <c r="R793" s="54"/>
      <c r="S793" s="54"/>
      <c r="T793" s="54"/>
      <c r="U793" s="54"/>
      <c r="V793" s="54"/>
      <c r="W793" s="54"/>
      <c r="X793" s="54"/>
      <c r="Y793" s="350"/>
      <c r="Z793" s="54"/>
      <c r="AA793" s="54"/>
      <c r="AB793" s="54"/>
      <c r="AC793" s="54"/>
      <c r="AD793" s="54"/>
      <c r="AE793" s="54"/>
      <c r="AF793" s="54"/>
      <c r="AG793" s="54"/>
      <c r="AH793" s="54"/>
      <c r="AI793" s="54"/>
      <c r="AJ793" s="54"/>
      <c r="AK793" s="54"/>
      <c r="AL793" s="54"/>
      <c r="AM793" s="54"/>
      <c r="AN793" s="54"/>
      <c r="AO793" s="54"/>
      <c r="AP793" s="54"/>
      <c r="AQ793" s="54"/>
      <c r="AR793" s="54"/>
      <c r="AS793" s="54"/>
      <c r="AT793" s="54"/>
    </row>
    <row r="794">
      <c r="A794" s="54"/>
      <c r="B794" s="54"/>
      <c r="C794" s="54"/>
      <c r="D794" s="54"/>
      <c r="E794" s="54"/>
      <c r="F794" s="54"/>
      <c r="G794" s="54"/>
      <c r="H794" s="54"/>
      <c r="I794" s="54"/>
      <c r="J794" s="54"/>
      <c r="K794" s="54"/>
      <c r="L794" s="54"/>
      <c r="M794" s="54"/>
      <c r="N794" s="54"/>
      <c r="O794" s="54"/>
      <c r="P794" s="54"/>
      <c r="Q794" s="54"/>
      <c r="R794" s="54"/>
      <c r="S794" s="54"/>
      <c r="T794" s="54"/>
      <c r="U794" s="54"/>
      <c r="V794" s="54"/>
      <c r="W794" s="54"/>
      <c r="X794" s="54"/>
      <c r="Y794" s="350"/>
      <c r="Z794" s="54"/>
      <c r="AA794" s="54"/>
      <c r="AB794" s="54"/>
      <c r="AC794" s="54"/>
      <c r="AD794" s="54"/>
      <c r="AE794" s="54"/>
      <c r="AF794" s="54"/>
      <c r="AG794" s="54"/>
      <c r="AH794" s="54"/>
      <c r="AI794" s="54"/>
      <c r="AJ794" s="54"/>
      <c r="AK794" s="54"/>
      <c r="AL794" s="54"/>
      <c r="AM794" s="54"/>
      <c r="AN794" s="54"/>
      <c r="AO794" s="54"/>
      <c r="AP794" s="54"/>
      <c r="AQ794" s="54"/>
      <c r="AR794" s="54"/>
      <c r="AS794" s="54"/>
      <c r="AT794" s="54"/>
    </row>
    <row r="795">
      <c r="A795" s="54"/>
      <c r="B795" s="54"/>
      <c r="C795" s="54"/>
      <c r="D795" s="54"/>
      <c r="E795" s="54"/>
      <c r="F795" s="54"/>
      <c r="G795" s="54"/>
      <c r="H795" s="54"/>
      <c r="I795" s="54"/>
      <c r="J795" s="54"/>
      <c r="K795" s="54"/>
      <c r="L795" s="54"/>
      <c r="M795" s="54"/>
      <c r="N795" s="54"/>
      <c r="O795" s="54"/>
      <c r="P795" s="54"/>
      <c r="Q795" s="54"/>
      <c r="R795" s="54"/>
      <c r="S795" s="54"/>
      <c r="T795" s="54"/>
      <c r="U795" s="54"/>
      <c r="V795" s="54"/>
      <c r="W795" s="54"/>
      <c r="X795" s="54"/>
      <c r="Y795" s="350"/>
      <c r="Z795" s="54"/>
      <c r="AA795" s="54"/>
      <c r="AB795" s="54"/>
      <c r="AC795" s="54"/>
      <c r="AD795" s="54"/>
      <c r="AE795" s="54"/>
      <c r="AF795" s="54"/>
      <c r="AG795" s="54"/>
      <c r="AH795" s="54"/>
      <c r="AI795" s="54"/>
      <c r="AJ795" s="54"/>
      <c r="AK795" s="54"/>
      <c r="AL795" s="54"/>
      <c r="AM795" s="54"/>
      <c r="AN795" s="54"/>
      <c r="AO795" s="54"/>
      <c r="AP795" s="54"/>
      <c r="AQ795" s="54"/>
      <c r="AR795" s="54"/>
      <c r="AS795" s="54"/>
      <c r="AT795" s="54"/>
    </row>
    <row r="796">
      <c r="A796" s="54"/>
      <c r="B796" s="54"/>
      <c r="C796" s="54"/>
      <c r="D796" s="54"/>
      <c r="E796" s="54"/>
      <c r="F796" s="54"/>
      <c r="G796" s="54"/>
      <c r="H796" s="54"/>
      <c r="I796" s="54"/>
      <c r="J796" s="54"/>
      <c r="K796" s="54"/>
      <c r="L796" s="54"/>
      <c r="M796" s="54"/>
      <c r="N796" s="54"/>
      <c r="O796" s="54"/>
      <c r="P796" s="54"/>
      <c r="Q796" s="54"/>
      <c r="R796" s="54"/>
      <c r="S796" s="54"/>
      <c r="T796" s="54"/>
      <c r="U796" s="54"/>
      <c r="V796" s="54"/>
      <c r="W796" s="54"/>
      <c r="X796" s="54"/>
      <c r="Y796" s="350"/>
      <c r="Z796" s="54"/>
      <c r="AA796" s="54"/>
      <c r="AB796" s="54"/>
      <c r="AC796" s="54"/>
      <c r="AD796" s="54"/>
      <c r="AE796" s="54"/>
      <c r="AF796" s="54"/>
      <c r="AG796" s="54"/>
      <c r="AH796" s="54"/>
      <c r="AI796" s="54"/>
      <c r="AJ796" s="54"/>
      <c r="AK796" s="54"/>
      <c r="AL796" s="54"/>
      <c r="AM796" s="54"/>
      <c r="AN796" s="54"/>
      <c r="AO796" s="54"/>
      <c r="AP796" s="54"/>
      <c r="AQ796" s="54"/>
      <c r="AR796" s="54"/>
      <c r="AS796" s="54"/>
      <c r="AT796" s="54"/>
    </row>
    <row r="797">
      <c r="A797" s="54"/>
      <c r="B797" s="54"/>
      <c r="C797" s="54"/>
      <c r="D797" s="54"/>
      <c r="E797" s="54"/>
      <c r="F797" s="54"/>
      <c r="G797" s="54"/>
      <c r="H797" s="54"/>
      <c r="I797" s="54"/>
      <c r="J797" s="54"/>
      <c r="K797" s="54"/>
      <c r="L797" s="54"/>
      <c r="M797" s="54"/>
      <c r="N797" s="54"/>
      <c r="O797" s="54"/>
      <c r="P797" s="54"/>
      <c r="Q797" s="54"/>
      <c r="R797" s="54"/>
      <c r="S797" s="54"/>
      <c r="T797" s="54"/>
      <c r="U797" s="54"/>
      <c r="V797" s="54"/>
      <c r="W797" s="54"/>
      <c r="X797" s="54"/>
      <c r="Y797" s="350"/>
      <c r="Z797" s="54"/>
      <c r="AA797" s="54"/>
      <c r="AB797" s="54"/>
      <c r="AC797" s="54"/>
      <c r="AD797" s="54"/>
      <c r="AE797" s="54"/>
      <c r="AF797" s="54"/>
      <c r="AG797" s="54"/>
      <c r="AH797" s="54"/>
      <c r="AI797" s="54"/>
      <c r="AJ797" s="54"/>
      <c r="AK797" s="54"/>
      <c r="AL797" s="54"/>
      <c r="AM797" s="54"/>
      <c r="AN797" s="54"/>
      <c r="AO797" s="54"/>
      <c r="AP797" s="54"/>
      <c r="AQ797" s="54"/>
      <c r="AR797" s="54"/>
      <c r="AS797" s="54"/>
      <c r="AT797" s="54"/>
    </row>
    <row r="798">
      <c r="A798" s="54"/>
      <c r="B798" s="54"/>
      <c r="C798" s="54"/>
      <c r="D798" s="54"/>
      <c r="E798" s="54"/>
      <c r="F798" s="54"/>
      <c r="G798" s="54"/>
      <c r="H798" s="54"/>
      <c r="I798" s="54"/>
      <c r="J798" s="54"/>
      <c r="K798" s="54"/>
      <c r="L798" s="54"/>
      <c r="M798" s="54"/>
      <c r="N798" s="54"/>
      <c r="O798" s="54"/>
      <c r="P798" s="54"/>
      <c r="Q798" s="54"/>
      <c r="R798" s="54"/>
      <c r="S798" s="54"/>
      <c r="T798" s="54"/>
      <c r="U798" s="54"/>
      <c r="V798" s="54"/>
      <c r="W798" s="54"/>
      <c r="X798" s="54"/>
      <c r="Y798" s="350"/>
      <c r="Z798" s="54"/>
      <c r="AA798" s="54"/>
      <c r="AB798" s="54"/>
      <c r="AC798" s="54"/>
      <c r="AD798" s="54"/>
      <c r="AE798" s="54"/>
      <c r="AF798" s="54"/>
      <c r="AG798" s="54"/>
      <c r="AH798" s="54"/>
      <c r="AI798" s="54"/>
      <c r="AJ798" s="54"/>
      <c r="AK798" s="54"/>
      <c r="AL798" s="54"/>
      <c r="AM798" s="54"/>
      <c r="AN798" s="54"/>
      <c r="AO798" s="54"/>
      <c r="AP798" s="54"/>
      <c r="AQ798" s="54"/>
      <c r="AR798" s="54"/>
      <c r="AS798" s="54"/>
      <c r="AT798" s="54"/>
    </row>
    <row r="799">
      <c r="A799" s="54"/>
      <c r="B799" s="54"/>
      <c r="C799" s="54"/>
      <c r="D799" s="54"/>
      <c r="E799" s="54"/>
      <c r="F799" s="54"/>
      <c r="G799" s="54"/>
      <c r="H799" s="54"/>
      <c r="I799" s="54"/>
      <c r="J799" s="54"/>
      <c r="K799" s="54"/>
      <c r="L799" s="54"/>
      <c r="M799" s="54"/>
      <c r="N799" s="54"/>
      <c r="O799" s="54"/>
      <c r="P799" s="54"/>
      <c r="Q799" s="54"/>
      <c r="R799" s="54"/>
      <c r="S799" s="54"/>
      <c r="T799" s="54"/>
      <c r="U799" s="54"/>
      <c r="V799" s="54"/>
      <c r="W799" s="54"/>
      <c r="X799" s="54"/>
      <c r="Y799" s="350"/>
      <c r="Z799" s="54"/>
      <c r="AA799" s="54"/>
      <c r="AB799" s="54"/>
      <c r="AC799" s="54"/>
      <c r="AD799" s="54"/>
      <c r="AE799" s="54"/>
      <c r="AF799" s="54"/>
      <c r="AG799" s="54"/>
      <c r="AH799" s="54"/>
      <c r="AI799" s="54"/>
      <c r="AJ799" s="54"/>
      <c r="AK799" s="54"/>
      <c r="AL799" s="54"/>
      <c r="AM799" s="54"/>
      <c r="AN799" s="54"/>
      <c r="AO799" s="54"/>
      <c r="AP799" s="54"/>
      <c r="AQ799" s="54"/>
      <c r="AR799" s="54"/>
      <c r="AS799" s="54"/>
      <c r="AT799" s="54"/>
    </row>
    <row r="800">
      <c r="A800" s="54"/>
      <c r="B800" s="54"/>
      <c r="C800" s="54"/>
      <c r="D800" s="54"/>
      <c r="E800" s="54"/>
      <c r="F800" s="54"/>
      <c r="G800" s="54"/>
      <c r="H800" s="54"/>
      <c r="I800" s="54"/>
      <c r="J800" s="54"/>
      <c r="K800" s="54"/>
      <c r="L800" s="54"/>
      <c r="M800" s="54"/>
      <c r="N800" s="54"/>
      <c r="O800" s="54"/>
      <c r="P800" s="54"/>
      <c r="Q800" s="54"/>
      <c r="R800" s="54"/>
      <c r="S800" s="54"/>
      <c r="T800" s="54"/>
      <c r="U800" s="54"/>
      <c r="V800" s="54"/>
      <c r="W800" s="54"/>
      <c r="X800" s="54"/>
      <c r="Y800" s="350"/>
      <c r="Z800" s="54"/>
      <c r="AA800" s="54"/>
      <c r="AB800" s="54"/>
      <c r="AC800" s="54"/>
      <c r="AD800" s="54"/>
      <c r="AE800" s="54"/>
      <c r="AF800" s="54"/>
      <c r="AG800" s="54"/>
      <c r="AH800" s="54"/>
      <c r="AI800" s="54"/>
      <c r="AJ800" s="54"/>
      <c r="AK800" s="54"/>
      <c r="AL800" s="54"/>
      <c r="AM800" s="54"/>
      <c r="AN800" s="54"/>
      <c r="AO800" s="54"/>
      <c r="AP800" s="54"/>
      <c r="AQ800" s="54"/>
      <c r="AR800" s="54"/>
      <c r="AS800" s="54"/>
      <c r="AT800" s="54"/>
    </row>
    <row r="801">
      <c r="A801" s="54"/>
      <c r="B801" s="54"/>
      <c r="C801" s="54"/>
      <c r="D801" s="54"/>
      <c r="E801" s="54"/>
      <c r="F801" s="54"/>
      <c r="G801" s="54"/>
      <c r="H801" s="54"/>
      <c r="I801" s="54"/>
      <c r="J801" s="54"/>
      <c r="K801" s="54"/>
      <c r="L801" s="54"/>
      <c r="M801" s="54"/>
      <c r="N801" s="54"/>
      <c r="O801" s="54"/>
      <c r="P801" s="54"/>
      <c r="Q801" s="54"/>
      <c r="R801" s="54"/>
      <c r="S801" s="54"/>
      <c r="T801" s="54"/>
      <c r="U801" s="54"/>
      <c r="V801" s="54"/>
      <c r="W801" s="54"/>
      <c r="X801" s="54"/>
      <c r="Y801" s="350"/>
      <c r="Z801" s="54"/>
      <c r="AA801" s="54"/>
      <c r="AB801" s="54"/>
      <c r="AC801" s="54"/>
      <c r="AD801" s="54"/>
      <c r="AE801" s="54"/>
      <c r="AF801" s="54"/>
      <c r="AG801" s="54"/>
      <c r="AH801" s="54"/>
      <c r="AI801" s="54"/>
      <c r="AJ801" s="54"/>
      <c r="AK801" s="54"/>
      <c r="AL801" s="54"/>
      <c r="AM801" s="54"/>
      <c r="AN801" s="54"/>
      <c r="AO801" s="54"/>
      <c r="AP801" s="54"/>
      <c r="AQ801" s="54"/>
      <c r="AR801" s="54"/>
      <c r="AS801" s="54"/>
      <c r="AT801" s="54"/>
    </row>
    <row r="802">
      <c r="A802" s="54"/>
      <c r="B802" s="54"/>
      <c r="C802" s="54"/>
      <c r="D802" s="54"/>
      <c r="E802" s="54"/>
      <c r="F802" s="54"/>
      <c r="G802" s="54"/>
      <c r="H802" s="54"/>
      <c r="I802" s="54"/>
      <c r="J802" s="54"/>
      <c r="K802" s="54"/>
      <c r="L802" s="54"/>
      <c r="M802" s="54"/>
      <c r="N802" s="54"/>
      <c r="O802" s="54"/>
      <c r="P802" s="54"/>
      <c r="Q802" s="54"/>
      <c r="R802" s="54"/>
      <c r="S802" s="54"/>
      <c r="T802" s="54"/>
      <c r="U802" s="54"/>
      <c r="V802" s="54"/>
      <c r="W802" s="54"/>
      <c r="X802" s="54"/>
      <c r="Y802" s="350"/>
      <c r="Z802" s="54"/>
      <c r="AA802" s="54"/>
      <c r="AB802" s="54"/>
      <c r="AC802" s="54"/>
      <c r="AD802" s="54"/>
      <c r="AE802" s="54"/>
      <c r="AF802" s="54"/>
      <c r="AG802" s="54"/>
      <c r="AH802" s="54"/>
      <c r="AI802" s="54"/>
      <c r="AJ802" s="54"/>
      <c r="AK802" s="54"/>
      <c r="AL802" s="54"/>
      <c r="AM802" s="54"/>
      <c r="AN802" s="54"/>
      <c r="AO802" s="54"/>
      <c r="AP802" s="54"/>
      <c r="AQ802" s="54"/>
      <c r="AR802" s="54"/>
      <c r="AS802" s="54"/>
      <c r="AT802" s="54"/>
    </row>
    <row r="803">
      <c r="A803" s="54"/>
      <c r="B803" s="54"/>
      <c r="C803" s="54"/>
      <c r="D803" s="54"/>
      <c r="E803" s="54"/>
      <c r="F803" s="54"/>
      <c r="G803" s="54"/>
      <c r="H803" s="54"/>
      <c r="I803" s="54"/>
      <c r="J803" s="54"/>
      <c r="K803" s="54"/>
      <c r="L803" s="54"/>
      <c r="M803" s="54"/>
      <c r="N803" s="54"/>
      <c r="O803" s="54"/>
      <c r="P803" s="54"/>
      <c r="Q803" s="54"/>
      <c r="R803" s="54"/>
      <c r="S803" s="54"/>
      <c r="T803" s="54"/>
      <c r="U803" s="54"/>
      <c r="V803" s="54"/>
      <c r="W803" s="54"/>
      <c r="X803" s="54"/>
      <c r="Y803" s="350"/>
      <c r="Z803" s="54"/>
      <c r="AA803" s="54"/>
      <c r="AB803" s="54"/>
      <c r="AC803" s="54"/>
      <c r="AD803" s="54"/>
      <c r="AE803" s="54"/>
      <c r="AF803" s="54"/>
      <c r="AG803" s="54"/>
      <c r="AH803" s="54"/>
      <c r="AI803" s="54"/>
      <c r="AJ803" s="54"/>
      <c r="AK803" s="54"/>
      <c r="AL803" s="54"/>
      <c r="AM803" s="54"/>
      <c r="AN803" s="54"/>
      <c r="AO803" s="54"/>
      <c r="AP803" s="54"/>
      <c r="AQ803" s="54"/>
      <c r="AR803" s="54"/>
      <c r="AS803" s="54"/>
      <c r="AT803" s="54"/>
    </row>
    <row r="804">
      <c r="A804" s="54"/>
      <c r="B804" s="54"/>
      <c r="C804" s="54"/>
      <c r="D804" s="54"/>
      <c r="E804" s="54"/>
      <c r="F804" s="54"/>
      <c r="G804" s="54"/>
      <c r="H804" s="54"/>
      <c r="I804" s="54"/>
      <c r="J804" s="54"/>
      <c r="K804" s="54"/>
      <c r="L804" s="54"/>
      <c r="M804" s="54"/>
      <c r="N804" s="54"/>
      <c r="O804" s="54"/>
      <c r="P804" s="54"/>
      <c r="Q804" s="54"/>
      <c r="R804" s="54"/>
      <c r="S804" s="54"/>
      <c r="T804" s="54"/>
      <c r="U804" s="54"/>
      <c r="V804" s="54"/>
      <c r="W804" s="54"/>
      <c r="X804" s="54"/>
      <c r="Y804" s="350"/>
      <c r="Z804" s="54"/>
      <c r="AA804" s="54"/>
      <c r="AB804" s="54"/>
      <c r="AC804" s="54"/>
      <c r="AD804" s="54"/>
      <c r="AE804" s="54"/>
      <c r="AF804" s="54"/>
      <c r="AG804" s="54"/>
      <c r="AH804" s="54"/>
      <c r="AI804" s="54"/>
      <c r="AJ804" s="54"/>
      <c r="AK804" s="54"/>
      <c r="AL804" s="54"/>
      <c r="AM804" s="54"/>
      <c r="AN804" s="54"/>
      <c r="AO804" s="54"/>
      <c r="AP804" s="54"/>
      <c r="AQ804" s="54"/>
      <c r="AR804" s="54"/>
      <c r="AS804" s="54"/>
      <c r="AT804" s="54"/>
    </row>
    <row r="805">
      <c r="A805" s="54"/>
      <c r="B805" s="54"/>
      <c r="C805" s="54"/>
      <c r="D805" s="54"/>
      <c r="E805" s="54"/>
      <c r="F805" s="54"/>
      <c r="G805" s="54"/>
      <c r="H805" s="54"/>
      <c r="I805" s="54"/>
      <c r="J805" s="54"/>
      <c r="K805" s="54"/>
      <c r="L805" s="54"/>
      <c r="M805" s="54"/>
      <c r="N805" s="54"/>
      <c r="O805" s="54"/>
      <c r="P805" s="54"/>
      <c r="Q805" s="54"/>
      <c r="R805" s="54"/>
      <c r="S805" s="54"/>
      <c r="T805" s="54"/>
      <c r="U805" s="54"/>
      <c r="V805" s="54"/>
      <c r="W805" s="54"/>
      <c r="X805" s="54"/>
      <c r="Y805" s="350"/>
      <c r="Z805" s="54"/>
      <c r="AA805" s="54"/>
      <c r="AB805" s="54"/>
      <c r="AC805" s="54"/>
      <c r="AD805" s="54"/>
      <c r="AE805" s="54"/>
      <c r="AF805" s="54"/>
      <c r="AG805" s="54"/>
      <c r="AH805" s="54"/>
      <c r="AI805" s="54"/>
      <c r="AJ805" s="54"/>
      <c r="AK805" s="54"/>
      <c r="AL805" s="54"/>
      <c r="AM805" s="54"/>
      <c r="AN805" s="54"/>
      <c r="AO805" s="54"/>
      <c r="AP805" s="54"/>
      <c r="AQ805" s="54"/>
      <c r="AR805" s="54"/>
      <c r="AS805" s="54"/>
      <c r="AT805" s="54"/>
    </row>
    <row r="806">
      <c r="A806" s="54"/>
      <c r="B806" s="54"/>
      <c r="C806" s="54"/>
      <c r="D806" s="54"/>
      <c r="E806" s="54"/>
      <c r="F806" s="54"/>
      <c r="G806" s="54"/>
      <c r="H806" s="54"/>
      <c r="I806" s="54"/>
      <c r="J806" s="54"/>
      <c r="K806" s="54"/>
      <c r="L806" s="54"/>
      <c r="M806" s="54"/>
      <c r="N806" s="54"/>
      <c r="O806" s="54"/>
      <c r="P806" s="54"/>
      <c r="Q806" s="54"/>
      <c r="R806" s="54"/>
      <c r="S806" s="54"/>
      <c r="T806" s="54"/>
      <c r="U806" s="54"/>
      <c r="V806" s="54"/>
      <c r="W806" s="54"/>
      <c r="X806" s="54"/>
      <c r="Y806" s="350"/>
      <c r="Z806" s="54"/>
      <c r="AA806" s="54"/>
      <c r="AB806" s="54"/>
      <c r="AC806" s="54"/>
      <c r="AD806" s="54"/>
      <c r="AE806" s="54"/>
      <c r="AF806" s="54"/>
      <c r="AG806" s="54"/>
      <c r="AH806" s="54"/>
      <c r="AI806" s="54"/>
      <c r="AJ806" s="54"/>
      <c r="AK806" s="54"/>
      <c r="AL806" s="54"/>
      <c r="AM806" s="54"/>
      <c r="AN806" s="54"/>
      <c r="AO806" s="54"/>
      <c r="AP806" s="54"/>
      <c r="AQ806" s="54"/>
      <c r="AR806" s="54"/>
      <c r="AS806" s="54"/>
      <c r="AT806" s="54"/>
    </row>
    <row r="807">
      <c r="A807" s="54"/>
      <c r="B807" s="54"/>
      <c r="C807" s="54"/>
      <c r="D807" s="54"/>
      <c r="E807" s="54"/>
      <c r="F807" s="54"/>
      <c r="G807" s="54"/>
      <c r="H807" s="54"/>
      <c r="I807" s="54"/>
      <c r="J807" s="54"/>
      <c r="K807" s="54"/>
      <c r="L807" s="54"/>
      <c r="M807" s="54"/>
      <c r="N807" s="54"/>
      <c r="O807" s="54"/>
      <c r="P807" s="54"/>
      <c r="Q807" s="54"/>
      <c r="R807" s="54"/>
      <c r="S807" s="54"/>
      <c r="T807" s="54"/>
      <c r="U807" s="54"/>
      <c r="V807" s="54"/>
      <c r="W807" s="54"/>
      <c r="X807" s="54"/>
      <c r="Y807" s="350"/>
      <c r="Z807" s="54"/>
      <c r="AA807" s="54"/>
      <c r="AB807" s="54"/>
      <c r="AC807" s="54"/>
      <c r="AD807" s="54"/>
      <c r="AE807" s="54"/>
      <c r="AF807" s="54"/>
      <c r="AG807" s="54"/>
      <c r="AH807" s="54"/>
      <c r="AI807" s="54"/>
      <c r="AJ807" s="54"/>
      <c r="AK807" s="54"/>
      <c r="AL807" s="54"/>
      <c r="AM807" s="54"/>
      <c r="AN807" s="54"/>
      <c r="AO807" s="54"/>
      <c r="AP807" s="54"/>
      <c r="AQ807" s="54"/>
      <c r="AR807" s="54"/>
      <c r="AS807" s="54"/>
      <c r="AT807" s="54"/>
    </row>
    <row r="808">
      <c r="A808" s="54"/>
      <c r="B808" s="54"/>
      <c r="C808" s="54"/>
      <c r="D808" s="54"/>
      <c r="E808" s="54"/>
      <c r="F808" s="54"/>
      <c r="G808" s="54"/>
      <c r="H808" s="54"/>
      <c r="I808" s="54"/>
      <c r="J808" s="54"/>
      <c r="K808" s="54"/>
      <c r="L808" s="54"/>
      <c r="M808" s="54"/>
      <c r="N808" s="54"/>
      <c r="O808" s="54"/>
      <c r="P808" s="54"/>
      <c r="Q808" s="54"/>
      <c r="R808" s="54"/>
      <c r="S808" s="54"/>
      <c r="T808" s="54"/>
      <c r="U808" s="54"/>
      <c r="V808" s="54"/>
      <c r="W808" s="54"/>
      <c r="X808" s="54"/>
      <c r="Y808" s="350"/>
      <c r="Z808" s="54"/>
      <c r="AA808" s="54"/>
      <c r="AB808" s="54"/>
      <c r="AC808" s="54"/>
      <c r="AD808" s="54"/>
      <c r="AE808" s="54"/>
      <c r="AF808" s="54"/>
      <c r="AG808" s="54"/>
      <c r="AH808" s="54"/>
      <c r="AI808" s="54"/>
      <c r="AJ808" s="54"/>
      <c r="AK808" s="54"/>
      <c r="AL808" s="54"/>
      <c r="AM808" s="54"/>
      <c r="AN808" s="54"/>
      <c r="AO808" s="54"/>
      <c r="AP808" s="54"/>
      <c r="AQ808" s="54"/>
      <c r="AR808" s="54"/>
      <c r="AS808" s="54"/>
      <c r="AT808" s="54"/>
    </row>
    <row r="809">
      <c r="A809" s="54"/>
      <c r="B809" s="54"/>
      <c r="C809" s="54"/>
      <c r="D809" s="54"/>
      <c r="E809" s="54"/>
      <c r="F809" s="54"/>
      <c r="G809" s="54"/>
      <c r="H809" s="54"/>
      <c r="I809" s="54"/>
      <c r="J809" s="54"/>
      <c r="K809" s="54"/>
      <c r="L809" s="54"/>
      <c r="M809" s="54"/>
      <c r="N809" s="54"/>
      <c r="O809" s="54"/>
      <c r="P809" s="54"/>
      <c r="Q809" s="54"/>
      <c r="R809" s="54"/>
      <c r="S809" s="54"/>
      <c r="T809" s="54"/>
      <c r="U809" s="54"/>
      <c r="V809" s="54"/>
      <c r="W809" s="54"/>
      <c r="X809" s="54"/>
      <c r="Y809" s="350"/>
      <c r="Z809" s="54"/>
      <c r="AA809" s="54"/>
      <c r="AB809" s="54"/>
      <c r="AC809" s="54"/>
      <c r="AD809" s="54"/>
      <c r="AE809" s="54"/>
      <c r="AF809" s="54"/>
      <c r="AG809" s="54"/>
      <c r="AH809" s="54"/>
      <c r="AI809" s="54"/>
      <c r="AJ809" s="54"/>
      <c r="AK809" s="54"/>
      <c r="AL809" s="54"/>
      <c r="AM809" s="54"/>
      <c r="AN809" s="54"/>
      <c r="AO809" s="54"/>
      <c r="AP809" s="54"/>
      <c r="AQ809" s="54"/>
      <c r="AR809" s="54"/>
      <c r="AS809" s="54"/>
      <c r="AT809" s="54"/>
    </row>
    <row r="810">
      <c r="A810" s="54"/>
      <c r="B810" s="54"/>
      <c r="C810" s="54"/>
      <c r="D810" s="54"/>
      <c r="E810" s="54"/>
      <c r="F810" s="54"/>
      <c r="G810" s="54"/>
      <c r="H810" s="54"/>
      <c r="I810" s="54"/>
      <c r="J810" s="54"/>
      <c r="K810" s="54"/>
      <c r="L810" s="54"/>
      <c r="M810" s="54"/>
      <c r="N810" s="54"/>
      <c r="O810" s="54"/>
      <c r="P810" s="54"/>
      <c r="Q810" s="54"/>
      <c r="R810" s="54"/>
      <c r="S810" s="54"/>
      <c r="T810" s="54"/>
      <c r="U810" s="54"/>
      <c r="V810" s="54"/>
      <c r="W810" s="54"/>
      <c r="X810" s="54"/>
      <c r="Y810" s="350"/>
      <c r="Z810" s="54"/>
      <c r="AA810" s="54"/>
      <c r="AB810" s="54"/>
      <c r="AC810" s="54"/>
      <c r="AD810" s="54"/>
      <c r="AE810" s="54"/>
      <c r="AF810" s="54"/>
      <c r="AG810" s="54"/>
      <c r="AH810" s="54"/>
      <c r="AI810" s="54"/>
      <c r="AJ810" s="54"/>
      <c r="AK810" s="54"/>
      <c r="AL810" s="54"/>
      <c r="AM810" s="54"/>
      <c r="AN810" s="54"/>
      <c r="AO810" s="54"/>
      <c r="AP810" s="54"/>
      <c r="AQ810" s="54"/>
      <c r="AR810" s="54"/>
      <c r="AS810" s="54"/>
      <c r="AT810" s="54"/>
    </row>
    <row r="811">
      <c r="A811" s="54"/>
      <c r="B811" s="54"/>
      <c r="C811" s="54"/>
      <c r="D811" s="54"/>
      <c r="E811" s="54"/>
      <c r="F811" s="54"/>
      <c r="G811" s="54"/>
      <c r="H811" s="54"/>
      <c r="I811" s="54"/>
      <c r="J811" s="54"/>
      <c r="K811" s="54"/>
      <c r="L811" s="54"/>
      <c r="M811" s="54"/>
      <c r="N811" s="54"/>
      <c r="O811" s="54"/>
      <c r="P811" s="54"/>
      <c r="Q811" s="54"/>
      <c r="R811" s="54"/>
      <c r="S811" s="54"/>
      <c r="T811" s="54"/>
      <c r="U811" s="54"/>
      <c r="V811" s="54"/>
      <c r="W811" s="54"/>
      <c r="X811" s="54"/>
      <c r="Y811" s="350"/>
      <c r="Z811" s="54"/>
      <c r="AA811" s="54"/>
      <c r="AB811" s="54"/>
      <c r="AC811" s="54"/>
      <c r="AD811" s="54"/>
      <c r="AE811" s="54"/>
      <c r="AF811" s="54"/>
      <c r="AG811" s="54"/>
      <c r="AH811" s="54"/>
      <c r="AI811" s="54"/>
      <c r="AJ811" s="54"/>
      <c r="AK811" s="54"/>
      <c r="AL811" s="54"/>
      <c r="AM811" s="54"/>
      <c r="AN811" s="54"/>
      <c r="AO811" s="54"/>
      <c r="AP811" s="54"/>
      <c r="AQ811" s="54"/>
      <c r="AR811" s="54"/>
      <c r="AS811" s="54"/>
      <c r="AT811" s="54"/>
    </row>
    <row r="812">
      <c r="A812" s="54"/>
      <c r="B812" s="54"/>
      <c r="C812" s="54"/>
      <c r="D812" s="54"/>
      <c r="E812" s="54"/>
      <c r="F812" s="54"/>
      <c r="G812" s="54"/>
      <c r="H812" s="54"/>
      <c r="I812" s="54"/>
      <c r="J812" s="54"/>
      <c r="K812" s="54"/>
      <c r="L812" s="54"/>
      <c r="M812" s="54"/>
      <c r="N812" s="54"/>
      <c r="O812" s="54"/>
      <c r="P812" s="54"/>
      <c r="Q812" s="54"/>
      <c r="R812" s="54"/>
      <c r="S812" s="54"/>
      <c r="T812" s="54"/>
      <c r="U812" s="54"/>
      <c r="V812" s="54"/>
      <c r="W812" s="54"/>
      <c r="X812" s="54"/>
      <c r="Y812" s="350"/>
      <c r="Z812" s="54"/>
      <c r="AA812" s="54"/>
      <c r="AB812" s="54"/>
      <c r="AC812" s="54"/>
      <c r="AD812" s="54"/>
      <c r="AE812" s="54"/>
      <c r="AF812" s="54"/>
      <c r="AG812" s="54"/>
      <c r="AH812" s="54"/>
      <c r="AI812" s="54"/>
      <c r="AJ812" s="54"/>
      <c r="AK812" s="54"/>
      <c r="AL812" s="54"/>
      <c r="AM812" s="54"/>
      <c r="AN812" s="54"/>
      <c r="AO812" s="54"/>
      <c r="AP812" s="54"/>
      <c r="AQ812" s="54"/>
      <c r="AR812" s="54"/>
      <c r="AS812" s="54"/>
      <c r="AT812" s="54"/>
    </row>
    <row r="813">
      <c r="A813" s="54"/>
      <c r="B813" s="54"/>
      <c r="C813" s="54"/>
      <c r="D813" s="54"/>
      <c r="E813" s="54"/>
      <c r="F813" s="54"/>
      <c r="G813" s="54"/>
      <c r="H813" s="54"/>
      <c r="I813" s="54"/>
      <c r="J813" s="54"/>
      <c r="K813" s="54"/>
      <c r="L813" s="54"/>
      <c r="M813" s="54"/>
      <c r="N813" s="54"/>
      <c r="O813" s="54"/>
      <c r="P813" s="54"/>
      <c r="Q813" s="54"/>
      <c r="R813" s="54"/>
      <c r="S813" s="54"/>
      <c r="T813" s="54"/>
      <c r="U813" s="54"/>
      <c r="V813" s="54"/>
      <c r="W813" s="54"/>
      <c r="X813" s="54"/>
      <c r="Y813" s="350"/>
      <c r="Z813" s="54"/>
      <c r="AA813" s="54"/>
      <c r="AB813" s="54"/>
      <c r="AC813" s="54"/>
      <c r="AD813" s="54"/>
      <c r="AE813" s="54"/>
      <c r="AF813" s="54"/>
      <c r="AG813" s="54"/>
      <c r="AH813" s="54"/>
      <c r="AI813" s="54"/>
      <c r="AJ813" s="54"/>
      <c r="AK813" s="54"/>
      <c r="AL813" s="54"/>
      <c r="AM813" s="54"/>
      <c r="AN813" s="54"/>
      <c r="AO813" s="54"/>
      <c r="AP813" s="54"/>
      <c r="AQ813" s="54"/>
      <c r="AR813" s="54"/>
      <c r="AS813" s="54"/>
      <c r="AT813" s="54"/>
    </row>
    <row r="814">
      <c r="A814" s="54"/>
      <c r="B814" s="54"/>
      <c r="C814" s="54"/>
      <c r="D814" s="54"/>
      <c r="E814" s="54"/>
      <c r="F814" s="54"/>
      <c r="G814" s="54"/>
      <c r="H814" s="54"/>
      <c r="I814" s="54"/>
      <c r="J814" s="54"/>
      <c r="K814" s="54"/>
      <c r="L814" s="54"/>
      <c r="M814" s="54"/>
      <c r="N814" s="54"/>
      <c r="O814" s="54"/>
      <c r="P814" s="54"/>
      <c r="Q814" s="54"/>
      <c r="R814" s="54"/>
      <c r="S814" s="54"/>
      <c r="T814" s="54"/>
      <c r="U814" s="54"/>
      <c r="V814" s="54"/>
      <c r="W814" s="54"/>
      <c r="X814" s="54"/>
      <c r="Y814" s="350"/>
      <c r="Z814" s="54"/>
      <c r="AA814" s="54"/>
      <c r="AB814" s="54"/>
      <c r="AC814" s="54"/>
      <c r="AD814" s="54"/>
      <c r="AE814" s="54"/>
      <c r="AF814" s="54"/>
      <c r="AG814" s="54"/>
      <c r="AH814" s="54"/>
      <c r="AI814" s="54"/>
      <c r="AJ814" s="54"/>
      <c r="AK814" s="54"/>
      <c r="AL814" s="54"/>
      <c r="AM814" s="54"/>
      <c r="AN814" s="54"/>
      <c r="AO814" s="54"/>
      <c r="AP814" s="54"/>
      <c r="AQ814" s="54"/>
      <c r="AR814" s="54"/>
      <c r="AS814" s="54"/>
      <c r="AT814" s="54"/>
    </row>
    <row r="815">
      <c r="A815" s="54"/>
      <c r="B815" s="54"/>
      <c r="C815" s="54"/>
      <c r="D815" s="54"/>
      <c r="E815" s="54"/>
      <c r="F815" s="54"/>
      <c r="G815" s="54"/>
      <c r="H815" s="54"/>
      <c r="I815" s="54"/>
      <c r="J815" s="54"/>
      <c r="K815" s="54"/>
      <c r="L815" s="54"/>
      <c r="M815" s="54"/>
      <c r="N815" s="54"/>
      <c r="O815" s="54"/>
      <c r="P815" s="54"/>
      <c r="Q815" s="54"/>
      <c r="R815" s="54"/>
      <c r="S815" s="54"/>
      <c r="T815" s="54"/>
      <c r="U815" s="54"/>
      <c r="V815" s="54"/>
      <c r="W815" s="54"/>
      <c r="X815" s="54"/>
      <c r="Y815" s="350"/>
      <c r="Z815" s="54"/>
      <c r="AA815" s="54"/>
      <c r="AB815" s="54"/>
      <c r="AC815" s="54"/>
      <c r="AD815" s="54"/>
      <c r="AE815" s="54"/>
      <c r="AF815" s="54"/>
      <c r="AG815" s="54"/>
      <c r="AH815" s="54"/>
      <c r="AI815" s="54"/>
      <c r="AJ815" s="54"/>
      <c r="AK815" s="54"/>
      <c r="AL815" s="54"/>
      <c r="AM815" s="54"/>
      <c r="AN815" s="54"/>
      <c r="AO815" s="54"/>
      <c r="AP815" s="54"/>
      <c r="AQ815" s="54"/>
      <c r="AR815" s="54"/>
      <c r="AS815" s="54"/>
      <c r="AT815" s="54"/>
    </row>
    <row r="816">
      <c r="A816" s="54"/>
      <c r="B816" s="54"/>
      <c r="C816" s="54"/>
      <c r="D816" s="54"/>
      <c r="E816" s="54"/>
      <c r="F816" s="54"/>
      <c r="G816" s="54"/>
      <c r="H816" s="54"/>
      <c r="I816" s="54"/>
      <c r="J816" s="54"/>
      <c r="K816" s="54"/>
      <c r="L816" s="54"/>
      <c r="M816" s="54"/>
      <c r="N816" s="54"/>
      <c r="O816" s="54"/>
      <c r="P816" s="54"/>
      <c r="Q816" s="54"/>
      <c r="R816" s="54"/>
      <c r="S816" s="54"/>
      <c r="T816" s="54"/>
      <c r="U816" s="54"/>
      <c r="V816" s="54"/>
      <c r="W816" s="54"/>
      <c r="X816" s="54"/>
      <c r="Y816" s="350"/>
      <c r="Z816" s="54"/>
      <c r="AA816" s="54"/>
      <c r="AB816" s="54"/>
      <c r="AC816" s="54"/>
      <c r="AD816" s="54"/>
      <c r="AE816" s="54"/>
      <c r="AF816" s="54"/>
      <c r="AG816" s="54"/>
      <c r="AH816" s="54"/>
      <c r="AI816" s="54"/>
      <c r="AJ816" s="54"/>
      <c r="AK816" s="54"/>
      <c r="AL816" s="54"/>
      <c r="AM816" s="54"/>
      <c r="AN816" s="54"/>
      <c r="AO816" s="54"/>
      <c r="AP816" s="54"/>
      <c r="AQ816" s="54"/>
      <c r="AR816" s="54"/>
      <c r="AS816" s="54"/>
      <c r="AT816" s="54"/>
    </row>
    <row r="817">
      <c r="A817" s="54"/>
      <c r="B817" s="54"/>
      <c r="C817" s="54"/>
      <c r="D817" s="54"/>
      <c r="E817" s="54"/>
      <c r="F817" s="54"/>
      <c r="G817" s="54"/>
      <c r="H817" s="54"/>
      <c r="I817" s="54"/>
      <c r="J817" s="54"/>
      <c r="K817" s="54"/>
      <c r="L817" s="54"/>
      <c r="M817" s="54"/>
      <c r="N817" s="54"/>
      <c r="O817" s="54"/>
      <c r="P817" s="54"/>
      <c r="Q817" s="54"/>
      <c r="R817" s="54"/>
      <c r="S817" s="54"/>
      <c r="T817" s="54"/>
      <c r="U817" s="54"/>
      <c r="V817" s="54"/>
      <c r="W817" s="54"/>
      <c r="X817" s="54"/>
      <c r="Y817" s="350"/>
      <c r="Z817" s="54"/>
      <c r="AA817" s="54"/>
      <c r="AB817" s="54"/>
      <c r="AC817" s="54"/>
      <c r="AD817" s="54"/>
      <c r="AE817" s="54"/>
      <c r="AF817" s="54"/>
      <c r="AG817" s="54"/>
      <c r="AH817" s="54"/>
      <c r="AI817" s="54"/>
      <c r="AJ817" s="54"/>
      <c r="AK817" s="54"/>
      <c r="AL817" s="54"/>
      <c r="AM817" s="54"/>
      <c r="AN817" s="54"/>
      <c r="AO817" s="54"/>
      <c r="AP817" s="54"/>
      <c r="AQ817" s="54"/>
      <c r="AR817" s="54"/>
      <c r="AS817" s="54"/>
      <c r="AT817" s="54"/>
    </row>
    <row r="818">
      <c r="A818" s="54"/>
      <c r="B818" s="54"/>
      <c r="C818" s="54"/>
      <c r="D818" s="54"/>
      <c r="E818" s="54"/>
      <c r="F818" s="54"/>
      <c r="G818" s="54"/>
      <c r="H818" s="54"/>
      <c r="I818" s="54"/>
      <c r="J818" s="54"/>
      <c r="K818" s="54"/>
      <c r="L818" s="54"/>
      <c r="M818" s="54"/>
      <c r="N818" s="54"/>
      <c r="O818" s="54"/>
      <c r="P818" s="54"/>
      <c r="Q818" s="54"/>
      <c r="R818" s="54"/>
      <c r="S818" s="54"/>
      <c r="T818" s="54"/>
      <c r="U818" s="54"/>
      <c r="V818" s="54"/>
      <c r="W818" s="54"/>
      <c r="X818" s="54"/>
      <c r="Y818" s="350"/>
      <c r="Z818" s="54"/>
      <c r="AA818" s="54"/>
      <c r="AB818" s="54"/>
      <c r="AC818" s="54"/>
      <c r="AD818" s="54"/>
      <c r="AE818" s="54"/>
      <c r="AF818" s="54"/>
      <c r="AG818" s="54"/>
      <c r="AH818" s="54"/>
      <c r="AI818" s="54"/>
      <c r="AJ818" s="54"/>
      <c r="AK818" s="54"/>
      <c r="AL818" s="54"/>
      <c r="AM818" s="54"/>
      <c r="AN818" s="54"/>
      <c r="AO818" s="54"/>
      <c r="AP818" s="54"/>
      <c r="AQ818" s="54"/>
      <c r="AR818" s="54"/>
      <c r="AS818" s="54"/>
      <c r="AT818" s="54"/>
    </row>
    <row r="819">
      <c r="A819" s="54"/>
      <c r="B819" s="54"/>
      <c r="C819" s="54"/>
      <c r="D819" s="54"/>
      <c r="E819" s="54"/>
      <c r="F819" s="54"/>
      <c r="G819" s="54"/>
      <c r="H819" s="54"/>
      <c r="I819" s="54"/>
      <c r="J819" s="54"/>
      <c r="K819" s="54"/>
      <c r="L819" s="54"/>
      <c r="M819" s="54"/>
      <c r="N819" s="54"/>
      <c r="O819" s="54"/>
      <c r="P819" s="54"/>
      <c r="Q819" s="54"/>
      <c r="R819" s="54"/>
      <c r="S819" s="54"/>
      <c r="T819" s="54"/>
      <c r="U819" s="54"/>
      <c r="V819" s="54"/>
      <c r="W819" s="54"/>
      <c r="X819" s="54"/>
      <c r="Y819" s="350"/>
      <c r="Z819" s="54"/>
      <c r="AA819" s="54"/>
      <c r="AB819" s="54"/>
      <c r="AC819" s="54"/>
      <c r="AD819" s="54"/>
      <c r="AE819" s="54"/>
      <c r="AF819" s="54"/>
      <c r="AG819" s="54"/>
      <c r="AH819" s="54"/>
      <c r="AI819" s="54"/>
      <c r="AJ819" s="54"/>
      <c r="AK819" s="54"/>
      <c r="AL819" s="54"/>
      <c r="AM819" s="54"/>
      <c r="AN819" s="54"/>
      <c r="AO819" s="54"/>
      <c r="AP819" s="54"/>
      <c r="AQ819" s="54"/>
      <c r="AR819" s="54"/>
      <c r="AS819" s="54"/>
      <c r="AT819" s="54"/>
    </row>
    <row r="820">
      <c r="A820" s="54"/>
      <c r="B820" s="54"/>
      <c r="C820" s="54"/>
      <c r="D820" s="54"/>
      <c r="E820" s="54"/>
      <c r="F820" s="54"/>
      <c r="G820" s="54"/>
      <c r="H820" s="54"/>
      <c r="I820" s="54"/>
      <c r="J820" s="54"/>
      <c r="K820" s="54"/>
      <c r="L820" s="54"/>
      <c r="M820" s="54"/>
      <c r="N820" s="54"/>
      <c r="O820" s="54"/>
      <c r="P820" s="54"/>
      <c r="Q820" s="54"/>
      <c r="R820" s="54"/>
      <c r="S820" s="54"/>
      <c r="T820" s="54"/>
      <c r="U820" s="54"/>
      <c r="V820" s="54"/>
      <c r="W820" s="54"/>
      <c r="X820" s="54"/>
      <c r="Y820" s="350"/>
      <c r="Z820" s="54"/>
      <c r="AA820" s="54"/>
      <c r="AB820" s="54"/>
      <c r="AC820" s="54"/>
      <c r="AD820" s="54"/>
      <c r="AE820" s="54"/>
      <c r="AF820" s="54"/>
      <c r="AG820" s="54"/>
      <c r="AH820" s="54"/>
      <c r="AI820" s="54"/>
      <c r="AJ820" s="54"/>
      <c r="AK820" s="54"/>
      <c r="AL820" s="54"/>
      <c r="AM820" s="54"/>
      <c r="AN820" s="54"/>
      <c r="AO820" s="54"/>
      <c r="AP820" s="54"/>
      <c r="AQ820" s="54"/>
      <c r="AR820" s="54"/>
      <c r="AS820" s="54"/>
      <c r="AT820" s="54"/>
    </row>
    <row r="821">
      <c r="A821" s="54"/>
      <c r="B821" s="54"/>
      <c r="C821" s="54"/>
      <c r="D821" s="54"/>
      <c r="E821" s="54"/>
      <c r="F821" s="54"/>
      <c r="G821" s="54"/>
      <c r="H821" s="54"/>
      <c r="I821" s="54"/>
      <c r="J821" s="54"/>
      <c r="K821" s="54"/>
      <c r="L821" s="54"/>
      <c r="M821" s="54"/>
      <c r="N821" s="54"/>
      <c r="O821" s="54"/>
      <c r="P821" s="54"/>
      <c r="Q821" s="54"/>
      <c r="R821" s="54"/>
      <c r="S821" s="54"/>
      <c r="T821" s="54"/>
      <c r="U821" s="54"/>
      <c r="V821" s="54"/>
      <c r="W821" s="54"/>
      <c r="X821" s="54"/>
      <c r="Y821" s="350"/>
      <c r="Z821" s="54"/>
      <c r="AA821" s="54"/>
      <c r="AB821" s="54"/>
      <c r="AC821" s="54"/>
      <c r="AD821" s="54"/>
      <c r="AE821" s="54"/>
      <c r="AF821" s="54"/>
      <c r="AG821" s="54"/>
      <c r="AH821" s="54"/>
      <c r="AI821" s="54"/>
      <c r="AJ821" s="54"/>
      <c r="AK821" s="54"/>
      <c r="AL821" s="54"/>
      <c r="AM821" s="54"/>
      <c r="AN821" s="54"/>
      <c r="AO821" s="54"/>
      <c r="AP821" s="54"/>
      <c r="AQ821" s="54"/>
      <c r="AR821" s="54"/>
      <c r="AS821" s="54"/>
      <c r="AT821" s="54"/>
    </row>
    <row r="822">
      <c r="A822" s="54"/>
      <c r="B822" s="54"/>
      <c r="C822" s="54"/>
      <c r="D822" s="54"/>
      <c r="E822" s="54"/>
      <c r="F822" s="54"/>
      <c r="G822" s="54"/>
      <c r="H822" s="54"/>
      <c r="I822" s="54"/>
      <c r="J822" s="54"/>
      <c r="K822" s="54"/>
      <c r="L822" s="54"/>
      <c r="M822" s="54"/>
      <c r="N822" s="54"/>
      <c r="O822" s="54"/>
      <c r="P822" s="54"/>
      <c r="Q822" s="54"/>
      <c r="R822" s="54"/>
      <c r="S822" s="54"/>
      <c r="T822" s="54"/>
      <c r="U822" s="54"/>
      <c r="V822" s="54"/>
      <c r="W822" s="54"/>
      <c r="X822" s="54"/>
      <c r="Y822" s="350"/>
      <c r="Z822" s="54"/>
      <c r="AA822" s="54"/>
      <c r="AB822" s="54"/>
      <c r="AC822" s="54"/>
      <c r="AD822" s="54"/>
      <c r="AE822" s="54"/>
      <c r="AF822" s="54"/>
      <c r="AG822" s="54"/>
      <c r="AH822" s="54"/>
      <c r="AI822" s="54"/>
      <c r="AJ822" s="54"/>
      <c r="AK822" s="54"/>
      <c r="AL822" s="54"/>
      <c r="AM822" s="54"/>
      <c r="AN822" s="54"/>
      <c r="AO822" s="54"/>
      <c r="AP822" s="54"/>
      <c r="AQ822" s="54"/>
      <c r="AR822" s="54"/>
      <c r="AS822" s="54"/>
      <c r="AT822" s="54"/>
    </row>
    <row r="823">
      <c r="A823" s="54"/>
      <c r="B823" s="54"/>
      <c r="C823" s="54"/>
      <c r="D823" s="54"/>
      <c r="E823" s="54"/>
      <c r="F823" s="54"/>
      <c r="G823" s="54"/>
      <c r="H823" s="54"/>
      <c r="I823" s="54"/>
      <c r="J823" s="54"/>
      <c r="K823" s="54"/>
      <c r="L823" s="54"/>
      <c r="M823" s="54"/>
      <c r="N823" s="54"/>
      <c r="O823" s="54"/>
      <c r="P823" s="54"/>
      <c r="Q823" s="54"/>
      <c r="R823" s="54"/>
      <c r="S823" s="54"/>
      <c r="T823" s="54"/>
      <c r="U823" s="54"/>
      <c r="V823" s="54"/>
      <c r="W823" s="54"/>
      <c r="X823" s="54"/>
      <c r="Y823" s="350"/>
      <c r="Z823" s="54"/>
      <c r="AA823" s="54"/>
      <c r="AB823" s="54"/>
      <c r="AC823" s="54"/>
      <c r="AD823" s="54"/>
      <c r="AE823" s="54"/>
      <c r="AF823" s="54"/>
      <c r="AG823" s="54"/>
      <c r="AH823" s="54"/>
      <c r="AI823" s="54"/>
      <c r="AJ823" s="54"/>
      <c r="AK823" s="54"/>
      <c r="AL823" s="54"/>
      <c r="AM823" s="54"/>
      <c r="AN823" s="54"/>
      <c r="AO823" s="54"/>
      <c r="AP823" s="54"/>
      <c r="AQ823" s="54"/>
      <c r="AR823" s="54"/>
      <c r="AS823" s="54"/>
      <c r="AT823" s="54"/>
    </row>
    <row r="824">
      <c r="A824" s="54"/>
      <c r="B824" s="54"/>
      <c r="C824" s="54"/>
      <c r="D824" s="54"/>
      <c r="E824" s="54"/>
      <c r="F824" s="54"/>
      <c r="G824" s="54"/>
      <c r="H824" s="54"/>
      <c r="I824" s="54"/>
      <c r="J824" s="54"/>
      <c r="K824" s="54"/>
      <c r="L824" s="54"/>
      <c r="M824" s="54"/>
      <c r="N824" s="54"/>
      <c r="O824" s="54"/>
      <c r="P824" s="54"/>
      <c r="Q824" s="54"/>
      <c r="R824" s="54"/>
      <c r="S824" s="54"/>
      <c r="T824" s="54"/>
      <c r="U824" s="54"/>
      <c r="V824" s="54"/>
      <c r="W824" s="54"/>
      <c r="X824" s="54"/>
      <c r="Y824" s="350"/>
      <c r="Z824" s="54"/>
      <c r="AA824" s="54"/>
      <c r="AB824" s="54"/>
      <c r="AC824" s="54"/>
      <c r="AD824" s="54"/>
      <c r="AE824" s="54"/>
      <c r="AF824" s="54"/>
      <c r="AG824" s="54"/>
      <c r="AH824" s="54"/>
      <c r="AI824" s="54"/>
      <c r="AJ824" s="54"/>
      <c r="AK824" s="54"/>
      <c r="AL824" s="54"/>
      <c r="AM824" s="54"/>
      <c r="AN824" s="54"/>
      <c r="AO824" s="54"/>
      <c r="AP824" s="54"/>
      <c r="AQ824" s="54"/>
      <c r="AR824" s="54"/>
      <c r="AS824" s="54"/>
      <c r="AT824" s="54"/>
    </row>
    <row r="825">
      <c r="A825" s="54"/>
      <c r="B825" s="54"/>
      <c r="C825" s="54"/>
      <c r="D825" s="54"/>
      <c r="E825" s="54"/>
      <c r="F825" s="54"/>
      <c r="G825" s="54"/>
      <c r="H825" s="54"/>
      <c r="I825" s="54"/>
      <c r="J825" s="54"/>
      <c r="K825" s="54"/>
      <c r="L825" s="54"/>
      <c r="M825" s="54"/>
      <c r="N825" s="54"/>
      <c r="O825" s="54"/>
      <c r="P825" s="54"/>
      <c r="Q825" s="54"/>
      <c r="R825" s="54"/>
      <c r="S825" s="54"/>
      <c r="T825" s="54"/>
      <c r="U825" s="54"/>
      <c r="V825" s="54"/>
      <c r="W825" s="54"/>
      <c r="X825" s="54"/>
      <c r="Y825" s="350"/>
      <c r="Z825" s="54"/>
      <c r="AA825" s="54"/>
      <c r="AB825" s="54"/>
      <c r="AC825" s="54"/>
      <c r="AD825" s="54"/>
      <c r="AE825" s="54"/>
      <c r="AF825" s="54"/>
      <c r="AG825" s="54"/>
      <c r="AH825" s="54"/>
      <c r="AI825" s="54"/>
      <c r="AJ825" s="54"/>
      <c r="AK825" s="54"/>
      <c r="AL825" s="54"/>
      <c r="AM825" s="54"/>
      <c r="AN825" s="54"/>
      <c r="AO825" s="54"/>
      <c r="AP825" s="54"/>
      <c r="AQ825" s="54"/>
      <c r="AR825" s="54"/>
      <c r="AS825" s="54"/>
      <c r="AT825" s="54"/>
    </row>
    <row r="826">
      <c r="A826" s="54"/>
      <c r="B826" s="54"/>
      <c r="C826" s="54"/>
      <c r="D826" s="54"/>
      <c r="E826" s="54"/>
      <c r="F826" s="54"/>
      <c r="G826" s="54"/>
      <c r="H826" s="54"/>
      <c r="I826" s="54"/>
      <c r="J826" s="54"/>
      <c r="K826" s="54"/>
      <c r="L826" s="54"/>
      <c r="M826" s="54"/>
      <c r="N826" s="54"/>
      <c r="O826" s="54"/>
      <c r="P826" s="54"/>
      <c r="Q826" s="54"/>
      <c r="R826" s="54"/>
      <c r="S826" s="54"/>
      <c r="T826" s="54"/>
      <c r="U826" s="54"/>
      <c r="V826" s="54"/>
      <c r="W826" s="54"/>
      <c r="X826" s="54"/>
      <c r="Y826" s="350"/>
      <c r="Z826" s="54"/>
      <c r="AA826" s="54"/>
      <c r="AB826" s="54"/>
      <c r="AC826" s="54"/>
      <c r="AD826" s="54"/>
      <c r="AE826" s="54"/>
      <c r="AF826" s="54"/>
      <c r="AG826" s="54"/>
      <c r="AH826" s="54"/>
      <c r="AI826" s="54"/>
      <c r="AJ826" s="54"/>
      <c r="AK826" s="54"/>
      <c r="AL826" s="54"/>
      <c r="AM826" s="54"/>
      <c r="AN826" s="54"/>
      <c r="AO826" s="54"/>
      <c r="AP826" s="54"/>
      <c r="AQ826" s="54"/>
      <c r="AR826" s="54"/>
      <c r="AS826" s="54"/>
      <c r="AT826" s="54"/>
    </row>
    <row r="827">
      <c r="A827" s="54"/>
      <c r="B827" s="54"/>
      <c r="C827" s="54"/>
      <c r="D827" s="54"/>
      <c r="E827" s="54"/>
      <c r="F827" s="54"/>
      <c r="G827" s="54"/>
      <c r="H827" s="54"/>
      <c r="I827" s="54"/>
      <c r="J827" s="54"/>
      <c r="K827" s="54"/>
      <c r="L827" s="54"/>
      <c r="M827" s="54"/>
      <c r="N827" s="54"/>
      <c r="O827" s="54"/>
      <c r="P827" s="54"/>
      <c r="Q827" s="54"/>
      <c r="R827" s="54"/>
      <c r="S827" s="54"/>
      <c r="T827" s="54"/>
      <c r="U827" s="54"/>
      <c r="V827" s="54"/>
      <c r="W827" s="54"/>
      <c r="X827" s="54"/>
      <c r="Y827" s="350"/>
      <c r="Z827" s="54"/>
      <c r="AA827" s="54"/>
      <c r="AB827" s="54"/>
      <c r="AC827" s="54"/>
      <c r="AD827" s="54"/>
      <c r="AE827" s="54"/>
      <c r="AF827" s="54"/>
      <c r="AG827" s="54"/>
      <c r="AH827" s="54"/>
      <c r="AI827" s="54"/>
      <c r="AJ827" s="54"/>
      <c r="AK827" s="54"/>
      <c r="AL827" s="54"/>
      <c r="AM827" s="54"/>
      <c r="AN827" s="54"/>
      <c r="AO827" s="54"/>
      <c r="AP827" s="54"/>
      <c r="AQ827" s="54"/>
      <c r="AR827" s="54"/>
      <c r="AS827" s="54"/>
      <c r="AT827" s="54"/>
    </row>
    <row r="828">
      <c r="A828" s="54"/>
      <c r="B828" s="54"/>
      <c r="C828" s="54"/>
      <c r="D828" s="54"/>
      <c r="E828" s="54"/>
      <c r="F828" s="54"/>
      <c r="G828" s="54"/>
      <c r="H828" s="54"/>
      <c r="I828" s="54"/>
      <c r="J828" s="54"/>
      <c r="K828" s="54"/>
      <c r="L828" s="54"/>
      <c r="M828" s="54"/>
      <c r="N828" s="54"/>
      <c r="O828" s="54"/>
      <c r="P828" s="54"/>
      <c r="Q828" s="54"/>
      <c r="R828" s="54"/>
      <c r="S828" s="54"/>
      <c r="T828" s="54"/>
      <c r="U828" s="54"/>
      <c r="V828" s="54"/>
      <c r="W828" s="54"/>
      <c r="X828" s="54"/>
      <c r="Y828" s="350"/>
      <c r="Z828" s="54"/>
      <c r="AA828" s="54"/>
      <c r="AB828" s="54"/>
      <c r="AC828" s="54"/>
      <c r="AD828" s="54"/>
      <c r="AE828" s="54"/>
      <c r="AF828" s="54"/>
      <c r="AG828" s="54"/>
      <c r="AH828" s="54"/>
      <c r="AI828" s="54"/>
      <c r="AJ828" s="54"/>
      <c r="AK828" s="54"/>
      <c r="AL828" s="54"/>
      <c r="AM828" s="54"/>
      <c r="AN828" s="54"/>
      <c r="AO828" s="54"/>
      <c r="AP828" s="54"/>
      <c r="AQ828" s="54"/>
      <c r="AR828" s="54"/>
      <c r="AS828" s="54"/>
      <c r="AT828" s="54"/>
    </row>
    <row r="829">
      <c r="A829" s="54"/>
      <c r="B829" s="54"/>
      <c r="C829" s="54"/>
      <c r="D829" s="54"/>
      <c r="E829" s="54"/>
      <c r="F829" s="54"/>
      <c r="G829" s="54"/>
      <c r="H829" s="54"/>
      <c r="I829" s="54"/>
      <c r="J829" s="54"/>
      <c r="K829" s="54"/>
      <c r="L829" s="54"/>
      <c r="M829" s="54"/>
      <c r="N829" s="54"/>
      <c r="O829" s="54"/>
      <c r="P829" s="54"/>
      <c r="Q829" s="54"/>
      <c r="R829" s="54"/>
      <c r="S829" s="54"/>
      <c r="T829" s="54"/>
      <c r="U829" s="54"/>
      <c r="V829" s="54"/>
      <c r="W829" s="54"/>
      <c r="X829" s="54"/>
      <c r="Y829" s="350"/>
      <c r="Z829" s="54"/>
      <c r="AA829" s="54"/>
      <c r="AB829" s="54"/>
      <c r="AC829" s="54"/>
      <c r="AD829" s="54"/>
      <c r="AE829" s="54"/>
      <c r="AF829" s="54"/>
      <c r="AG829" s="54"/>
      <c r="AH829" s="54"/>
      <c r="AI829" s="54"/>
      <c r="AJ829" s="54"/>
      <c r="AK829" s="54"/>
      <c r="AL829" s="54"/>
      <c r="AM829" s="54"/>
      <c r="AN829" s="54"/>
      <c r="AO829" s="54"/>
      <c r="AP829" s="54"/>
      <c r="AQ829" s="54"/>
      <c r="AR829" s="54"/>
      <c r="AS829" s="54"/>
      <c r="AT829" s="54"/>
    </row>
    <row r="830">
      <c r="A830" s="54"/>
      <c r="B830" s="54"/>
      <c r="C830" s="54"/>
      <c r="D830" s="54"/>
      <c r="E830" s="54"/>
      <c r="F830" s="54"/>
      <c r="G830" s="54"/>
      <c r="H830" s="54"/>
      <c r="I830" s="54"/>
      <c r="J830" s="54"/>
      <c r="K830" s="54"/>
      <c r="L830" s="54"/>
      <c r="M830" s="54"/>
      <c r="N830" s="54"/>
      <c r="O830" s="54"/>
      <c r="P830" s="54"/>
      <c r="Q830" s="54"/>
      <c r="R830" s="54"/>
      <c r="S830" s="54"/>
      <c r="T830" s="54"/>
      <c r="U830" s="54"/>
      <c r="V830" s="54"/>
      <c r="W830" s="54"/>
      <c r="X830" s="54"/>
      <c r="Y830" s="350"/>
      <c r="Z830" s="54"/>
      <c r="AA830" s="54"/>
      <c r="AB830" s="54"/>
      <c r="AC830" s="54"/>
      <c r="AD830" s="54"/>
      <c r="AE830" s="54"/>
      <c r="AF830" s="54"/>
      <c r="AG830" s="54"/>
      <c r="AH830" s="54"/>
      <c r="AI830" s="54"/>
      <c r="AJ830" s="54"/>
      <c r="AK830" s="54"/>
      <c r="AL830" s="54"/>
      <c r="AM830" s="54"/>
      <c r="AN830" s="54"/>
      <c r="AO830" s="54"/>
      <c r="AP830" s="54"/>
      <c r="AQ830" s="54"/>
      <c r="AR830" s="54"/>
      <c r="AS830" s="54"/>
      <c r="AT830" s="54"/>
    </row>
    <row r="831">
      <c r="A831" s="54"/>
      <c r="B831" s="54"/>
      <c r="C831" s="54"/>
      <c r="D831" s="54"/>
      <c r="E831" s="54"/>
      <c r="F831" s="54"/>
      <c r="G831" s="54"/>
      <c r="H831" s="54"/>
      <c r="I831" s="54"/>
      <c r="J831" s="54"/>
      <c r="K831" s="54"/>
      <c r="L831" s="54"/>
      <c r="M831" s="54"/>
      <c r="N831" s="54"/>
      <c r="O831" s="54"/>
      <c r="P831" s="54"/>
      <c r="Q831" s="54"/>
      <c r="R831" s="54"/>
      <c r="S831" s="54"/>
      <c r="T831" s="54"/>
      <c r="U831" s="54"/>
      <c r="V831" s="54"/>
      <c r="W831" s="54"/>
      <c r="X831" s="54"/>
      <c r="Y831" s="350"/>
      <c r="Z831" s="54"/>
      <c r="AA831" s="54"/>
      <c r="AB831" s="54"/>
      <c r="AC831" s="54"/>
      <c r="AD831" s="54"/>
      <c r="AE831" s="54"/>
      <c r="AF831" s="54"/>
      <c r="AG831" s="54"/>
      <c r="AH831" s="54"/>
      <c r="AI831" s="54"/>
      <c r="AJ831" s="54"/>
      <c r="AK831" s="54"/>
      <c r="AL831" s="54"/>
      <c r="AM831" s="54"/>
      <c r="AN831" s="54"/>
      <c r="AO831" s="54"/>
      <c r="AP831" s="54"/>
      <c r="AQ831" s="54"/>
      <c r="AR831" s="54"/>
      <c r="AS831" s="54"/>
      <c r="AT831" s="54"/>
    </row>
    <row r="832">
      <c r="A832" s="54"/>
      <c r="B832" s="54"/>
      <c r="C832" s="54"/>
      <c r="D832" s="54"/>
      <c r="E832" s="54"/>
      <c r="F832" s="54"/>
      <c r="G832" s="54"/>
      <c r="H832" s="54"/>
      <c r="I832" s="54"/>
      <c r="J832" s="54"/>
      <c r="K832" s="54"/>
      <c r="L832" s="54"/>
      <c r="M832" s="54"/>
      <c r="N832" s="54"/>
      <c r="O832" s="54"/>
      <c r="P832" s="54"/>
      <c r="Q832" s="54"/>
      <c r="R832" s="54"/>
      <c r="S832" s="54"/>
      <c r="T832" s="54"/>
      <c r="U832" s="54"/>
      <c r="V832" s="54"/>
      <c r="W832" s="54"/>
      <c r="X832" s="54"/>
      <c r="Y832" s="350"/>
      <c r="Z832" s="54"/>
      <c r="AA832" s="54"/>
      <c r="AB832" s="54"/>
      <c r="AC832" s="54"/>
      <c r="AD832" s="54"/>
      <c r="AE832" s="54"/>
      <c r="AF832" s="54"/>
      <c r="AG832" s="54"/>
      <c r="AH832" s="54"/>
      <c r="AI832" s="54"/>
      <c r="AJ832" s="54"/>
      <c r="AK832" s="54"/>
      <c r="AL832" s="54"/>
      <c r="AM832" s="54"/>
      <c r="AN832" s="54"/>
      <c r="AO832" s="54"/>
      <c r="AP832" s="54"/>
      <c r="AQ832" s="54"/>
      <c r="AR832" s="54"/>
      <c r="AS832" s="54"/>
      <c r="AT832" s="54"/>
    </row>
    <row r="833">
      <c r="A833" s="54"/>
      <c r="B833" s="54"/>
      <c r="C833" s="54"/>
      <c r="D833" s="54"/>
      <c r="E833" s="54"/>
      <c r="F833" s="54"/>
      <c r="G833" s="54"/>
      <c r="H833" s="54"/>
      <c r="I833" s="54"/>
      <c r="J833" s="54"/>
      <c r="K833" s="54"/>
      <c r="L833" s="54"/>
      <c r="M833" s="54"/>
      <c r="N833" s="54"/>
      <c r="O833" s="54"/>
      <c r="P833" s="54"/>
      <c r="Q833" s="54"/>
      <c r="R833" s="54"/>
      <c r="S833" s="54"/>
      <c r="T833" s="54"/>
      <c r="U833" s="54"/>
      <c r="V833" s="54"/>
      <c r="W833" s="54"/>
      <c r="X833" s="54"/>
      <c r="Y833" s="350"/>
      <c r="Z833" s="54"/>
      <c r="AA833" s="54"/>
      <c r="AB833" s="54"/>
      <c r="AC833" s="54"/>
      <c r="AD833" s="54"/>
      <c r="AE833" s="54"/>
      <c r="AF833" s="54"/>
      <c r="AG833" s="54"/>
      <c r="AH833" s="54"/>
      <c r="AI833" s="54"/>
      <c r="AJ833" s="54"/>
      <c r="AK833" s="54"/>
      <c r="AL833" s="54"/>
      <c r="AM833" s="54"/>
      <c r="AN833" s="54"/>
      <c r="AO833" s="54"/>
      <c r="AP833" s="54"/>
      <c r="AQ833" s="54"/>
      <c r="AR833" s="54"/>
      <c r="AS833" s="54"/>
      <c r="AT833" s="54"/>
    </row>
    <row r="834">
      <c r="A834" s="54"/>
      <c r="B834" s="54"/>
      <c r="C834" s="54"/>
      <c r="D834" s="54"/>
      <c r="E834" s="54"/>
      <c r="F834" s="54"/>
      <c r="G834" s="54"/>
      <c r="H834" s="54"/>
      <c r="I834" s="54"/>
      <c r="J834" s="54"/>
      <c r="K834" s="54"/>
      <c r="L834" s="54"/>
      <c r="M834" s="54"/>
      <c r="N834" s="54"/>
      <c r="O834" s="54"/>
      <c r="P834" s="54"/>
      <c r="Q834" s="54"/>
      <c r="R834" s="54"/>
      <c r="S834" s="54"/>
      <c r="T834" s="54"/>
      <c r="U834" s="54"/>
      <c r="V834" s="54"/>
      <c r="W834" s="54"/>
      <c r="X834" s="54"/>
      <c r="Y834" s="350"/>
      <c r="Z834" s="54"/>
      <c r="AA834" s="54"/>
      <c r="AB834" s="54"/>
      <c r="AC834" s="54"/>
      <c r="AD834" s="54"/>
      <c r="AE834" s="54"/>
      <c r="AF834" s="54"/>
      <c r="AG834" s="54"/>
      <c r="AH834" s="54"/>
      <c r="AI834" s="54"/>
      <c r="AJ834" s="54"/>
      <c r="AK834" s="54"/>
      <c r="AL834" s="54"/>
      <c r="AM834" s="54"/>
      <c r="AN834" s="54"/>
      <c r="AO834" s="54"/>
      <c r="AP834" s="54"/>
      <c r="AQ834" s="54"/>
      <c r="AR834" s="54"/>
      <c r="AS834" s="54"/>
      <c r="AT834" s="54"/>
    </row>
    <row r="835">
      <c r="A835" s="54"/>
      <c r="B835" s="54"/>
      <c r="C835" s="54"/>
      <c r="D835" s="54"/>
      <c r="E835" s="54"/>
      <c r="F835" s="54"/>
      <c r="G835" s="54"/>
      <c r="H835" s="54"/>
      <c r="I835" s="54"/>
      <c r="J835" s="54"/>
      <c r="K835" s="54"/>
      <c r="L835" s="54"/>
      <c r="M835" s="54"/>
      <c r="N835" s="54"/>
      <c r="O835" s="54"/>
      <c r="P835" s="54"/>
      <c r="Q835" s="54"/>
      <c r="R835" s="54"/>
      <c r="S835" s="54"/>
      <c r="T835" s="54"/>
      <c r="U835" s="54"/>
      <c r="V835" s="54"/>
      <c r="W835" s="54"/>
      <c r="X835" s="54"/>
      <c r="Y835" s="350"/>
      <c r="Z835" s="54"/>
      <c r="AA835" s="54"/>
      <c r="AB835" s="54"/>
      <c r="AC835" s="54"/>
      <c r="AD835" s="54"/>
      <c r="AE835" s="54"/>
      <c r="AF835" s="54"/>
      <c r="AG835" s="54"/>
      <c r="AH835" s="54"/>
      <c r="AI835" s="54"/>
      <c r="AJ835" s="54"/>
      <c r="AK835" s="54"/>
      <c r="AL835" s="54"/>
      <c r="AM835" s="54"/>
      <c r="AN835" s="54"/>
      <c r="AO835" s="54"/>
      <c r="AP835" s="54"/>
      <c r="AQ835" s="54"/>
      <c r="AR835" s="54"/>
      <c r="AS835" s="54"/>
      <c r="AT835" s="54"/>
    </row>
    <row r="836">
      <c r="A836" s="54"/>
      <c r="B836" s="54"/>
      <c r="C836" s="54"/>
      <c r="D836" s="54"/>
      <c r="E836" s="54"/>
      <c r="F836" s="54"/>
      <c r="G836" s="54"/>
      <c r="H836" s="54"/>
      <c r="I836" s="54"/>
      <c r="J836" s="54"/>
      <c r="K836" s="54"/>
      <c r="L836" s="54"/>
      <c r="M836" s="54"/>
      <c r="N836" s="54"/>
      <c r="O836" s="54"/>
      <c r="P836" s="54"/>
      <c r="Q836" s="54"/>
      <c r="R836" s="54"/>
      <c r="S836" s="54"/>
      <c r="T836" s="54"/>
      <c r="U836" s="54"/>
      <c r="V836" s="54"/>
      <c r="W836" s="54"/>
      <c r="X836" s="54"/>
      <c r="Y836" s="350"/>
      <c r="Z836" s="54"/>
      <c r="AA836" s="54"/>
      <c r="AB836" s="54"/>
      <c r="AC836" s="54"/>
      <c r="AD836" s="54"/>
      <c r="AE836" s="54"/>
      <c r="AF836" s="54"/>
      <c r="AG836" s="54"/>
      <c r="AH836" s="54"/>
      <c r="AI836" s="54"/>
      <c r="AJ836" s="54"/>
      <c r="AK836" s="54"/>
      <c r="AL836" s="54"/>
      <c r="AM836" s="54"/>
      <c r="AN836" s="54"/>
      <c r="AO836" s="54"/>
      <c r="AP836" s="54"/>
      <c r="AQ836" s="54"/>
      <c r="AR836" s="54"/>
      <c r="AS836" s="54"/>
      <c r="AT836" s="54"/>
    </row>
    <row r="837">
      <c r="A837" s="54"/>
      <c r="B837" s="54"/>
      <c r="C837" s="54"/>
      <c r="D837" s="54"/>
      <c r="E837" s="54"/>
      <c r="F837" s="54"/>
      <c r="G837" s="54"/>
      <c r="H837" s="54"/>
      <c r="I837" s="54"/>
      <c r="J837" s="54"/>
      <c r="K837" s="54"/>
      <c r="L837" s="54"/>
      <c r="M837" s="54"/>
      <c r="N837" s="54"/>
      <c r="O837" s="54"/>
      <c r="P837" s="54"/>
      <c r="Q837" s="54"/>
      <c r="R837" s="54"/>
      <c r="S837" s="54"/>
      <c r="T837" s="54"/>
      <c r="U837" s="54"/>
      <c r="V837" s="54"/>
      <c r="W837" s="54"/>
      <c r="X837" s="54"/>
      <c r="Y837" s="350"/>
      <c r="Z837" s="54"/>
      <c r="AA837" s="54"/>
      <c r="AB837" s="54"/>
      <c r="AC837" s="54"/>
      <c r="AD837" s="54"/>
      <c r="AE837" s="54"/>
      <c r="AF837" s="54"/>
      <c r="AG837" s="54"/>
      <c r="AH837" s="54"/>
      <c r="AI837" s="54"/>
      <c r="AJ837" s="54"/>
      <c r="AK837" s="54"/>
      <c r="AL837" s="54"/>
      <c r="AM837" s="54"/>
      <c r="AN837" s="54"/>
      <c r="AO837" s="54"/>
      <c r="AP837" s="54"/>
      <c r="AQ837" s="54"/>
      <c r="AR837" s="54"/>
      <c r="AS837" s="54"/>
      <c r="AT837" s="54"/>
    </row>
    <row r="838">
      <c r="A838" s="54"/>
      <c r="B838" s="54"/>
      <c r="C838" s="54"/>
      <c r="D838" s="54"/>
      <c r="E838" s="54"/>
      <c r="F838" s="54"/>
      <c r="G838" s="54"/>
      <c r="H838" s="54"/>
      <c r="I838" s="54"/>
      <c r="J838" s="54"/>
      <c r="K838" s="54"/>
      <c r="L838" s="54"/>
      <c r="M838" s="54"/>
      <c r="N838" s="54"/>
      <c r="O838" s="54"/>
      <c r="P838" s="54"/>
      <c r="Q838" s="54"/>
      <c r="R838" s="54"/>
      <c r="S838" s="54"/>
      <c r="T838" s="54"/>
      <c r="U838" s="54"/>
      <c r="V838" s="54"/>
      <c r="W838" s="54"/>
      <c r="X838" s="54"/>
      <c r="Y838" s="350"/>
      <c r="Z838" s="54"/>
      <c r="AA838" s="54"/>
      <c r="AB838" s="54"/>
      <c r="AC838" s="54"/>
      <c r="AD838" s="54"/>
      <c r="AE838" s="54"/>
      <c r="AF838" s="54"/>
      <c r="AG838" s="54"/>
      <c r="AH838" s="54"/>
      <c r="AI838" s="54"/>
      <c r="AJ838" s="54"/>
      <c r="AK838" s="54"/>
      <c r="AL838" s="54"/>
      <c r="AM838" s="54"/>
      <c r="AN838" s="54"/>
      <c r="AO838" s="54"/>
      <c r="AP838" s="54"/>
      <c r="AQ838" s="54"/>
      <c r="AR838" s="54"/>
      <c r="AS838" s="54"/>
      <c r="AT838" s="54"/>
    </row>
    <row r="839">
      <c r="A839" s="54"/>
      <c r="B839" s="54"/>
      <c r="C839" s="54"/>
      <c r="D839" s="54"/>
      <c r="E839" s="54"/>
      <c r="F839" s="54"/>
      <c r="G839" s="54"/>
      <c r="H839" s="54"/>
      <c r="I839" s="54"/>
      <c r="J839" s="54"/>
      <c r="K839" s="54"/>
      <c r="L839" s="54"/>
      <c r="M839" s="54"/>
      <c r="N839" s="54"/>
      <c r="O839" s="54"/>
      <c r="P839" s="54"/>
      <c r="Q839" s="54"/>
      <c r="R839" s="54"/>
      <c r="S839" s="54"/>
      <c r="T839" s="54"/>
      <c r="U839" s="54"/>
      <c r="V839" s="54"/>
      <c r="W839" s="54"/>
      <c r="X839" s="54"/>
      <c r="Y839" s="350"/>
      <c r="Z839" s="54"/>
      <c r="AA839" s="54"/>
      <c r="AB839" s="54"/>
      <c r="AC839" s="54"/>
      <c r="AD839" s="54"/>
      <c r="AE839" s="54"/>
      <c r="AF839" s="54"/>
      <c r="AG839" s="54"/>
      <c r="AH839" s="54"/>
      <c r="AI839" s="54"/>
      <c r="AJ839" s="54"/>
      <c r="AK839" s="54"/>
      <c r="AL839" s="54"/>
      <c r="AM839" s="54"/>
      <c r="AN839" s="54"/>
      <c r="AO839" s="54"/>
      <c r="AP839" s="54"/>
      <c r="AQ839" s="54"/>
      <c r="AR839" s="54"/>
      <c r="AS839" s="54"/>
      <c r="AT839" s="54"/>
    </row>
    <row r="840">
      <c r="A840" s="54"/>
      <c r="B840" s="54"/>
      <c r="C840" s="54"/>
      <c r="D840" s="54"/>
      <c r="E840" s="54"/>
      <c r="F840" s="54"/>
      <c r="G840" s="54"/>
      <c r="H840" s="54"/>
      <c r="I840" s="54"/>
      <c r="J840" s="54"/>
      <c r="K840" s="54"/>
      <c r="L840" s="54"/>
      <c r="M840" s="54"/>
      <c r="N840" s="54"/>
      <c r="O840" s="54"/>
      <c r="P840" s="54"/>
      <c r="Q840" s="54"/>
      <c r="R840" s="54"/>
      <c r="S840" s="54"/>
      <c r="T840" s="54"/>
      <c r="U840" s="54"/>
      <c r="V840" s="54"/>
      <c r="W840" s="54"/>
      <c r="X840" s="54"/>
      <c r="Y840" s="350"/>
      <c r="Z840" s="54"/>
      <c r="AA840" s="54"/>
      <c r="AB840" s="54"/>
      <c r="AC840" s="54"/>
      <c r="AD840" s="54"/>
      <c r="AE840" s="54"/>
      <c r="AF840" s="54"/>
      <c r="AG840" s="54"/>
      <c r="AH840" s="54"/>
      <c r="AI840" s="54"/>
      <c r="AJ840" s="54"/>
      <c r="AK840" s="54"/>
      <c r="AL840" s="54"/>
      <c r="AM840" s="54"/>
      <c r="AN840" s="54"/>
      <c r="AO840" s="54"/>
      <c r="AP840" s="54"/>
      <c r="AQ840" s="54"/>
      <c r="AR840" s="54"/>
      <c r="AS840" s="54"/>
      <c r="AT840" s="54"/>
    </row>
    <row r="841">
      <c r="A841" s="54"/>
      <c r="B841" s="54"/>
      <c r="C841" s="54"/>
      <c r="D841" s="54"/>
      <c r="E841" s="54"/>
      <c r="F841" s="54"/>
      <c r="G841" s="54"/>
      <c r="H841" s="54"/>
      <c r="I841" s="54"/>
      <c r="J841" s="54"/>
      <c r="K841" s="54"/>
      <c r="L841" s="54"/>
      <c r="M841" s="54"/>
      <c r="N841" s="54"/>
      <c r="O841" s="54"/>
      <c r="P841" s="54"/>
      <c r="Q841" s="54"/>
      <c r="R841" s="54"/>
      <c r="S841" s="54"/>
      <c r="T841" s="54"/>
      <c r="U841" s="54"/>
      <c r="V841" s="54"/>
      <c r="W841" s="54"/>
      <c r="X841" s="54"/>
      <c r="Y841" s="350"/>
      <c r="Z841" s="54"/>
      <c r="AA841" s="54"/>
      <c r="AB841" s="54"/>
      <c r="AC841" s="54"/>
      <c r="AD841" s="54"/>
      <c r="AE841" s="54"/>
      <c r="AF841" s="54"/>
      <c r="AG841" s="54"/>
      <c r="AH841" s="54"/>
      <c r="AI841" s="54"/>
      <c r="AJ841" s="54"/>
      <c r="AK841" s="54"/>
      <c r="AL841" s="54"/>
      <c r="AM841" s="54"/>
      <c r="AN841" s="54"/>
      <c r="AO841" s="54"/>
      <c r="AP841" s="54"/>
      <c r="AQ841" s="54"/>
      <c r="AR841" s="54"/>
      <c r="AS841" s="54"/>
      <c r="AT841" s="54"/>
    </row>
    <row r="842">
      <c r="A842" s="54"/>
      <c r="B842" s="54"/>
      <c r="C842" s="54"/>
      <c r="D842" s="54"/>
      <c r="E842" s="54"/>
      <c r="F842" s="54"/>
      <c r="G842" s="54"/>
      <c r="H842" s="54"/>
      <c r="I842" s="54"/>
      <c r="J842" s="54"/>
      <c r="K842" s="54"/>
      <c r="L842" s="54"/>
      <c r="M842" s="54"/>
      <c r="N842" s="54"/>
      <c r="O842" s="54"/>
      <c r="P842" s="54"/>
      <c r="Q842" s="54"/>
      <c r="R842" s="54"/>
      <c r="S842" s="54"/>
      <c r="T842" s="54"/>
      <c r="U842" s="54"/>
      <c r="V842" s="54"/>
      <c r="W842" s="54"/>
      <c r="X842" s="54"/>
      <c r="Y842" s="350"/>
      <c r="Z842" s="54"/>
      <c r="AA842" s="54"/>
      <c r="AB842" s="54"/>
      <c r="AC842" s="54"/>
      <c r="AD842" s="54"/>
      <c r="AE842" s="54"/>
      <c r="AF842" s="54"/>
      <c r="AG842" s="54"/>
      <c r="AH842" s="54"/>
      <c r="AI842" s="54"/>
      <c r="AJ842" s="54"/>
      <c r="AK842" s="54"/>
      <c r="AL842" s="54"/>
      <c r="AM842" s="54"/>
      <c r="AN842" s="54"/>
      <c r="AO842" s="54"/>
      <c r="AP842" s="54"/>
      <c r="AQ842" s="54"/>
      <c r="AR842" s="54"/>
      <c r="AS842" s="54"/>
      <c r="AT842" s="54"/>
    </row>
    <row r="843">
      <c r="A843" s="54"/>
      <c r="B843" s="54"/>
      <c r="C843" s="54"/>
      <c r="D843" s="54"/>
      <c r="E843" s="54"/>
      <c r="F843" s="54"/>
      <c r="G843" s="54"/>
      <c r="H843" s="54"/>
      <c r="I843" s="54"/>
      <c r="J843" s="54"/>
      <c r="K843" s="54"/>
      <c r="L843" s="54"/>
      <c r="M843" s="54"/>
      <c r="N843" s="54"/>
      <c r="O843" s="54"/>
      <c r="P843" s="54"/>
      <c r="Q843" s="54"/>
      <c r="R843" s="54"/>
      <c r="S843" s="54"/>
      <c r="T843" s="54"/>
      <c r="U843" s="54"/>
      <c r="V843" s="54"/>
      <c r="W843" s="54"/>
      <c r="X843" s="54"/>
      <c r="Y843" s="350"/>
      <c r="Z843" s="54"/>
      <c r="AA843" s="54"/>
      <c r="AB843" s="54"/>
      <c r="AC843" s="54"/>
      <c r="AD843" s="54"/>
      <c r="AE843" s="54"/>
      <c r="AF843" s="54"/>
      <c r="AG843" s="54"/>
      <c r="AH843" s="54"/>
      <c r="AI843" s="54"/>
      <c r="AJ843" s="54"/>
      <c r="AK843" s="54"/>
      <c r="AL843" s="54"/>
      <c r="AM843" s="54"/>
      <c r="AN843" s="54"/>
      <c r="AO843" s="54"/>
      <c r="AP843" s="54"/>
      <c r="AQ843" s="54"/>
      <c r="AR843" s="54"/>
      <c r="AS843" s="54"/>
      <c r="AT843" s="54"/>
    </row>
    <row r="844">
      <c r="A844" s="54"/>
      <c r="B844" s="54"/>
      <c r="C844" s="54"/>
      <c r="D844" s="54"/>
      <c r="E844" s="54"/>
      <c r="F844" s="54"/>
      <c r="G844" s="54"/>
      <c r="H844" s="54"/>
      <c r="I844" s="54"/>
      <c r="J844" s="54"/>
      <c r="K844" s="54"/>
      <c r="L844" s="54"/>
      <c r="M844" s="54"/>
      <c r="N844" s="54"/>
      <c r="O844" s="54"/>
      <c r="P844" s="54"/>
      <c r="Q844" s="54"/>
      <c r="R844" s="54"/>
      <c r="S844" s="54"/>
      <c r="T844" s="54"/>
      <c r="U844" s="54"/>
      <c r="V844" s="54"/>
      <c r="W844" s="54"/>
      <c r="X844" s="54"/>
      <c r="Y844" s="350"/>
      <c r="Z844" s="54"/>
      <c r="AA844" s="54"/>
      <c r="AB844" s="54"/>
      <c r="AC844" s="54"/>
      <c r="AD844" s="54"/>
      <c r="AE844" s="54"/>
      <c r="AF844" s="54"/>
      <c r="AG844" s="54"/>
      <c r="AH844" s="54"/>
      <c r="AI844" s="54"/>
      <c r="AJ844" s="54"/>
      <c r="AK844" s="54"/>
      <c r="AL844" s="54"/>
      <c r="AM844" s="54"/>
      <c r="AN844" s="54"/>
      <c r="AO844" s="54"/>
      <c r="AP844" s="54"/>
      <c r="AQ844" s="54"/>
      <c r="AR844" s="54"/>
      <c r="AS844" s="54"/>
      <c r="AT844" s="54"/>
    </row>
    <row r="845">
      <c r="A845" s="54"/>
      <c r="B845" s="54"/>
      <c r="C845" s="54"/>
      <c r="D845" s="54"/>
      <c r="E845" s="54"/>
      <c r="F845" s="54"/>
      <c r="G845" s="54"/>
      <c r="H845" s="54"/>
      <c r="I845" s="54"/>
      <c r="J845" s="54"/>
      <c r="K845" s="54"/>
      <c r="L845" s="54"/>
      <c r="M845" s="54"/>
      <c r="N845" s="54"/>
      <c r="O845" s="54"/>
      <c r="P845" s="54"/>
      <c r="Q845" s="54"/>
      <c r="R845" s="54"/>
      <c r="S845" s="54"/>
      <c r="T845" s="54"/>
      <c r="U845" s="54"/>
      <c r="V845" s="54"/>
      <c r="W845" s="54"/>
      <c r="X845" s="54"/>
      <c r="Y845" s="350"/>
      <c r="Z845" s="54"/>
      <c r="AA845" s="54"/>
      <c r="AB845" s="54"/>
      <c r="AC845" s="54"/>
      <c r="AD845" s="54"/>
      <c r="AE845" s="54"/>
      <c r="AF845" s="54"/>
      <c r="AG845" s="54"/>
      <c r="AH845" s="54"/>
      <c r="AI845" s="54"/>
      <c r="AJ845" s="54"/>
      <c r="AK845" s="54"/>
      <c r="AL845" s="54"/>
      <c r="AM845" s="54"/>
      <c r="AN845" s="54"/>
      <c r="AO845" s="54"/>
      <c r="AP845" s="54"/>
      <c r="AQ845" s="54"/>
      <c r="AR845" s="54"/>
      <c r="AS845" s="54"/>
      <c r="AT845" s="54"/>
    </row>
    <row r="846">
      <c r="A846" s="54"/>
      <c r="B846" s="54"/>
      <c r="C846" s="54"/>
      <c r="D846" s="54"/>
      <c r="E846" s="54"/>
      <c r="F846" s="54"/>
      <c r="G846" s="54"/>
      <c r="H846" s="54"/>
      <c r="I846" s="54"/>
      <c r="J846" s="54"/>
      <c r="K846" s="54"/>
      <c r="L846" s="54"/>
      <c r="M846" s="54"/>
      <c r="N846" s="54"/>
      <c r="O846" s="54"/>
      <c r="P846" s="54"/>
      <c r="Q846" s="54"/>
      <c r="R846" s="54"/>
      <c r="S846" s="54"/>
      <c r="T846" s="54"/>
      <c r="U846" s="54"/>
      <c r="V846" s="54"/>
      <c r="W846" s="54"/>
      <c r="X846" s="54"/>
      <c r="Y846" s="350"/>
      <c r="Z846" s="54"/>
      <c r="AA846" s="54"/>
      <c r="AB846" s="54"/>
      <c r="AC846" s="54"/>
      <c r="AD846" s="54"/>
      <c r="AE846" s="54"/>
      <c r="AF846" s="54"/>
      <c r="AG846" s="54"/>
      <c r="AH846" s="54"/>
      <c r="AI846" s="54"/>
      <c r="AJ846" s="54"/>
      <c r="AK846" s="54"/>
      <c r="AL846" s="54"/>
      <c r="AM846" s="54"/>
      <c r="AN846" s="54"/>
      <c r="AO846" s="54"/>
      <c r="AP846" s="54"/>
      <c r="AQ846" s="54"/>
      <c r="AR846" s="54"/>
      <c r="AS846" s="54"/>
      <c r="AT846" s="54"/>
    </row>
    <row r="847">
      <c r="A847" s="54"/>
      <c r="B847" s="54"/>
      <c r="C847" s="54"/>
      <c r="D847" s="54"/>
      <c r="E847" s="54"/>
      <c r="F847" s="54"/>
      <c r="G847" s="54"/>
      <c r="H847" s="54"/>
      <c r="I847" s="54"/>
      <c r="J847" s="54"/>
      <c r="K847" s="54"/>
      <c r="L847" s="54"/>
      <c r="M847" s="54"/>
      <c r="N847" s="54"/>
      <c r="O847" s="54"/>
      <c r="P847" s="54"/>
      <c r="Q847" s="54"/>
      <c r="R847" s="54"/>
      <c r="S847" s="54"/>
      <c r="T847" s="54"/>
      <c r="U847" s="54"/>
      <c r="V847" s="54"/>
      <c r="W847" s="54"/>
      <c r="X847" s="54"/>
      <c r="Y847" s="350"/>
      <c r="Z847" s="54"/>
      <c r="AA847" s="54"/>
      <c r="AB847" s="54"/>
      <c r="AC847" s="54"/>
      <c r="AD847" s="54"/>
      <c r="AE847" s="54"/>
      <c r="AF847" s="54"/>
      <c r="AG847" s="54"/>
      <c r="AH847" s="54"/>
      <c r="AI847" s="54"/>
      <c r="AJ847" s="54"/>
      <c r="AK847" s="54"/>
      <c r="AL847" s="54"/>
      <c r="AM847" s="54"/>
      <c r="AN847" s="54"/>
      <c r="AO847" s="54"/>
      <c r="AP847" s="54"/>
      <c r="AQ847" s="54"/>
      <c r="AR847" s="54"/>
      <c r="AS847" s="54"/>
      <c r="AT847" s="54"/>
    </row>
    <row r="848">
      <c r="A848" s="54"/>
      <c r="B848" s="54"/>
      <c r="C848" s="54"/>
      <c r="D848" s="54"/>
      <c r="E848" s="54"/>
      <c r="F848" s="54"/>
      <c r="G848" s="54"/>
      <c r="H848" s="54"/>
      <c r="I848" s="54"/>
      <c r="J848" s="54"/>
      <c r="K848" s="54"/>
      <c r="L848" s="54"/>
      <c r="M848" s="54"/>
      <c r="N848" s="54"/>
      <c r="O848" s="54"/>
      <c r="P848" s="54"/>
      <c r="Q848" s="54"/>
      <c r="R848" s="54"/>
      <c r="S848" s="54"/>
      <c r="T848" s="54"/>
      <c r="U848" s="54"/>
      <c r="V848" s="54"/>
      <c r="W848" s="54"/>
      <c r="X848" s="54"/>
      <c r="Y848" s="350"/>
      <c r="Z848" s="54"/>
      <c r="AA848" s="54"/>
      <c r="AB848" s="54"/>
      <c r="AC848" s="54"/>
      <c r="AD848" s="54"/>
      <c r="AE848" s="54"/>
      <c r="AF848" s="54"/>
      <c r="AG848" s="54"/>
      <c r="AH848" s="54"/>
      <c r="AI848" s="54"/>
      <c r="AJ848" s="54"/>
      <c r="AK848" s="54"/>
      <c r="AL848" s="54"/>
      <c r="AM848" s="54"/>
      <c r="AN848" s="54"/>
      <c r="AO848" s="54"/>
      <c r="AP848" s="54"/>
      <c r="AQ848" s="54"/>
      <c r="AR848" s="54"/>
      <c r="AS848" s="54"/>
      <c r="AT848" s="54"/>
    </row>
    <row r="849">
      <c r="A849" s="54"/>
      <c r="B849" s="54"/>
      <c r="C849" s="54"/>
      <c r="D849" s="54"/>
      <c r="E849" s="54"/>
      <c r="F849" s="54"/>
      <c r="G849" s="54"/>
      <c r="H849" s="54"/>
      <c r="I849" s="54"/>
      <c r="J849" s="54"/>
      <c r="K849" s="54"/>
      <c r="L849" s="54"/>
      <c r="M849" s="54"/>
      <c r="N849" s="54"/>
      <c r="O849" s="54"/>
      <c r="P849" s="54"/>
      <c r="Q849" s="54"/>
      <c r="R849" s="54"/>
      <c r="S849" s="54"/>
      <c r="T849" s="54"/>
      <c r="U849" s="54"/>
      <c r="V849" s="54"/>
      <c r="W849" s="54"/>
      <c r="X849" s="54"/>
      <c r="Y849" s="350"/>
      <c r="Z849" s="54"/>
      <c r="AA849" s="54"/>
      <c r="AB849" s="54"/>
      <c r="AC849" s="54"/>
      <c r="AD849" s="54"/>
      <c r="AE849" s="54"/>
      <c r="AF849" s="54"/>
      <c r="AG849" s="54"/>
      <c r="AH849" s="54"/>
      <c r="AI849" s="54"/>
      <c r="AJ849" s="54"/>
      <c r="AK849" s="54"/>
      <c r="AL849" s="54"/>
      <c r="AM849" s="54"/>
      <c r="AN849" s="54"/>
      <c r="AO849" s="54"/>
      <c r="AP849" s="54"/>
      <c r="AQ849" s="54"/>
      <c r="AR849" s="54"/>
      <c r="AS849" s="54"/>
      <c r="AT849" s="54"/>
    </row>
    <row r="850">
      <c r="A850" s="54"/>
      <c r="B850" s="54"/>
      <c r="C850" s="54"/>
      <c r="D850" s="54"/>
      <c r="E850" s="54"/>
      <c r="F850" s="54"/>
      <c r="G850" s="54"/>
      <c r="H850" s="54"/>
      <c r="I850" s="54"/>
      <c r="J850" s="54"/>
      <c r="K850" s="54"/>
      <c r="L850" s="54"/>
      <c r="M850" s="54"/>
      <c r="N850" s="54"/>
      <c r="O850" s="54"/>
      <c r="P850" s="54"/>
      <c r="Q850" s="54"/>
      <c r="R850" s="54"/>
      <c r="S850" s="54"/>
      <c r="T850" s="54"/>
      <c r="U850" s="54"/>
      <c r="V850" s="54"/>
      <c r="W850" s="54"/>
      <c r="X850" s="54"/>
      <c r="Y850" s="350"/>
      <c r="Z850" s="54"/>
      <c r="AA850" s="54"/>
      <c r="AB850" s="54"/>
      <c r="AC850" s="54"/>
      <c r="AD850" s="54"/>
      <c r="AE850" s="54"/>
      <c r="AF850" s="54"/>
      <c r="AG850" s="54"/>
      <c r="AH850" s="54"/>
      <c r="AI850" s="54"/>
      <c r="AJ850" s="54"/>
      <c r="AK850" s="54"/>
      <c r="AL850" s="54"/>
      <c r="AM850" s="54"/>
      <c r="AN850" s="54"/>
      <c r="AO850" s="54"/>
      <c r="AP850" s="54"/>
      <c r="AQ850" s="54"/>
      <c r="AR850" s="54"/>
      <c r="AS850" s="54"/>
      <c r="AT850" s="54"/>
    </row>
    <row r="851">
      <c r="A851" s="54"/>
      <c r="B851" s="54"/>
      <c r="C851" s="54"/>
      <c r="D851" s="54"/>
      <c r="E851" s="54"/>
      <c r="F851" s="54"/>
      <c r="G851" s="54"/>
      <c r="H851" s="54"/>
      <c r="I851" s="54"/>
      <c r="J851" s="54"/>
      <c r="K851" s="54"/>
      <c r="L851" s="54"/>
      <c r="M851" s="54"/>
      <c r="N851" s="54"/>
      <c r="O851" s="54"/>
      <c r="P851" s="54"/>
      <c r="Q851" s="54"/>
      <c r="R851" s="54"/>
      <c r="S851" s="54"/>
      <c r="T851" s="54"/>
      <c r="U851" s="54"/>
      <c r="V851" s="54"/>
      <c r="W851" s="54"/>
      <c r="X851" s="54"/>
      <c r="Y851" s="350"/>
      <c r="Z851" s="54"/>
      <c r="AA851" s="54"/>
      <c r="AB851" s="54"/>
      <c r="AC851" s="54"/>
      <c r="AD851" s="54"/>
      <c r="AE851" s="54"/>
      <c r="AF851" s="54"/>
      <c r="AG851" s="54"/>
      <c r="AH851" s="54"/>
      <c r="AI851" s="54"/>
      <c r="AJ851" s="54"/>
      <c r="AK851" s="54"/>
      <c r="AL851" s="54"/>
      <c r="AM851" s="54"/>
      <c r="AN851" s="54"/>
      <c r="AO851" s="54"/>
      <c r="AP851" s="54"/>
      <c r="AQ851" s="54"/>
      <c r="AR851" s="54"/>
      <c r="AS851" s="54"/>
      <c r="AT851" s="54"/>
    </row>
    <row r="852">
      <c r="A852" s="54"/>
      <c r="B852" s="54"/>
      <c r="C852" s="54"/>
      <c r="D852" s="54"/>
      <c r="E852" s="54"/>
      <c r="F852" s="54"/>
      <c r="G852" s="54"/>
      <c r="H852" s="54"/>
      <c r="I852" s="54"/>
      <c r="J852" s="54"/>
      <c r="K852" s="54"/>
      <c r="L852" s="54"/>
      <c r="M852" s="54"/>
      <c r="N852" s="54"/>
      <c r="O852" s="54"/>
      <c r="P852" s="54"/>
      <c r="Q852" s="54"/>
      <c r="R852" s="54"/>
      <c r="S852" s="54"/>
      <c r="T852" s="54"/>
      <c r="U852" s="54"/>
      <c r="V852" s="54"/>
      <c r="W852" s="54"/>
      <c r="X852" s="54"/>
      <c r="Y852" s="350"/>
      <c r="Z852" s="54"/>
      <c r="AA852" s="54"/>
      <c r="AB852" s="54"/>
      <c r="AC852" s="54"/>
      <c r="AD852" s="54"/>
      <c r="AE852" s="54"/>
      <c r="AF852" s="54"/>
      <c r="AG852" s="54"/>
      <c r="AH852" s="54"/>
      <c r="AI852" s="54"/>
      <c r="AJ852" s="54"/>
      <c r="AK852" s="54"/>
      <c r="AL852" s="54"/>
      <c r="AM852" s="54"/>
      <c r="AN852" s="54"/>
      <c r="AO852" s="54"/>
      <c r="AP852" s="54"/>
      <c r="AQ852" s="54"/>
      <c r="AR852" s="54"/>
      <c r="AS852" s="54"/>
      <c r="AT852" s="54"/>
    </row>
    <row r="853">
      <c r="A853" s="54"/>
      <c r="B853" s="54"/>
      <c r="C853" s="54"/>
      <c r="D853" s="54"/>
      <c r="E853" s="54"/>
      <c r="F853" s="54"/>
      <c r="G853" s="54"/>
      <c r="H853" s="54"/>
      <c r="I853" s="54"/>
      <c r="J853" s="54"/>
      <c r="K853" s="54"/>
      <c r="L853" s="54"/>
      <c r="M853" s="54"/>
      <c r="N853" s="54"/>
      <c r="O853" s="54"/>
      <c r="P853" s="54"/>
      <c r="Q853" s="54"/>
      <c r="R853" s="54"/>
      <c r="S853" s="54"/>
      <c r="T853" s="54"/>
      <c r="U853" s="54"/>
      <c r="V853" s="54"/>
      <c r="W853" s="54"/>
      <c r="X853" s="54"/>
      <c r="Y853" s="350"/>
      <c r="Z853" s="54"/>
      <c r="AA853" s="54"/>
      <c r="AB853" s="54"/>
      <c r="AC853" s="54"/>
      <c r="AD853" s="54"/>
      <c r="AE853" s="54"/>
      <c r="AF853" s="54"/>
      <c r="AG853" s="54"/>
      <c r="AH853" s="54"/>
      <c r="AI853" s="54"/>
      <c r="AJ853" s="54"/>
      <c r="AK853" s="54"/>
      <c r="AL853" s="54"/>
      <c r="AM853" s="54"/>
      <c r="AN853" s="54"/>
      <c r="AO853" s="54"/>
      <c r="AP853" s="54"/>
      <c r="AQ853" s="54"/>
      <c r="AR853" s="54"/>
      <c r="AS853" s="54"/>
      <c r="AT853" s="54"/>
    </row>
    <row r="854">
      <c r="A854" s="54"/>
      <c r="B854" s="54"/>
      <c r="C854" s="54"/>
      <c r="D854" s="54"/>
      <c r="E854" s="54"/>
      <c r="F854" s="54"/>
      <c r="G854" s="54"/>
      <c r="H854" s="54"/>
      <c r="I854" s="54"/>
      <c r="J854" s="54"/>
      <c r="K854" s="54"/>
      <c r="L854" s="54"/>
      <c r="M854" s="54"/>
      <c r="N854" s="54"/>
      <c r="O854" s="54"/>
      <c r="P854" s="54"/>
      <c r="Q854" s="54"/>
      <c r="R854" s="54"/>
      <c r="S854" s="54"/>
      <c r="T854" s="54"/>
      <c r="U854" s="54"/>
      <c r="V854" s="54"/>
      <c r="W854" s="54"/>
      <c r="X854" s="54"/>
      <c r="Y854" s="350"/>
      <c r="Z854" s="54"/>
      <c r="AA854" s="54"/>
      <c r="AB854" s="54"/>
      <c r="AC854" s="54"/>
      <c r="AD854" s="54"/>
      <c r="AE854" s="54"/>
      <c r="AF854" s="54"/>
      <c r="AG854" s="54"/>
      <c r="AH854" s="54"/>
      <c r="AI854" s="54"/>
      <c r="AJ854" s="54"/>
      <c r="AK854" s="54"/>
      <c r="AL854" s="54"/>
      <c r="AM854" s="54"/>
      <c r="AN854" s="54"/>
      <c r="AO854" s="54"/>
      <c r="AP854" s="54"/>
      <c r="AQ854" s="54"/>
      <c r="AR854" s="54"/>
      <c r="AS854" s="54"/>
      <c r="AT854" s="54"/>
    </row>
    <row r="855">
      <c r="A855" s="54"/>
      <c r="B855" s="54"/>
      <c r="C855" s="54"/>
      <c r="D855" s="54"/>
      <c r="E855" s="54"/>
      <c r="F855" s="54"/>
      <c r="G855" s="54"/>
      <c r="H855" s="54"/>
      <c r="I855" s="54"/>
      <c r="J855" s="54"/>
      <c r="K855" s="54"/>
      <c r="L855" s="54"/>
      <c r="M855" s="54"/>
      <c r="N855" s="54"/>
      <c r="O855" s="54"/>
      <c r="P855" s="54"/>
      <c r="Q855" s="54"/>
      <c r="R855" s="54"/>
      <c r="S855" s="54"/>
      <c r="T855" s="54"/>
      <c r="U855" s="54"/>
      <c r="V855" s="54"/>
      <c r="W855" s="54"/>
      <c r="X855" s="54"/>
      <c r="Y855" s="350"/>
      <c r="Z855" s="54"/>
      <c r="AA855" s="54"/>
      <c r="AB855" s="54"/>
      <c r="AC855" s="54"/>
      <c r="AD855" s="54"/>
      <c r="AE855" s="54"/>
      <c r="AF855" s="54"/>
      <c r="AG855" s="54"/>
      <c r="AH855" s="54"/>
      <c r="AI855" s="54"/>
      <c r="AJ855" s="54"/>
      <c r="AK855" s="54"/>
      <c r="AL855" s="54"/>
      <c r="AM855" s="54"/>
      <c r="AN855" s="54"/>
      <c r="AO855" s="54"/>
      <c r="AP855" s="54"/>
      <c r="AQ855" s="54"/>
      <c r="AR855" s="54"/>
      <c r="AS855" s="54"/>
      <c r="AT855" s="54"/>
    </row>
    <row r="856">
      <c r="A856" s="54"/>
      <c r="B856" s="54"/>
      <c r="C856" s="54"/>
      <c r="D856" s="54"/>
      <c r="E856" s="54"/>
      <c r="F856" s="54"/>
      <c r="G856" s="54"/>
      <c r="H856" s="54"/>
      <c r="I856" s="54"/>
      <c r="J856" s="54"/>
      <c r="K856" s="54"/>
      <c r="L856" s="54"/>
      <c r="M856" s="54"/>
      <c r="N856" s="54"/>
      <c r="O856" s="54"/>
      <c r="P856" s="54"/>
      <c r="Q856" s="54"/>
      <c r="R856" s="54"/>
      <c r="S856" s="54"/>
      <c r="T856" s="54"/>
      <c r="U856" s="54"/>
      <c r="V856" s="54"/>
      <c r="W856" s="54"/>
      <c r="X856" s="54"/>
      <c r="Y856" s="350"/>
      <c r="Z856" s="54"/>
      <c r="AA856" s="54"/>
      <c r="AB856" s="54"/>
      <c r="AC856" s="54"/>
      <c r="AD856" s="54"/>
      <c r="AE856" s="54"/>
      <c r="AF856" s="54"/>
      <c r="AG856" s="54"/>
      <c r="AH856" s="54"/>
      <c r="AI856" s="54"/>
      <c r="AJ856" s="54"/>
      <c r="AK856" s="54"/>
      <c r="AL856" s="54"/>
      <c r="AM856" s="54"/>
      <c r="AN856" s="54"/>
      <c r="AO856" s="54"/>
      <c r="AP856" s="54"/>
      <c r="AQ856" s="54"/>
      <c r="AR856" s="54"/>
      <c r="AS856" s="54"/>
      <c r="AT856" s="54"/>
    </row>
    <row r="857">
      <c r="A857" s="54"/>
      <c r="B857" s="54"/>
      <c r="C857" s="54"/>
      <c r="D857" s="54"/>
      <c r="E857" s="54"/>
      <c r="F857" s="54"/>
      <c r="G857" s="54"/>
      <c r="H857" s="54"/>
      <c r="I857" s="54"/>
      <c r="J857" s="54"/>
      <c r="K857" s="54"/>
      <c r="L857" s="54"/>
      <c r="M857" s="54"/>
      <c r="N857" s="54"/>
      <c r="O857" s="54"/>
      <c r="P857" s="54"/>
      <c r="Q857" s="54"/>
      <c r="R857" s="54"/>
      <c r="S857" s="54"/>
      <c r="T857" s="54"/>
      <c r="U857" s="54"/>
      <c r="V857" s="54"/>
      <c r="W857" s="54"/>
      <c r="X857" s="54"/>
      <c r="Y857" s="350"/>
      <c r="Z857" s="54"/>
      <c r="AA857" s="54"/>
      <c r="AB857" s="54"/>
      <c r="AC857" s="54"/>
      <c r="AD857" s="54"/>
      <c r="AE857" s="54"/>
      <c r="AF857" s="54"/>
      <c r="AG857" s="54"/>
      <c r="AH857" s="54"/>
      <c r="AI857" s="54"/>
      <c r="AJ857" s="54"/>
      <c r="AK857" s="54"/>
      <c r="AL857" s="54"/>
      <c r="AM857" s="54"/>
      <c r="AN857" s="54"/>
      <c r="AO857" s="54"/>
      <c r="AP857" s="54"/>
      <c r="AQ857" s="54"/>
      <c r="AR857" s="54"/>
      <c r="AS857" s="54"/>
      <c r="AT857" s="54"/>
    </row>
    <row r="858">
      <c r="A858" s="54"/>
      <c r="B858" s="54"/>
      <c r="C858" s="54"/>
      <c r="D858" s="54"/>
      <c r="E858" s="54"/>
      <c r="F858" s="54"/>
      <c r="G858" s="54"/>
      <c r="H858" s="54"/>
      <c r="I858" s="54"/>
      <c r="J858" s="54"/>
      <c r="K858" s="54"/>
      <c r="L858" s="54"/>
      <c r="M858" s="54"/>
      <c r="N858" s="54"/>
      <c r="O858" s="54"/>
      <c r="P858" s="54"/>
      <c r="Q858" s="54"/>
      <c r="R858" s="54"/>
      <c r="S858" s="54"/>
      <c r="T858" s="54"/>
      <c r="U858" s="54"/>
      <c r="V858" s="54"/>
      <c r="W858" s="54"/>
      <c r="X858" s="54"/>
      <c r="Y858" s="350"/>
      <c r="Z858" s="54"/>
      <c r="AA858" s="54"/>
      <c r="AB858" s="54"/>
      <c r="AC858" s="54"/>
      <c r="AD858" s="54"/>
      <c r="AE858" s="54"/>
      <c r="AF858" s="54"/>
      <c r="AG858" s="54"/>
      <c r="AH858" s="54"/>
      <c r="AI858" s="54"/>
      <c r="AJ858" s="54"/>
      <c r="AK858" s="54"/>
      <c r="AL858" s="54"/>
      <c r="AM858" s="54"/>
      <c r="AN858" s="54"/>
      <c r="AO858" s="54"/>
      <c r="AP858" s="54"/>
      <c r="AQ858" s="54"/>
      <c r="AR858" s="54"/>
      <c r="AS858" s="54"/>
      <c r="AT858" s="54"/>
    </row>
    <row r="859">
      <c r="A859" s="54"/>
      <c r="B859" s="54"/>
      <c r="C859" s="54"/>
      <c r="D859" s="54"/>
      <c r="E859" s="54"/>
      <c r="F859" s="54"/>
      <c r="G859" s="54"/>
      <c r="H859" s="54"/>
      <c r="I859" s="54"/>
      <c r="J859" s="54"/>
      <c r="K859" s="54"/>
      <c r="L859" s="54"/>
      <c r="M859" s="54"/>
      <c r="N859" s="54"/>
      <c r="O859" s="54"/>
      <c r="P859" s="54"/>
      <c r="Q859" s="54"/>
      <c r="R859" s="54"/>
      <c r="S859" s="54"/>
      <c r="T859" s="54"/>
      <c r="U859" s="54"/>
      <c r="V859" s="54"/>
      <c r="W859" s="54"/>
      <c r="X859" s="54"/>
      <c r="Y859" s="350"/>
      <c r="Z859" s="54"/>
      <c r="AA859" s="54"/>
      <c r="AB859" s="54"/>
      <c r="AC859" s="54"/>
      <c r="AD859" s="54"/>
      <c r="AE859" s="54"/>
      <c r="AF859" s="54"/>
      <c r="AG859" s="54"/>
      <c r="AH859" s="54"/>
      <c r="AI859" s="54"/>
      <c r="AJ859" s="54"/>
      <c r="AK859" s="54"/>
      <c r="AL859" s="54"/>
      <c r="AM859" s="54"/>
      <c r="AN859" s="54"/>
      <c r="AO859" s="54"/>
      <c r="AP859" s="54"/>
      <c r="AQ859" s="54"/>
      <c r="AR859" s="54"/>
      <c r="AS859" s="54"/>
      <c r="AT859" s="54"/>
    </row>
    <row r="860">
      <c r="A860" s="54"/>
      <c r="B860" s="54"/>
      <c r="C860" s="54"/>
      <c r="D860" s="54"/>
      <c r="E860" s="54"/>
      <c r="F860" s="54"/>
      <c r="G860" s="54"/>
      <c r="H860" s="54"/>
      <c r="I860" s="54"/>
      <c r="J860" s="54"/>
      <c r="K860" s="54"/>
      <c r="L860" s="54"/>
      <c r="M860" s="54"/>
      <c r="N860" s="54"/>
      <c r="O860" s="54"/>
      <c r="P860" s="54"/>
      <c r="Q860" s="54"/>
      <c r="R860" s="54"/>
      <c r="S860" s="54"/>
      <c r="T860" s="54"/>
      <c r="U860" s="54"/>
      <c r="V860" s="54"/>
      <c r="W860" s="54"/>
      <c r="X860" s="54"/>
      <c r="Y860" s="350"/>
      <c r="Z860" s="54"/>
      <c r="AA860" s="54"/>
      <c r="AB860" s="54"/>
      <c r="AC860" s="54"/>
      <c r="AD860" s="54"/>
      <c r="AE860" s="54"/>
      <c r="AF860" s="54"/>
      <c r="AG860" s="54"/>
      <c r="AH860" s="54"/>
      <c r="AI860" s="54"/>
      <c r="AJ860" s="54"/>
      <c r="AK860" s="54"/>
      <c r="AL860" s="54"/>
      <c r="AM860" s="54"/>
      <c r="AN860" s="54"/>
      <c r="AO860" s="54"/>
      <c r="AP860" s="54"/>
      <c r="AQ860" s="54"/>
      <c r="AR860" s="54"/>
      <c r="AS860" s="54"/>
      <c r="AT860" s="54"/>
    </row>
    <row r="861">
      <c r="A861" s="54"/>
      <c r="B861" s="54"/>
      <c r="C861" s="54"/>
      <c r="D861" s="54"/>
      <c r="E861" s="54"/>
      <c r="F861" s="54"/>
      <c r="G861" s="54"/>
      <c r="H861" s="54"/>
      <c r="I861" s="54"/>
      <c r="J861" s="54"/>
      <c r="K861" s="54"/>
      <c r="L861" s="54"/>
      <c r="M861" s="54"/>
      <c r="N861" s="54"/>
      <c r="O861" s="54"/>
      <c r="P861" s="54"/>
      <c r="Q861" s="54"/>
      <c r="R861" s="54"/>
      <c r="S861" s="54"/>
      <c r="T861" s="54"/>
      <c r="U861" s="54"/>
      <c r="V861" s="54"/>
      <c r="W861" s="54"/>
      <c r="X861" s="54"/>
      <c r="Y861" s="350"/>
      <c r="Z861" s="54"/>
      <c r="AA861" s="54"/>
      <c r="AB861" s="54"/>
      <c r="AC861" s="54"/>
      <c r="AD861" s="54"/>
      <c r="AE861" s="54"/>
      <c r="AF861" s="54"/>
      <c r="AG861" s="54"/>
      <c r="AH861" s="54"/>
      <c r="AI861" s="54"/>
      <c r="AJ861" s="54"/>
      <c r="AK861" s="54"/>
      <c r="AL861" s="54"/>
      <c r="AM861" s="54"/>
      <c r="AN861" s="54"/>
      <c r="AO861" s="54"/>
      <c r="AP861" s="54"/>
      <c r="AQ861" s="54"/>
      <c r="AR861" s="54"/>
      <c r="AS861" s="54"/>
      <c r="AT861" s="54"/>
    </row>
    <row r="862">
      <c r="A862" s="54"/>
      <c r="B862" s="54"/>
      <c r="C862" s="54"/>
      <c r="D862" s="54"/>
      <c r="E862" s="54"/>
      <c r="F862" s="54"/>
      <c r="G862" s="54"/>
      <c r="H862" s="54"/>
      <c r="I862" s="54"/>
      <c r="J862" s="54"/>
      <c r="K862" s="54"/>
      <c r="L862" s="54"/>
      <c r="M862" s="54"/>
      <c r="N862" s="54"/>
      <c r="O862" s="54"/>
      <c r="P862" s="54"/>
      <c r="Q862" s="54"/>
      <c r="R862" s="54"/>
      <c r="S862" s="54"/>
      <c r="T862" s="54"/>
      <c r="U862" s="54"/>
      <c r="V862" s="54"/>
      <c r="W862" s="54"/>
      <c r="X862" s="54"/>
      <c r="Y862" s="350"/>
      <c r="Z862" s="54"/>
      <c r="AA862" s="54"/>
      <c r="AB862" s="54"/>
      <c r="AC862" s="54"/>
      <c r="AD862" s="54"/>
      <c r="AE862" s="54"/>
      <c r="AF862" s="54"/>
      <c r="AG862" s="54"/>
      <c r="AH862" s="54"/>
      <c r="AI862" s="54"/>
      <c r="AJ862" s="54"/>
      <c r="AK862" s="54"/>
      <c r="AL862" s="54"/>
      <c r="AM862" s="54"/>
      <c r="AN862" s="54"/>
      <c r="AO862" s="54"/>
      <c r="AP862" s="54"/>
      <c r="AQ862" s="54"/>
      <c r="AR862" s="54"/>
      <c r="AS862" s="54"/>
      <c r="AT862" s="54"/>
    </row>
    <row r="863">
      <c r="A863" s="54"/>
      <c r="B863" s="54"/>
      <c r="C863" s="54"/>
      <c r="D863" s="54"/>
      <c r="E863" s="54"/>
      <c r="F863" s="54"/>
      <c r="G863" s="54"/>
      <c r="H863" s="54"/>
      <c r="I863" s="54"/>
      <c r="J863" s="54"/>
      <c r="K863" s="54"/>
      <c r="L863" s="54"/>
      <c r="M863" s="54"/>
      <c r="N863" s="54"/>
      <c r="O863" s="54"/>
      <c r="P863" s="54"/>
      <c r="Q863" s="54"/>
      <c r="R863" s="54"/>
      <c r="S863" s="54"/>
      <c r="T863" s="54"/>
      <c r="U863" s="54"/>
      <c r="V863" s="54"/>
      <c r="W863" s="54"/>
      <c r="X863" s="54"/>
      <c r="Y863" s="350"/>
      <c r="Z863" s="54"/>
      <c r="AA863" s="54"/>
      <c r="AB863" s="54"/>
      <c r="AC863" s="54"/>
      <c r="AD863" s="54"/>
      <c r="AE863" s="54"/>
      <c r="AF863" s="54"/>
      <c r="AG863" s="54"/>
      <c r="AH863" s="54"/>
      <c r="AI863" s="54"/>
      <c r="AJ863" s="54"/>
      <c r="AK863" s="54"/>
      <c r="AL863" s="54"/>
      <c r="AM863" s="54"/>
      <c r="AN863" s="54"/>
      <c r="AO863" s="54"/>
      <c r="AP863" s="54"/>
      <c r="AQ863" s="54"/>
      <c r="AR863" s="54"/>
      <c r="AS863" s="54"/>
      <c r="AT863" s="54"/>
    </row>
    <row r="864">
      <c r="A864" s="54"/>
      <c r="B864" s="54"/>
      <c r="C864" s="54"/>
      <c r="D864" s="54"/>
      <c r="E864" s="54"/>
      <c r="F864" s="54"/>
      <c r="G864" s="54"/>
      <c r="H864" s="54"/>
      <c r="I864" s="54"/>
      <c r="J864" s="54"/>
      <c r="K864" s="54"/>
      <c r="L864" s="54"/>
      <c r="M864" s="54"/>
      <c r="N864" s="54"/>
      <c r="O864" s="54"/>
      <c r="P864" s="54"/>
      <c r="Q864" s="54"/>
      <c r="R864" s="54"/>
      <c r="S864" s="54"/>
      <c r="T864" s="54"/>
      <c r="U864" s="54"/>
      <c r="V864" s="54"/>
      <c r="W864" s="54"/>
      <c r="X864" s="54"/>
      <c r="Y864" s="350"/>
      <c r="Z864" s="54"/>
      <c r="AA864" s="54"/>
      <c r="AB864" s="54"/>
      <c r="AC864" s="54"/>
      <c r="AD864" s="54"/>
      <c r="AE864" s="54"/>
      <c r="AF864" s="54"/>
      <c r="AG864" s="54"/>
      <c r="AH864" s="54"/>
      <c r="AI864" s="54"/>
      <c r="AJ864" s="54"/>
      <c r="AK864" s="54"/>
      <c r="AL864" s="54"/>
      <c r="AM864" s="54"/>
      <c r="AN864" s="54"/>
      <c r="AO864" s="54"/>
      <c r="AP864" s="54"/>
      <c r="AQ864" s="54"/>
      <c r="AR864" s="54"/>
      <c r="AS864" s="54"/>
      <c r="AT864" s="54"/>
    </row>
    <row r="865">
      <c r="A865" s="54"/>
      <c r="B865" s="54"/>
      <c r="C865" s="54"/>
      <c r="D865" s="54"/>
      <c r="E865" s="54"/>
      <c r="F865" s="54"/>
      <c r="G865" s="54"/>
      <c r="H865" s="54"/>
      <c r="I865" s="54"/>
      <c r="J865" s="54"/>
      <c r="K865" s="54"/>
      <c r="L865" s="54"/>
      <c r="M865" s="54"/>
      <c r="N865" s="54"/>
      <c r="O865" s="54"/>
      <c r="P865" s="54"/>
      <c r="Q865" s="54"/>
      <c r="R865" s="54"/>
      <c r="S865" s="54"/>
      <c r="T865" s="54"/>
      <c r="U865" s="54"/>
      <c r="V865" s="54"/>
      <c r="W865" s="54"/>
      <c r="X865" s="54"/>
      <c r="Y865" s="350"/>
      <c r="Z865" s="54"/>
      <c r="AA865" s="54"/>
      <c r="AB865" s="54"/>
      <c r="AC865" s="54"/>
      <c r="AD865" s="54"/>
      <c r="AE865" s="54"/>
      <c r="AF865" s="54"/>
      <c r="AG865" s="54"/>
      <c r="AH865" s="54"/>
      <c r="AI865" s="54"/>
      <c r="AJ865" s="54"/>
      <c r="AK865" s="54"/>
      <c r="AL865" s="54"/>
      <c r="AM865" s="54"/>
      <c r="AN865" s="54"/>
      <c r="AO865" s="54"/>
      <c r="AP865" s="54"/>
      <c r="AQ865" s="54"/>
      <c r="AR865" s="54"/>
      <c r="AS865" s="54"/>
      <c r="AT865" s="54"/>
    </row>
    <row r="866">
      <c r="A866" s="54"/>
      <c r="B866" s="54"/>
      <c r="C866" s="54"/>
      <c r="D866" s="54"/>
      <c r="E866" s="54"/>
      <c r="F866" s="54"/>
      <c r="G866" s="54"/>
      <c r="H866" s="54"/>
      <c r="I866" s="54"/>
      <c r="J866" s="54"/>
      <c r="K866" s="54"/>
      <c r="L866" s="54"/>
      <c r="M866" s="54"/>
      <c r="N866" s="54"/>
      <c r="O866" s="54"/>
      <c r="P866" s="54"/>
      <c r="Q866" s="54"/>
      <c r="R866" s="54"/>
      <c r="S866" s="54"/>
      <c r="T866" s="54"/>
      <c r="U866" s="54"/>
      <c r="V866" s="54"/>
      <c r="W866" s="54"/>
      <c r="X866" s="54"/>
      <c r="Y866" s="350"/>
      <c r="Z866" s="54"/>
      <c r="AA866" s="54"/>
      <c r="AB866" s="54"/>
      <c r="AC866" s="54"/>
      <c r="AD866" s="54"/>
      <c r="AE866" s="54"/>
      <c r="AF866" s="54"/>
      <c r="AG866" s="54"/>
      <c r="AH866" s="54"/>
      <c r="AI866" s="54"/>
      <c r="AJ866" s="54"/>
      <c r="AK866" s="54"/>
      <c r="AL866" s="54"/>
      <c r="AM866" s="54"/>
      <c r="AN866" s="54"/>
      <c r="AO866" s="54"/>
      <c r="AP866" s="54"/>
      <c r="AQ866" s="54"/>
      <c r="AR866" s="54"/>
      <c r="AS866" s="54"/>
      <c r="AT866" s="54"/>
    </row>
    <row r="867">
      <c r="A867" s="54"/>
      <c r="B867" s="54"/>
      <c r="C867" s="54"/>
      <c r="D867" s="54"/>
      <c r="E867" s="54"/>
      <c r="F867" s="54"/>
      <c r="G867" s="54"/>
      <c r="H867" s="54"/>
      <c r="I867" s="54"/>
      <c r="J867" s="54"/>
      <c r="K867" s="54"/>
      <c r="L867" s="54"/>
      <c r="M867" s="54"/>
      <c r="N867" s="54"/>
      <c r="O867" s="54"/>
      <c r="P867" s="54"/>
      <c r="Q867" s="54"/>
      <c r="R867" s="54"/>
      <c r="S867" s="54"/>
      <c r="T867" s="54"/>
      <c r="U867" s="54"/>
      <c r="V867" s="54"/>
      <c r="W867" s="54"/>
      <c r="X867" s="54"/>
      <c r="Y867" s="350"/>
      <c r="Z867" s="54"/>
      <c r="AA867" s="54"/>
      <c r="AB867" s="54"/>
      <c r="AC867" s="54"/>
      <c r="AD867" s="54"/>
      <c r="AE867" s="54"/>
      <c r="AF867" s="54"/>
      <c r="AG867" s="54"/>
      <c r="AH867" s="54"/>
      <c r="AI867" s="54"/>
      <c r="AJ867" s="54"/>
      <c r="AK867" s="54"/>
      <c r="AL867" s="54"/>
      <c r="AM867" s="54"/>
      <c r="AN867" s="54"/>
      <c r="AO867" s="54"/>
      <c r="AP867" s="54"/>
      <c r="AQ867" s="54"/>
      <c r="AR867" s="54"/>
      <c r="AS867" s="54"/>
      <c r="AT867" s="54"/>
    </row>
    <row r="868">
      <c r="A868" s="54"/>
      <c r="B868" s="54"/>
      <c r="C868" s="54"/>
      <c r="D868" s="54"/>
      <c r="E868" s="54"/>
      <c r="F868" s="54"/>
      <c r="G868" s="54"/>
      <c r="H868" s="54"/>
      <c r="I868" s="54"/>
      <c r="J868" s="54"/>
      <c r="K868" s="54"/>
      <c r="L868" s="54"/>
      <c r="M868" s="54"/>
      <c r="N868" s="54"/>
      <c r="O868" s="54"/>
      <c r="P868" s="54"/>
      <c r="Q868" s="54"/>
      <c r="R868" s="54"/>
      <c r="S868" s="54"/>
      <c r="T868" s="54"/>
      <c r="U868" s="54"/>
      <c r="V868" s="54"/>
      <c r="W868" s="54"/>
      <c r="X868" s="54"/>
      <c r="Y868" s="350"/>
      <c r="Z868" s="54"/>
      <c r="AA868" s="54"/>
      <c r="AB868" s="54"/>
      <c r="AC868" s="54"/>
      <c r="AD868" s="54"/>
      <c r="AE868" s="54"/>
      <c r="AF868" s="54"/>
      <c r="AG868" s="54"/>
      <c r="AH868" s="54"/>
      <c r="AI868" s="54"/>
      <c r="AJ868" s="54"/>
      <c r="AK868" s="54"/>
      <c r="AL868" s="54"/>
      <c r="AM868" s="54"/>
      <c r="AN868" s="54"/>
      <c r="AO868" s="54"/>
      <c r="AP868" s="54"/>
      <c r="AQ868" s="54"/>
      <c r="AR868" s="54"/>
      <c r="AS868" s="54"/>
      <c r="AT868" s="54"/>
    </row>
    <row r="869">
      <c r="A869" s="54"/>
      <c r="B869" s="54"/>
      <c r="C869" s="54"/>
      <c r="D869" s="54"/>
      <c r="E869" s="54"/>
      <c r="F869" s="54"/>
      <c r="G869" s="54"/>
      <c r="H869" s="54"/>
      <c r="I869" s="54"/>
      <c r="J869" s="54"/>
      <c r="K869" s="54"/>
      <c r="L869" s="54"/>
      <c r="M869" s="54"/>
      <c r="N869" s="54"/>
      <c r="O869" s="54"/>
      <c r="P869" s="54"/>
      <c r="Q869" s="54"/>
      <c r="R869" s="54"/>
      <c r="S869" s="54"/>
      <c r="T869" s="54"/>
      <c r="U869" s="54"/>
      <c r="V869" s="54"/>
      <c r="W869" s="54"/>
      <c r="X869" s="54"/>
      <c r="Y869" s="350"/>
      <c r="Z869" s="54"/>
      <c r="AA869" s="54"/>
      <c r="AB869" s="54"/>
      <c r="AC869" s="54"/>
      <c r="AD869" s="54"/>
      <c r="AE869" s="54"/>
      <c r="AF869" s="54"/>
      <c r="AG869" s="54"/>
      <c r="AH869" s="54"/>
      <c r="AI869" s="54"/>
      <c r="AJ869" s="54"/>
      <c r="AK869" s="54"/>
      <c r="AL869" s="54"/>
      <c r="AM869" s="54"/>
      <c r="AN869" s="54"/>
      <c r="AO869" s="54"/>
      <c r="AP869" s="54"/>
      <c r="AQ869" s="54"/>
      <c r="AR869" s="54"/>
      <c r="AS869" s="54"/>
      <c r="AT869" s="54"/>
    </row>
    <row r="870">
      <c r="A870" s="54"/>
      <c r="B870" s="54"/>
      <c r="C870" s="54"/>
      <c r="D870" s="54"/>
      <c r="E870" s="54"/>
      <c r="F870" s="54"/>
      <c r="G870" s="54"/>
      <c r="H870" s="54"/>
      <c r="I870" s="54"/>
      <c r="J870" s="54"/>
      <c r="K870" s="54"/>
      <c r="L870" s="54"/>
      <c r="M870" s="54"/>
      <c r="N870" s="54"/>
      <c r="O870" s="54"/>
      <c r="P870" s="54"/>
      <c r="Q870" s="54"/>
      <c r="R870" s="54"/>
      <c r="S870" s="54"/>
      <c r="T870" s="54"/>
      <c r="U870" s="54"/>
      <c r="V870" s="54"/>
      <c r="W870" s="54"/>
      <c r="X870" s="54"/>
      <c r="Y870" s="350"/>
      <c r="Z870" s="54"/>
      <c r="AA870" s="54"/>
      <c r="AB870" s="54"/>
      <c r="AC870" s="54"/>
      <c r="AD870" s="54"/>
      <c r="AE870" s="54"/>
      <c r="AF870" s="54"/>
      <c r="AG870" s="54"/>
      <c r="AH870" s="54"/>
      <c r="AI870" s="54"/>
      <c r="AJ870" s="54"/>
      <c r="AK870" s="54"/>
      <c r="AL870" s="54"/>
      <c r="AM870" s="54"/>
      <c r="AN870" s="54"/>
      <c r="AO870" s="54"/>
      <c r="AP870" s="54"/>
      <c r="AQ870" s="54"/>
      <c r="AR870" s="54"/>
      <c r="AS870" s="54"/>
      <c r="AT870" s="54"/>
    </row>
    <row r="871">
      <c r="A871" s="54"/>
      <c r="B871" s="54"/>
      <c r="C871" s="54"/>
      <c r="D871" s="54"/>
      <c r="E871" s="54"/>
      <c r="F871" s="54"/>
      <c r="G871" s="54"/>
      <c r="H871" s="54"/>
      <c r="I871" s="54"/>
      <c r="J871" s="54"/>
      <c r="K871" s="54"/>
      <c r="L871" s="54"/>
      <c r="M871" s="54"/>
      <c r="N871" s="54"/>
      <c r="O871" s="54"/>
      <c r="P871" s="54"/>
      <c r="Q871" s="54"/>
      <c r="R871" s="54"/>
      <c r="S871" s="54"/>
      <c r="T871" s="54"/>
      <c r="U871" s="54"/>
      <c r="V871" s="54"/>
      <c r="W871" s="54"/>
      <c r="X871" s="54"/>
      <c r="Y871" s="350"/>
      <c r="Z871" s="54"/>
      <c r="AA871" s="54"/>
      <c r="AB871" s="54"/>
      <c r="AC871" s="54"/>
      <c r="AD871" s="54"/>
      <c r="AE871" s="54"/>
      <c r="AF871" s="54"/>
      <c r="AG871" s="54"/>
      <c r="AH871" s="54"/>
      <c r="AI871" s="54"/>
      <c r="AJ871" s="54"/>
      <c r="AK871" s="54"/>
      <c r="AL871" s="54"/>
      <c r="AM871" s="54"/>
      <c r="AN871" s="54"/>
      <c r="AO871" s="54"/>
      <c r="AP871" s="54"/>
      <c r="AQ871" s="54"/>
      <c r="AR871" s="54"/>
      <c r="AS871" s="54"/>
      <c r="AT871" s="54"/>
    </row>
    <row r="872">
      <c r="A872" s="54"/>
      <c r="B872" s="54"/>
      <c r="C872" s="54"/>
      <c r="D872" s="54"/>
      <c r="E872" s="54"/>
      <c r="F872" s="54"/>
      <c r="G872" s="54"/>
      <c r="H872" s="54"/>
      <c r="I872" s="54"/>
      <c r="J872" s="54"/>
      <c r="K872" s="54"/>
      <c r="L872" s="54"/>
      <c r="M872" s="54"/>
      <c r="N872" s="54"/>
      <c r="O872" s="54"/>
      <c r="P872" s="54"/>
      <c r="Q872" s="54"/>
      <c r="R872" s="54"/>
      <c r="S872" s="54"/>
      <c r="T872" s="54"/>
      <c r="U872" s="54"/>
      <c r="V872" s="54"/>
      <c r="W872" s="54"/>
      <c r="X872" s="54"/>
      <c r="Y872" s="350"/>
      <c r="Z872" s="54"/>
      <c r="AA872" s="54"/>
      <c r="AB872" s="54"/>
      <c r="AC872" s="54"/>
      <c r="AD872" s="54"/>
      <c r="AE872" s="54"/>
      <c r="AF872" s="54"/>
      <c r="AG872" s="54"/>
      <c r="AH872" s="54"/>
      <c r="AI872" s="54"/>
      <c r="AJ872" s="54"/>
      <c r="AK872" s="54"/>
      <c r="AL872" s="54"/>
      <c r="AM872" s="54"/>
      <c r="AN872" s="54"/>
      <c r="AO872" s="54"/>
      <c r="AP872" s="54"/>
      <c r="AQ872" s="54"/>
      <c r="AR872" s="54"/>
      <c r="AS872" s="54"/>
      <c r="AT872" s="54"/>
    </row>
    <row r="873">
      <c r="A873" s="54"/>
      <c r="B873" s="54"/>
      <c r="C873" s="54"/>
      <c r="D873" s="54"/>
      <c r="E873" s="54"/>
      <c r="F873" s="54"/>
      <c r="G873" s="54"/>
      <c r="H873" s="54"/>
      <c r="I873" s="54"/>
      <c r="J873" s="54"/>
      <c r="K873" s="54"/>
      <c r="L873" s="54"/>
      <c r="M873" s="54"/>
      <c r="N873" s="54"/>
      <c r="O873" s="54"/>
      <c r="P873" s="54"/>
      <c r="Q873" s="54"/>
      <c r="R873" s="54"/>
      <c r="S873" s="54"/>
      <c r="T873" s="54"/>
      <c r="U873" s="54"/>
      <c r="V873" s="54"/>
      <c r="W873" s="54"/>
      <c r="X873" s="54"/>
      <c r="Y873" s="350"/>
      <c r="Z873" s="54"/>
      <c r="AA873" s="54"/>
      <c r="AB873" s="54"/>
      <c r="AC873" s="54"/>
      <c r="AD873" s="54"/>
      <c r="AE873" s="54"/>
      <c r="AF873" s="54"/>
      <c r="AG873" s="54"/>
      <c r="AH873" s="54"/>
      <c r="AI873" s="54"/>
      <c r="AJ873" s="54"/>
      <c r="AK873" s="54"/>
      <c r="AL873" s="54"/>
      <c r="AM873" s="54"/>
      <c r="AN873" s="54"/>
      <c r="AO873" s="54"/>
      <c r="AP873" s="54"/>
      <c r="AQ873" s="54"/>
      <c r="AR873" s="54"/>
      <c r="AS873" s="54"/>
      <c r="AT873" s="54"/>
    </row>
    <row r="874">
      <c r="A874" s="54"/>
      <c r="B874" s="54"/>
      <c r="C874" s="54"/>
      <c r="D874" s="54"/>
      <c r="E874" s="54"/>
      <c r="F874" s="54"/>
      <c r="G874" s="54"/>
      <c r="H874" s="54"/>
      <c r="I874" s="54"/>
      <c r="J874" s="54"/>
      <c r="K874" s="54"/>
      <c r="L874" s="54"/>
      <c r="M874" s="54"/>
      <c r="N874" s="54"/>
      <c r="O874" s="54"/>
      <c r="P874" s="54"/>
      <c r="Q874" s="54"/>
      <c r="R874" s="54"/>
      <c r="S874" s="54"/>
      <c r="T874" s="54"/>
      <c r="U874" s="54"/>
      <c r="V874" s="54"/>
      <c r="W874" s="54"/>
      <c r="X874" s="54"/>
      <c r="Y874" s="350"/>
      <c r="Z874" s="54"/>
      <c r="AA874" s="54"/>
      <c r="AB874" s="54"/>
      <c r="AC874" s="54"/>
      <c r="AD874" s="54"/>
      <c r="AE874" s="54"/>
      <c r="AF874" s="54"/>
      <c r="AG874" s="54"/>
      <c r="AH874" s="54"/>
      <c r="AI874" s="54"/>
      <c r="AJ874" s="54"/>
      <c r="AK874" s="54"/>
      <c r="AL874" s="54"/>
      <c r="AM874" s="54"/>
      <c r="AN874" s="54"/>
      <c r="AO874" s="54"/>
      <c r="AP874" s="54"/>
      <c r="AQ874" s="54"/>
      <c r="AR874" s="54"/>
      <c r="AS874" s="54"/>
      <c r="AT874" s="54"/>
    </row>
    <row r="875">
      <c r="A875" s="54"/>
      <c r="B875" s="54"/>
      <c r="C875" s="54"/>
      <c r="D875" s="54"/>
      <c r="E875" s="54"/>
      <c r="F875" s="54"/>
      <c r="G875" s="54"/>
      <c r="H875" s="54"/>
      <c r="I875" s="54"/>
      <c r="J875" s="54"/>
      <c r="K875" s="54"/>
      <c r="L875" s="54"/>
      <c r="M875" s="54"/>
      <c r="N875" s="54"/>
      <c r="O875" s="54"/>
      <c r="P875" s="54"/>
      <c r="Q875" s="54"/>
      <c r="R875" s="54"/>
      <c r="S875" s="54"/>
      <c r="T875" s="54"/>
      <c r="U875" s="54"/>
      <c r="V875" s="54"/>
      <c r="W875" s="54"/>
      <c r="X875" s="54"/>
      <c r="Y875" s="350"/>
      <c r="Z875" s="54"/>
      <c r="AA875" s="54"/>
      <c r="AB875" s="54"/>
      <c r="AC875" s="54"/>
      <c r="AD875" s="54"/>
      <c r="AE875" s="54"/>
      <c r="AF875" s="54"/>
      <c r="AG875" s="54"/>
      <c r="AH875" s="54"/>
      <c r="AI875" s="54"/>
      <c r="AJ875" s="54"/>
      <c r="AK875" s="54"/>
      <c r="AL875" s="54"/>
      <c r="AM875" s="54"/>
      <c r="AN875" s="54"/>
      <c r="AO875" s="54"/>
      <c r="AP875" s="54"/>
      <c r="AQ875" s="54"/>
      <c r="AR875" s="54"/>
      <c r="AS875" s="54"/>
      <c r="AT875" s="54"/>
    </row>
    <row r="876">
      <c r="A876" s="54"/>
      <c r="B876" s="54"/>
      <c r="C876" s="54"/>
      <c r="D876" s="54"/>
      <c r="E876" s="54"/>
      <c r="F876" s="54"/>
      <c r="G876" s="54"/>
      <c r="H876" s="54"/>
      <c r="I876" s="54"/>
      <c r="J876" s="54"/>
      <c r="K876" s="54"/>
      <c r="L876" s="54"/>
      <c r="M876" s="54"/>
      <c r="N876" s="54"/>
      <c r="O876" s="54"/>
      <c r="P876" s="54"/>
      <c r="Q876" s="54"/>
      <c r="R876" s="54"/>
      <c r="S876" s="54"/>
      <c r="T876" s="54"/>
      <c r="U876" s="54"/>
      <c r="V876" s="54"/>
      <c r="W876" s="54"/>
      <c r="X876" s="54"/>
      <c r="Y876" s="350"/>
      <c r="Z876" s="54"/>
      <c r="AA876" s="54"/>
      <c r="AB876" s="54"/>
      <c r="AC876" s="54"/>
      <c r="AD876" s="54"/>
      <c r="AE876" s="54"/>
      <c r="AF876" s="54"/>
      <c r="AG876" s="54"/>
      <c r="AH876" s="54"/>
      <c r="AI876" s="54"/>
      <c r="AJ876" s="54"/>
      <c r="AK876" s="54"/>
      <c r="AL876" s="54"/>
      <c r="AM876" s="54"/>
      <c r="AN876" s="54"/>
      <c r="AO876" s="54"/>
      <c r="AP876" s="54"/>
      <c r="AQ876" s="54"/>
      <c r="AR876" s="54"/>
      <c r="AS876" s="54"/>
      <c r="AT876" s="54"/>
    </row>
    <row r="877">
      <c r="A877" s="54"/>
      <c r="B877" s="54"/>
      <c r="C877" s="54"/>
      <c r="D877" s="54"/>
      <c r="E877" s="54"/>
      <c r="F877" s="54"/>
      <c r="G877" s="54"/>
      <c r="H877" s="54"/>
      <c r="I877" s="54"/>
      <c r="J877" s="54"/>
      <c r="K877" s="54"/>
      <c r="L877" s="54"/>
      <c r="M877" s="54"/>
      <c r="N877" s="54"/>
      <c r="O877" s="54"/>
      <c r="P877" s="54"/>
      <c r="Q877" s="54"/>
      <c r="R877" s="54"/>
      <c r="S877" s="54"/>
      <c r="T877" s="54"/>
      <c r="U877" s="54"/>
      <c r="V877" s="54"/>
      <c r="W877" s="54"/>
      <c r="X877" s="54"/>
      <c r="Y877" s="350"/>
      <c r="Z877" s="54"/>
      <c r="AA877" s="54"/>
      <c r="AB877" s="54"/>
      <c r="AC877" s="54"/>
      <c r="AD877" s="54"/>
      <c r="AE877" s="54"/>
      <c r="AF877" s="54"/>
      <c r="AG877" s="54"/>
      <c r="AH877" s="54"/>
      <c r="AI877" s="54"/>
      <c r="AJ877" s="54"/>
      <c r="AK877" s="54"/>
      <c r="AL877" s="54"/>
      <c r="AM877" s="54"/>
      <c r="AN877" s="54"/>
      <c r="AO877" s="54"/>
      <c r="AP877" s="54"/>
      <c r="AQ877" s="54"/>
      <c r="AR877" s="54"/>
      <c r="AS877" s="54"/>
      <c r="AT877" s="54"/>
    </row>
    <row r="878">
      <c r="A878" s="54"/>
      <c r="B878" s="54"/>
      <c r="C878" s="54"/>
      <c r="D878" s="54"/>
      <c r="E878" s="54"/>
      <c r="F878" s="54"/>
      <c r="G878" s="54"/>
      <c r="H878" s="54"/>
      <c r="I878" s="54"/>
      <c r="J878" s="54"/>
      <c r="K878" s="54"/>
      <c r="L878" s="54"/>
      <c r="M878" s="54"/>
      <c r="N878" s="54"/>
      <c r="O878" s="54"/>
      <c r="P878" s="54"/>
      <c r="Q878" s="54"/>
      <c r="R878" s="54"/>
      <c r="S878" s="54"/>
      <c r="T878" s="54"/>
      <c r="U878" s="54"/>
      <c r="V878" s="54"/>
      <c r="W878" s="54"/>
      <c r="X878" s="54"/>
      <c r="Y878" s="350"/>
      <c r="Z878" s="54"/>
      <c r="AA878" s="54"/>
      <c r="AB878" s="54"/>
      <c r="AC878" s="54"/>
      <c r="AD878" s="54"/>
      <c r="AE878" s="54"/>
      <c r="AF878" s="54"/>
      <c r="AG878" s="54"/>
      <c r="AH878" s="54"/>
      <c r="AI878" s="54"/>
      <c r="AJ878" s="54"/>
      <c r="AK878" s="54"/>
      <c r="AL878" s="54"/>
      <c r="AM878" s="54"/>
      <c r="AN878" s="54"/>
      <c r="AO878" s="54"/>
      <c r="AP878" s="54"/>
      <c r="AQ878" s="54"/>
      <c r="AR878" s="54"/>
      <c r="AS878" s="54"/>
      <c r="AT878" s="54"/>
    </row>
    <row r="879">
      <c r="A879" s="54"/>
      <c r="B879" s="54"/>
      <c r="C879" s="54"/>
      <c r="D879" s="54"/>
      <c r="E879" s="54"/>
      <c r="F879" s="54"/>
      <c r="G879" s="54"/>
      <c r="H879" s="54"/>
      <c r="I879" s="54"/>
      <c r="J879" s="54"/>
      <c r="K879" s="54"/>
      <c r="L879" s="54"/>
      <c r="M879" s="54"/>
      <c r="N879" s="54"/>
      <c r="O879" s="54"/>
      <c r="P879" s="54"/>
      <c r="Q879" s="54"/>
      <c r="R879" s="54"/>
      <c r="S879" s="54"/>
      <c r="T879" s="54"/>
      <c r="U879" s="54"/>
      <c r="V879" s="54"/>
      <c r="W879" s="54"/>
      <c r="X879" s="54"/>
      <c r="Y879" s="350"/>
      <c r="Z879" s="54"/>
      <c r="AA879" s="54"/>
      <c r="AB879" s="54"/>
      <c r="AC879" s="54"/>
      <c r="AD879" s="54"/>
      <c r="AE879" s="54"/>
      <c r="AF879" s="54"/>
      <c r="AG879" s="54"/>
      <c r="AH879" s="54"/>
      <c r="AI879" s="54"/>
      <c r="AJ879" s="54"/>
      <c r="AK879" s="54"/>
      <c r="AL879" s="54"/>
      <c r="AM879" s="54"/>
      <c r="AN879" s="54"/>
      <c r="AO879" s="54"/>
      <c r="AP879" s="54"/>
      <c r="AQ879" s="54"/>
      <c r="AR879" s="54"/>
      <c r="AS879" s="54"/>
      <c r="AT879" s="54"/>
    </row>
    <row r="880">
      <c r="A880" s="54"/>
      <c r="B880" s="54"/>
      <c r="C880" s="54"/>
      <c r="D880" s="54"/>
      <c r="E880" s="54"/>
      <c r="F880" s="54"/>
      <c r="G880" s="54"/>
      <c r="H880" s="54"/>
      <c r="I880" s="54"/>
      <c r="J880" s="54"/>
      <c r="K880" s="54"/>
      <c r="L880" s="54"/>
      <c r="M880" s="54"/>
      <c r="N880" s="54"/>
      <c r="O880" s="54"/>
      <c r="P880" s="54"/>
      <c r="Q880" s="54"/>
      <c r="R880" s="54"/>
      <c r="S880" s="54"/>
      <c r="T880" s="54"/>
      <c r="U880" s="54"/>
      <c r="V880" s="54"/>
      <c r="W880" s="54"/>
      <c r="X880" s="54"/>
      <c r="Y880" s="350"/>
      <c r="Z880" s="54"/>
      <c r="AA880" s="54"/>
      <c r="AB880" s="54"/>
      <c r="AC880" s="54"/>
      <c r="AD880" s="54"/>
      <c r="AE880" s="54"/>
      <c r="AF880" s="54"/>
      <c r="AG880" s="54"/>
      <c r="AH880" s="54"/>
      <c r="AI880" s="54"/>
      <c r="AJ880" s="54"/>
      <c r="AK880" s="54"/>
      <c r="AL880" s="54"/>
      <c r="AM880" s="54"/>
      <c r="AN880" s="54"/>
      <c r="AO880" s="54"/>
      <c r="AP880" s="54"/>
      <c r="AQ880" s="54"/>
      <c r="AR880" s="54"/>
      <c r="AS880" s="54"/>
      <c r="AT880" s="54"/>
    </row>
    <row r="881">
      <c r="A881" s="54"/>
      <c r="B881" s="54"/>
      <c r="C881" s="54"/>
      <c r="D881" s="54"/>
      <c r="E881" s="54"/>
      <c r="F881" s="54"/>
      <c r="G881" s="54"/>
      <c r="H881" s="54"/>
      <c r="I881" s="54"/>
      <c r="J881" s="54"/>
      <c r="K881" s="54"/>
      <c r="L881" s="54"/>
      <c r="M881" s="54"/>
      <c r="N881" s="54"/>
      <c r="O881" s="54"/>
      <c r="P881" s="54"/>
      <c r="Q881" s="54"/>
      <c r="R881" s="54"/>
      <c r="S881" s="54"/>
      <c r="T881" s="54"/>
      <c r="U881" s="54"/>
      <c r="V881" s="54"/>
      <c r="W881" s="54"/>
      <c r="X881" s="54"/>
      <c r="Y881" s="350"/>
      <c r="Z881" s="54"/>
      <c r="AA881" s="54"/>
      <c r="AB881" s="54"/>
      <c r="AC881" s="54"/>
      <c r="AD881" s="54"/>
      <c r="AE881" s="54"/>
      <c r="AF881" s="54"/>
      <c r="AG881" s="54"/>
      <c r="AH881" s="54"/>
      <c r="AI881" s="54"/>
      <c r="AJ881" s="54"/>
      <c r="AK881" s="54"/>
      <c r="AL881" s="54"/>
      <c r="AM881" s="54"/>
      <c r="AN881" s="54"/>
      <c r="AO881" s="54"/>
      <c r="AP881" s="54"/>
      <c r="AQ881" s="54"/>
      <c r="AR881" s="54"/>
      <c r="AS881" s="54"/>
      <c r="AT881" s="54"/>
    </row>
    <row r="882">
      <c r="A882" s="54"/>
      <c r="B882" s="54"/>
      <c r="C882" s="54"/>
      <c r="D882" s="54"/>
      <c r="E882" s="54"/>
      <c r="F882" s="54"/>
      <c r="G882" s="54"/>
      <c r="H882" s="54"/>
      <c r="I882" s="54"/>
      <c r="J882" s="54"/>
      <c r="K882" s="54"/>
      <c r="L882" s="54"/>
      <c r="M882" s="54"/>
      <c r="N882" s="54"/>
      <c r="O882" s="54"/>
      <c r="P882" s="54"/>
      <c r="Q882" s="54"/>
      <c r="R882" s="54"/>
      <c r="S882" s="54"/>
      <c r="T882" s="54"/>
      <c r="U882" s="54"/>
      <c r="V882" s="54"/>
      <c r="W882" s="54"/>
      <c r="X882" s="54"/>
      <c r="Y882" s="350"/>
      <c r="Z882" s="54"/>
      <c r="AA882" s="54"/>
      <c r="AB882" s="54"/>
      <c r="AC882" s="54"/>
      <c r="AD882" s="54"/>
      <c r="AE882" s="54"/>
      <c r="AF882" s="54"/>
      <c r="AG882" s="54"/>
      <c r="AH882" s="54"/>
      <c r="AI882" s="54"/>
      <c r="AJ882" s="54"/>
      <c r="AK882" s="54"/>
      <c r="AL882" s="54"/>
      <c r="AM882" s="54"/>
      <c r="AN882" s="54"/>
      <c r="AO882" s="54"/>
      <c r="AP882" s="54"/>
      <c r="AQ882" s="54"/>
      <c r="AR882" s="54"/>
      <c r="AS882" s="54"/>
      <c r="AT882" s="54"/>
    </row>
    <row r="883">
      <c r="A883" s="54"/>
      <c r="B883" s="54"/>
      <c r="C883" s="54"/>
      <c r="D883" s="54"/>
      <c r="E883" s="54"/>
      <c r="F883" s="54"/>
      <c r="G883" s="54"/>
      <c r="H883" s="54"/>
      <c r="I883" s="54"/>
      <c r="J883" s="54"/>
      <c r="K883" s="54"/>
      <c r="L883" s="54"/>
      <c r="M883" s="54"/>
      <c r="N883" s="54"/>
      <c r="O883" s="54"/>
      <c r="P883" s="54"/>
      <c r="Q883" s="54"/>
      <c r="R883" s="54"/>
      <c r="S883" s="54"/>
      <c r="T883" s="54"/>
      <c r="U883" s="54"/>
      <c r="V883" s="54"/>
      <c r="W883" s="54"/>
      <c r="X883" s="54"/>
      <c r="Y883" s="350"/>
      <c r="Z883" s="54"/>
      <c r="AA883" s="54"/>
      <c r="AB883" s="54"/>
      <c r="AC883" s="54"/>
      <c r="AD883" s="54"/>
      <c r="AE883" s="54"/>
      <c r="AF883" s="54"/>
      <c r="AG883" s="54"/>
      <c r="AH883" s="54"/>
      <c r="AI883" s="54"/>
      <c r="AJ883" s="54"/>
      <c r="AK883" s="54"/>
      <c r="AL883" s="54"/>
      <c r="AM883" s="54"/>
      <c r="AN883" s="54"/>
      <c r="AO883" s="54"/>
      <c r="AP883" s="54"/>
      <c r="AQ883" s="54"/>
      <c r="AR883" s="54"/>
      <c r="AS883" s="54"/>
      <c r="AT883" s="54"/>
    </row>
    <row r="884">
      <c r="A884" s="54"/>
      <c r="B884" s="54"/>
      <c r="C884" s="54"/>
      <c r="D884" s="54"/>
      <c r="E884" s="54"/>
      <c r="F884" s="54"/>
      <c r="G884" s="54"/>
      <c r="H884" s="54"/>
      <c r="I884" s="54"/>
      <c r="J884" s="54"/>
      <c r="K884" s="54"/>
      <c r="L884" s="54"/>
      <c r="M884" s="54"/>
      <c r="N884" s="54"/>
      <c r="O884" s="54"/>
      <c r="P884" s="54"/>
      <c r="Q884" s="54"/>
      <c r="R884" s="54"/>
      <c r="S884" s="54"/>
      <c r="T884" s="54"/>
      <c r="U884" s="54"/>
      <c r="V884" s="54"/>
      <c r="W884" s="54"/>
      <c r="X884" s="54"/>
      <c r="Y884" s="350"/>
      <c r="Z884" s="54"/>
      <c r="AA884" s="54"/>
      <c r="AB884" s="54"/>
      <c r="AC884" s="54"/>
      <c r="AD884" s="54"/>
      <c r="AE884" s="54"/>
      <c r="AF884" s="54"/>
      <c r="AG884" s="54"/>
      <c r="AH884" s="54"/>
      <c r="AI884" s="54"/>
      <c r="AJ884" s="54"/>
      <c r="AK884" s="54"/>
      <c r="AL884" s="54"/>
      <c r="AM884" s="54"/>
      <c r="AN884" s="54"/>
      <c r="AO884" s="54"/>
      <c r="AP884" s="54"/>
      <c r="AQ884" s="54"/>
      <c r="AR884" s="54"/>
      <c r="AS884" s="54"/>
      <c r="AT884" s="54"/>
    </row>
    <row r="885">
      <c r="A885" s="54"/>
      <c r="B885" s="54"/>
      <c r="C885" s="54"/>
      <c r="D885" s="54"/>
      <c r="E885" s="54"/>
      <c r="F885" s="54"/>
      <c r="G885" s="54"/>
      <c r="H885" s="54"/>
      <c r="I885" s="54"/>
      <c r="J885" s="54"/>
      <c r="K885" s="54"/>
      <c r="L885" s="54"/>
      <c r="M885" s="54"/>
      <c r="N885" s="54"/>
      <c r="O885" s="54"/>
      <c r="P885" s="54"/>
      <c r="Q885" s="54"/>
      <c r="R885" s="54"/>
      <c r="S885" s="54"/>
      <c r="T885" s="54"/>
      <c r="U885" s="54"/>
      <c r="V885" s="54"/>
      <c r="W885" s="54"/>
      <c r="X885" s="54"/>
      <c r="Y885" s="350"/>
      <c r="Z885" s="54"/>
      <c r="AA885" s="54"/>
      <c r="AB885" s="54"/>
      <c r="AC885" s="54"/>
      <c r="AD885" s="54"/>
      <c r="AE885" s="54"/>
      <c r="AF885" s="54"/>
      <c r="AG885" s="54"/>
      <c r="AH885" s="54"/>
      <c r="AI885" s="54"/>
      <c r="AJ885" s="54"/>
      <c r="AK885" s="54"/>
      <c r="AL885" s="54"/>
      <c r="AM885" s="54"/>
      <c r="AN885" s="54"/>
      <c r="AO885" s="54"/>
      <c r="AP885" s="54"/>
      <c r="AQ885" s="54"/>
      <c r="AR885" s="54"/>
      <c r="AS885" s="54"/>
      <c r="AT885" s="54"/>
    </row>
    <row r="886">
      <c r="A886" s="54"/>
      <c r="B886" s="54"/>
      <c r="C886" s="54"/>
      <c r="D886" s="54"/>
      <c r="E886" s="54"/>
      <c r="F886" s="54"/>
      <c r="G886" s="54"/>
      <c r="H886" s="54"/>
      <c r="I886" s="54"/>
      <c r="J886" s="54"/>
      <c r="K886" s="54"/>
      <c r="L886" s="54"/>
      <c r="M886" s="54"/>
      <c r="N886" s="54"/>
      <c r="O886" s="54"/>
      <c r="P886" s="54"/>
      <c r="Q886" s="54"/>
      <c r="R886" s="54"/>
      <c r="S886" s="54"/>
      <c r="T886" s="54"/>
      <c r="U886" s="54"/>
      <c r="V886" s="54"/>
      <c r="W886" s="54"/>
      <c r="X886" s="54"/>
      <c r="Y886" s="350"/>
      <c r="Z886" s="54"/>
      <c r="AA886" s="54"/>
      <c r="AB886" s="54"/>
      <c r="AC886" s="54"/>
      <c r="AD886" s="54"/>
      <c r="AE886" s="54"/>
      <c r="AF886" s="54"/>
      <c r="AG886" s="54"/>
      <c r="AH886" s="54"/>
      <c r="AI886" s="54"/>
      <c r="AJ886" s="54"/>
      <c r="AK886" s="54"/>
      <c r="AL886" s="54"/>
      <c r="AM886" s="54"/>
      <c r="AN886" s="54"/>
      <c r="AO886" s="54"/>
      <c r="AP886" s="54"/>
      <c r="AQ886" s="54"/>
      <c r="AR886" s="54"/>
      <c r="AS886" s="54"/>
      <c r="AT886" s="54"/>
    </row>
    <row r="887">
      <c r="A887" s="54"/>
      <c r="B887" s="54"/>
      <c r="C887" s="54"/>
      <c r="D887" s="54"/>
      <c r="E887" s="54"/>
      <c r="F887" s="54"/>
      <c r="G887" s="54"/>
      <c r="H887" s="54"/>
      <c r="I887" s="54"/>
      <c r="J887" s="54"/>
      <c r="K887" s="54"/>
      <c r="L887" s="54"/>
      <c r="M887" s="54"/>
      <c r="N887" s="54"/>
      <c r="O887" s="54"/>
      <c r="P887" s="54"/>
      <c r="Q887" s="54"/>
      <c r="R887" s="54"/>
      <c r="S887" s="54"/>
      <c r="T887" s="54"/>
      <c r="U887" s="54"/>
      <c r="V887" s="54"/>
      <c r="W887" s="54"/>
      <c r="X887" s="54"/>
      <c r="Y887" s="350"/>
      <c r="Z887" s="54"/>
      <c r="AA887" s="54"/>
      <c r="AB887" s="54"/>
      <c r="AC887" s="54"/>
      <c r="AD887" s="54"/>
      <c r="AE887" s="54"/>
      <c r="AF887" s="54"/>
      <c r="AG887" s="54"/>
      <c r="AH887" s="54"/>
      <c r="AI887" s="54"/>
      <c r="AJ887" s="54"/>
      <c r="AK887" s="54"/>
      <c r="AL887" s="54"/>
      <c r="AM887" s="54"/>
      <c r="AN887" s="54"/>
      <c r="AO887" s="54"/>
      <c r="AP887" s="54"/>
      <c r="AQ887" s="54"/>
      <c r="AR887" s="54"/>
      <c r="AS887" s="54"/>
      <c r="AT887" s="54"/>
    </row>
    <row r="888">
      <c r="A888" s="54"/>
      <c r="B888" s="54"/>
      <c r="C888" s="54"/>
      <c r="D888" s="54"/>
      <c r="E888" s="54"/>
      <c r="F888" s="54"/>
      <c r="G888" s="54"/>
      <c r="H888" s="54"/>
      <c r="I888" s="54"/>
      <c r="J888" s="54"/>
      <c r="K888" s="54"/>
      <c r="L888" s="54"/>
      <c r="M888" s="54"/>
      <c r="N888" s="54"/>
      <c r="O888" s="54"/>
      <c r="P888" s="54"/>
      <c r="Q888" s="54"/>
      <c r="R888" s="54"/>
      <c r="S888" s="54"/>
      <c r="T888" s="54"/>
      <c r="U888" s="54"/>
      <c r="V888" s="54"/>
      <c r="W888" s="54"/>
      <c r="X888" s="54"/>
      <c r="Y888" s="350"/>
      <c r="Z888" s="54"/>
      <c r="AA888" s="54"/>
      <c r="AB888" s="54"/>
      <c r="AC888" s="54"/>
      <c r="AD888" s="54"/>
      <c r="AE888" s="54"/>
      <c r="AF888" s="54"/>
      <c r="AG888" s="54"/>
      <c r="AH888" s="54"/>
      <c r="AI888" s="54"/>
      <c r="AJ888" s="54"/>
      <c r="AK888" s="54"/>
      <c r="AL888" s="54"/>
      <c r="AM888" s="54"/>
      <c r="AN888" s="54"/>
      <c r="AO888" s="54"/>
      <c r="AP888" s="54"/>
      <c r="AQ888" s="54"/>
      <c r="AR888" s="54"/>
      <c r="AS888" s="54"/>
      <c r="AT888" s="54"/>
    </row>
    <row r="889">
      <c r="A889" s="54"/>
      <c r="B889" s="54"/>
      <c r="C889" s="54"/>
      <c r="D889" s="54"/>
      <c r="E889" s="54"/>
      <c r="F889" s="54"/>
      <c r="G889" s="54"/>
      <c r="H889" s="54"/>
      <c r="I889" s="54"/>
      <c r="J889" s="54"/>
      <c r="K889" s="54"/>
      <c r="L889" s="54"/>
      <c r="M889" s="54"/>
      <c r="N889" s="54"/>
      <c r="O889" s="54"/>
      <c r="P889" s="54"/>
      <c r="Q889" s="54"/>
      <c r="R889" s="54"/>
      <c r="S889" s="54"/>
      <c r="T889" s="54"/>
      <c r="U889" s="54"/>
      <c r="V889" s="54"/>
      <c r="W889" s="54"/>
      <c r="X889" s="54"/>
      <c r="Y889" s="350"/>
      <c r="Z889" s="54"/>
      <c r="AA889" s="54"/>
      <c r="AB889" s="54"/>
      <c r="AC889" s="54"/>
      <c r="AD889" s="54"/>
      <c r="AE889" s="54"/>
      <c r="AF889" s="54"/>
      <c r="AG889" s="54"/>
      <c r="AH889" s="54"/>
      <c r="AI889" s="54"/>
      <c r="AJ889" s="54"/>
      <c r="AK889" s="54"/>
      <c r="AL889" s="54"/>
      <c r="AM889" s="54"/>
      <c r="AN889" s="54"/>
      <c r="AO889" s="54"/>
      <c r="AP889" s="54"/>
      <c r="AQ889" s="54"/>
      <c r="AR889" s="54"/>
      <c r="AS889" s="54"/>
      <c r="AT889" s="54"/>
    </row>
    <row r="890">
      <c r="A890" s="54"/>
      <c r="B890" s="54"/>
      <c r="C890" s="54"/>
      <c r="D890" s="54"/>
      <c r="E890" s="54"/>
      <c r="F890" s="54"/>
      <c r="G890" s="54"/>
      <c r="H890" s="54"/>
      <c r="I890" s="54"/>
      <c r="J890" s="54"/>
      <c r="K890" s="54"/>
      <c r="L890" s="54"/>
      <c r="M890" s="54"/>
      <c r="N890" s="54"/>
      <c r="O890" s="54"/>
      <c r="P890" s="54"/>
      <c r="Q890" s="54"/>
      <c r="R890" s="54"/>
      <c r="S890" s="54"/>
      <c r="T890" s="54"/>
      <c r="U890" s="54"/>
      <c r="V890" s="54"/>
      <c r="W890" s="54"/>
      <c r="X890" s="54"/>
      <c r="Y890" s="350"/>
      <c r="Z890" s="54"/>
      <c r="AA890" s="54"/>
      <c r="AB890" s="54"/>
      <c r="AC890" s="54"/>
      <c r="AD890" s="54"/>
      <c r="AE890" s="54"/>
      <c r="AF890" s="54"/>
      <c r="AG890" s="54"/>
      <c r="AH890" s="54"/>
      <c r="AI890" s="54"/>
      <c r="AJ890" s="54"/>
      <c r="AK890" s="54"/>
      <c r="AL890" s="54"/>
      <c r="AM890" s="54"/>
      <c r="AN890" s="54"/>
      <c r="AO890" s="54"/>
      <c r="AP890" s="54"/>
      <c r="AQ890" s="54"/>
      <c r="AR890" s="54"/>
      <c r="AS890" s="54"/>
      <c r="AT890" s="54"/>
    </row>
    <row r="891">
      <c r="A891" s="54"/>
      <c r="B891" s="54"/>
      <c r="C891" s="54"/>
      <c r="D891" s="54"/>
      <c r="E891" s="54"/>
      <c r="F891" s="54"/>
      <c r="G891" s="54"/>
      <c r="H891" s="54"/>
      <c r="I891" s="54"/>
      <c r="J891" s="54"/>
      <c r="K891" s="54"/>
      <c r="L891" s="54"/>
      <c r="M891" s="54"/>
      <c r="N891" s="54"/>
      <c r="O891" s="54"/>
      <c r="P891" s="54"/>
      <c r="Q891" s="54"/>
      <c r="R891" s="54"/>
      <c r="S891" s="54"/>
      <c r="T891" s="54"/>
      <c r="U891" s="54"/>
      <c r="V891" s="54"/>
      <c r="W891" s="54"/>
      <c r="X891" s="54"/>
      <c r="Y891" s="350"/>
      <c r="Z891" s="54"/>
      <c r="AA891" s="54"/>
      <c r="AB891" s="54"/>
      <c r="AC891" s="54"/>
      <c r="AD891" s="54"/>
      <c r="AE891" s="54"/>
      <c r="AF891" s="54"/>
      <c r="AG891" s="54"/>
      <c r="AH891" s="54"/>
      <c r="AI891" s="54"/>
      <c r="AJ891" s="54"/>
      <c r="AK891" s="54"/>
      <c r="AL891" s="54"/>
      <c r="AM891" s="54"/>
      <c r="AN891" s="54"/>
      <c r="AO891" s="54"/>
      <c r="AP891" s="54"/>
      <c r="AQ891" s="54"/>
      <c r="AR891" s="54"/>
      <c r="AS891" s="54"/>
      <c r="AT891" s="54"/>
    </row>
    <row r="892">
      <c r="A892" s="54"/>
      <c r="B892" s="54"/>
      <c r="C892" s="54"/>
      <c r="D892" s="54"/>
      <c r="E892" s="54"/>
      <c r="F892" s="54"/>
      <c r="G892" s="54"/>
      <c r="H892" s="54"/>
      <c r="I892" s="54"/>
      <c r="J892" s="54"/>
      <c r="K892" s="54"/>
      <c r="L892" s="54"/>
      <c r="M892" s="54"/>
      <c r="N892" s="54"/>
      <c r="O892" s="54"/>
      <c r="P892" s="54"/>
      <c r="Q892" s="54"/>
      <c r="R892" s="54"/>
      <c r="S892" s="54"/>
      <c r="T892" s="54"/>
      <c r="U892" s="54"/>
      <c r="V892" s="54"/>
      <c r="W892" s="54"/>
      <c r="X892" s="54"/>
      <c r="Y892" s="350"/>
      <c r="Z892" s="54"/>
      <c r="AA892" s="54"/>
      <c r="AB892" s="54"/>
      <c r="AC892" s="54"/>
      <c r="AD892" s="54"/>
      <c r="AE892" s="54"/>
      <c r="AF892" s="54"/>
      <c r="AG892" s="54"/>
      <c r="AH892" s="54"/>
      <c r="AI892" s="54"/>
      <c r="AJ892" s="54"/>
      <c r="AK892" s="54"/>
      <c r="AL892" s="54"/>
      <c r="AM892" s="54"/>
      <c r="AN892" s="54"/>
      <c r="AO892" s="54"/>
      <c r="AP892" s="54"/>
      <c r="AQ892" s="54"/>
      <c r="AR892" s="54"/>
      <c r="AS892" s="54"/>
      <c r="AT892" s="54"/>
    </row>
    <row r="893">
      <c r="A893" s="54"/>
      <c r="B893" s="54"/>
      <c r="C893" s="54"/>
      <c r="D893" s="54"/>
      <c r="E893" s="54"/>
      <c r="F893" s="54"/>
      <c r="G893" s="54"/>
      <c r="H893" s="54"/>
      <c r="I893" s="54"/>
      <c r="J893" s="54"/>
      <c r="K893" s="54"/>
      <c r="L893" s="54"/>
      <c r="M893" s="54"/>
      <c r="N893" s="54"/>
      <c r="O893" s="54"/>
      <c r="P893" s="54"/>
      <c r="Q893" s="54"/>
      <c r="R893" s="54"/>
      <c r="S893" s="54"/>
      <c r="T893" s="54"/>
      <c r="U893" s="54"/>
      <c r="V893" s="54"/>
      <c r="W893" s="54"/>
      <c r="X893" s="54"/>
      <c r="Y893" s="350"/>
      <c r="Z893" s="54"/>
      <c r="AA893" s="54"/>
      <c r="AB893" s="54"/>
      <c r="AC893" s="54"/>
      <c r="AD893" s="54"/>
      <c r="AE893" s="54"/>
      <c r="AF893" s="54"/>
      <c r="AG893" s="54"/>
      <c r="AH893" s="54"/>
      <c r="AI893" s="54"/>
      <c r="AJ893" s="54"/>
      <c r="AK893" s="54"/>
      <c r="AL893" s="54"/>
      <c r="AM893" s="54"/>
      <c r="AN893" s="54"/>
      <c r="AO893" s="54"/>
      <c r="AP893" s="54"/>
      <c r="AQ893" s="54"/>
      <c r="AR893" s="54"/>
      <c r="AS893" s="54"/>
      <c r="AT893" s="54"/>
    </row>
    <row r="894">
      <c r="A894" s="54"/>
      <c r="B894" s="54"/>
      <c r="C894" s="54"/>
      <c r="D894" s="54"/>
      <c r="E894" s="54"/>
      <c r="F894" s="54"/>
      <c r="G894" s="54"/>
      <c r="H894" s="54"/>
      <c r="I894" s="54"/>
      <c r="J894" s="54"/>
      <c r="K894" s="54"/>
      <c r="L894" s="54"/>
      <c r="M894" s="54"/>
      <c r="N894" s="54"/>
      <c r="O894" s="54"/>
      <c r="P894" s="54"/>
      <c r="Q894" s="54"/>
      <c r="R894" s="54"/>
      <c r="S894" s="54"/>
      <c r="T894" s="54"/>
      <c r="U894" s="54"/>
      <c r="V894" s="54"/>
      <c r="W894" s="54"/>
      <c r="X894" s="54"/>
      <c r="Y894" s="350"/>
      <c r="Z894" s="54"/>
      <c r="AA894" s="54"/>
      <c r="AB894" s="54"/>
      <c r="AC894" s="54"/>
      <c r="AD894" s="54"/>
      <c r="AE894" s="54"/>
      <c r="AF894" s="54"/>
      <c r="AG894" s="54"/>
      <c r="AH894" s="54"/>
      <c r="AI894" s="54"/>
      <c r="AJ894" s="54"/>
      <c r="AK894" s="54"/>
      <c r="AL894" s="54"/>
      <c r="AM894" s="54"/>
      <c r="AN894" s="54"/>
      <c r="AO894" s="54"/>
      <c r="AP894" s="54"/>
      <c r="AQ894" s="54"/>
      <c r="AR894" s="54"/>
      <c r="AS894" s="54"/>
      <c r="AT894" s="54"/>
    </row>
    <row r="895">
      <c r="A895" s="54"/>
      <c r="B895" s="54"/>
      <c r="C895" s="54"/>
      <c r="D895" s="54"/>
      <c r="E895" s="54"/>
      <c r="F895" s="54"/>
      <c r="G895" s="54"/>
      <c r="H895" s="54"/>
      <c r="I895" s="54"/>
      <c r="J895" s="54"/>
      <c r="K895" s="54"/>
      <c r="L895" s="54"/>
      <c r="M895" s="54"/>
      <c r="N895" s="54"/>
      <c r="O895" s="54"/>
      <c r="P895" s="54"/>
      <c r="Q895" s="54"/>
      <c r="R895" s="54"/>
      <c r="S895" s="54"/>
      <c r="T895" s="54"/>
      <c r="U895" s="54"/>
      <c r="V895" s="54"/>
      <c r="W895" s="54"/>
      <c r="X895" s="54"/>
      <c r="Y895" s="350"/>
      <c r="Z895" s="54"/>
      <c r="AA895" s="54"/>
      <c r="AB895" s="54"/>
      <c r="AC895" s="54"/>
      <c r="AD895" s="54"/>
      <c r="AE895" s="54"/>
      <c r="AF895" s="54"/>
      <c r="AG895" s="54"/>
      <c r="AH895" s="54"/>
      <c r="AI895" s="54"/>
      <c r="AJ895" s="54"/>
      <c r="AK895" s="54"/>
      <c r="AL895" s="54"/>
      <c r="AM895" s="54"/>
      <c r="AN895" s="54"/>
      <c r="AO895" s="54"/>
      <c r="AP895" s="54"/>
      <c r="AQ895" s="54"/>
      <c r="AR895" s="54"/>
      <c r="AS895" s="54"/>
      <c r="AT895" s="54"/>
    </row>
    <row r="896">
      <c r="A896" s="54"/>
      <c r="B896" s="54"/>
      <c r="C896" s="54"/>
      <c r="D896" s="54"/>
      <c r="E896" s="54"/>
      <c r="F896" s="54"/>
      <c r="G896" s="54"/>
      <c r="H896" s="54"/>
      <c r="I896" s="54"/>
      <c r="J896" s="54"/>
      <c r="K896" s="54"/>
      <c r="L896" s="54"/>
      <c r="M896" s="54"/>
      <c r="N896" s="54"/>
      <c r="O896" s="54"/>
      <c r="P896" s="54"/>
      <c r="Q896" s="54"/>
      <c r="R896" s="54"/>
      <c r="S896" s="54"/>
      <c r="T896" s="54"/>
      <c r="U896" s="54"/>
      <c r="V896" s="54"/>
      <c r="W896" s="54"/>
      <c r="X896" s="54"/>
      <c r="Y896" s="350"/>
      <c r="Z896" s="54"/>
      <c r="AA896" s="54"/>
      <c r="AB896" s="54"/>
      <c r="AC896" s="54"/>
      <c r="AD896" s="54"/>
      <c r="AE896" s="54"/>
      <c r="AF896" s="54"/>
      <c r="AG896" s="54"/>
      <c r="AH896" s="54"/>
      <c r="AI896" s="54"/>
      <c r="AJ896" s="54"/>
      <c r="AK896" s="54"/>
      <c r="AL896" s="54"/>
      <c r="AM896" s="54"/>
      <c r="AN896" s="54"/>
      <c r="AO896" s="54"/>
      <c r="AP896" s="54"/>
      <c r="AQ896" s="54"/>
      <c r="AR896" s="54"/>
      <c r="AS896" s="54"/>
      <c r="AT896" s="54"/>
    </row>
    <row r="897">
      <c r="A897" s="54"/>
      <c r="B897" s="54"/>
      <c r="C897" s="54"/>
      <c r="D897" s="54"/>
      <c r="E897" s="54"/>
      <c r="F897" s="54"/>
      <c r="G897" s="54"/>
      <c r="H897" s="54"/>
      <c r="I897" s="54"/>
      <c r="J897" s="54"/>
      <c r="K897" s="54"/>
      <c r="L897" s="54"/>
      <c r="M897" s="54"/>
      <c r="N897" s="54"/>
      <c r="O897" s="54"/>
      <c r="P897" s="54"/>
      <c r="Q897" s="54"/>
      <c r="R897" s="54"/>
      <c r="S897" s="54"/>
      <c r="T897" s="54"/>
      <c r="U897" s="54"/>
      <c r="V897" s="54"/>
      <c r="W897" s="54"/>
      <c r="X897" s="54"/>
      <c r="Y897" s="350"/>
      <c r="Z897" s="54"/>
      <c r="AA897" s="54"/>
      <c r="AB897" s="54"/>
      <c r="AC897" s="54"/>
      <c r="AD897" s="54"/>
      <c r="AE897" s="54"/>
      <c r="AF897" s="54"/>
      <c r="AG897" s="54"/>
      <c r="AH897" s="54"/>
      <c r="AI897" s="54"/>
      <c r="AJ897" s="54"/>
      <c r="AK897" s="54"/>
      <c r="AL897" s="54"/>
      <c r="AM897" s="54"/>
      <c r="AN897" s="54"/>
      <c r="AO897" s="54"/>
      <c r="AP897" s="54"/>
      <c r="AQ897" s="54"/>
      <c r="AR897" s="54"/>
      <c r="AS897" s="54"/>
      <c r="AT897" s="54"/>
    </row>
    <row r="898">
      <c r="A898" s="54"/>
      <c r="B898" s="54"/>
      <c r="C898" s="54"/>
      <c r="D898" s="54"/>
      <c r="E898" s="54"/>
      <c r="F898" s="54"/>
      <c r="G898" s="54"/>
      <c r="H898" s="54"/>
      <c r="I898" s="54"/>
      <c r="J898" s="54"/>
      <c r="K898" s="54"/>
      <c r="L898" s="54"/>
      <c r="M898" s="54"/>
      <c r="N898" s="54"/>
      <c r="O898" s="54"/>
      <c r="P898" s="54"/>
      <c r="Q898" s="54"/>
      <c r="R898" s="54"/>
      <c r="S898" s="54"/>
      <c r="T898" s="54"/>
      <c r="U898" s="54"/>
      <c r="V898" s="54"/>
      <c r="W898" s="54"/>
      <c r="X898" s="54"/>
      <c r="Y898" s="350"/>
      <c r="Z898" s="54"/>
      <c r="AA898" s="54"/>
      <c r="AB898" s="54"/>
      <c r="AC898" s="54"/>
      <c r="AD898" s="54"/>
      <c r="AE898" s="54"/>
      <c r="AF898" s="54"/>
      <c r="AG898" s="54"/>
      <c r="AH898" s="54"/>
      <c r="AI898" s="54"/>
      <c r="AJ898" s="54"/>
      <c r="AK898" s="54"/>
      <c r="AL898" s="54"/>
      <c r="AM898" s="54"/>
      <c r="AN898" s="54"/>
      <c r="AO898" s="54"/>
      <c r="AP898" s="54"/>
      <c r="AQ898" s="54"/>
      <c r="AR898" s="54"/>
      <c r="AS898" s="54"/>
      <c r="AT898" s="54"/>
    </row>
    <row r="899">
      <c r="A899" s="54"/>
      <c r="B899" s="54"/>
      <c r="C899" s="54"/>
      <c r="D899" s="54"/>
      <c r="E899" s="54"/>
      <c r="F899" s="54"/>
      <c r="G899" s="54"/>
      <c r="H899" s="54"/>
      <c r="I899" s="54"/>
      <c r="J899" s="54"/>
      <c r="K899" s="54"/>
      <c r="L899" s="54"/>
      <c r="M899" s="54"/>
      <c r="N899" s="54"/>
      <c r="O899" s="54"/>
      <c r="P899" s="54"/>
      <c r="Q899" s="54"/>
      <c r="R899" s="54"/>
      <c r="S899" s="54"/>
      <c r="T899" s="54"/>
      <c r="U899" s="54"/>
      <c r="V899" s="54"/>
      <c r="W899" s="54"/>
      <c r="X899" s="54"/>
      <c r="Y899" s="350"/>
      <c r="Z899" s="54"/>
      <c r="AA899" s="54"/>
      <c r="AB899" s="54"/>
      <c r="AC899" s="54"/>
      <c r="AD899" s="54"/>
      <c r="AE899" s="54"/>
      <c r="AF899" s="54"/>
      <c r="AG899" s="54"/>
      <c r="AH899" s="54"/>
      <c r="AI899" s="54"/>
      <c r="AJ899" s="54"/>
      <c r="AK899" s="54"/>
      <c r="AL899" s="54"/>
      <c r="AM899" s="54"/>
      <c r="AN899" s="54"/>
      <c r="AO899" s="54"/>
      <c r="AP899" s="54"/>
      <c r="AQ899" s="54"/>
      <c r="AR899" s="54"/>
      <c r="AS899" s="54"/>
      <c r="AT899" s="54"/>
    </row>
    <row r="900">
      <c r="A900" s="54"/>
      <c r="B900" s="54"/>
      <c r="C900" s="54"/>
      <c r="D900" s="54"/>
      <c r="E900" s="54"/>
      <c r="F900" s="54"/>
      <c r="G900" s="54"/>
      <c r="H900" s="54"/>
      <c r="I900" s="54"/>
      <c r="J900" s="54"/>
      <c r="K900" s="54"/>
      <c r="L900" s="54"/>
      <c r="M900" s="54"/>
      <c r="N900" s="54"/>
      <c r="O900" s="54"/>
      <c r="P900" s="54"/>
      <c r="Q900" s="54"/>
      <c r="R900" s="54"/>
      <c r="S900" s="54"/>
      <c r="T900" s="54"/>
      <c r="U900" s="54"/>
      <c r="V900" s="54"/>
      <c r="W900" s="54"/>
      <c r="X900" s="54"/>
      <c r="Y900" s="350"/>
      <c r="Z900" s="54"/>
      <c r="AA900" s="54"/>
      <c r="AB900" s="54"/>
      <c r="AC900" s="54"/>
      <c r="AD900" s="54"/>
      <c r="AE900" s="54"/>
      <c r="AF900" s="54"/>
      <c r="AG900" s="54"/>
      <c r="AH900" s="54"/>
      <c r="AI900" s="54"/>
      <c r="AJ900" s="54"/>
      <c r="AK900" s="54"/>
      <c r="AL900" s="54"/>
      <c r="AM900" s="54"/>
      <c r="AN900" s="54"/>
      <c r="AO900" s="54"/>
      <c r="AP900" s="54"/>
      <c r="AQ900" s="54"/>
      <c r="AR900" s="54"/>
      <c r="AS900" s="54"/>
      <c r="AT900" s="54"/>
    </row>
    <row r="901">
      <c r="A901" s="54"/>
      <c r="B901" s="54"/>
      <c r="C901" s="54"/>
      <c r="D901" s="54"/>
      <c r="E901" s="54"/>
      <c r="F901" s="54"/>
      <c r="G901" s="54"/>
      <c r="H901" s="54"/>
      <c r="I901" s="54"/>
      <c r="J901" s="54"/>
      <c r="K901" s="54"/>
      <c r="L901" s="54"/>
      <c r="M901" s="54"/>
      <c r="N901" s="54"/>
      <c r="O901" s="54"/>
      <c r="P901" s="54"/>
      <c r="Q901" s="54"/>
      <c r="R901" s="54"/>
      <c r="S901" s="54"/>
      <c r="T901" s="54"/>
      <c r="U901" s="54"/>
      <c r="V901" s="54"/>
      <c r="W901" s="54"/>
      <c r="X901" s="54"/>
      <c r="Y901" s="350"/>
      <c r="Z901" s="54"/>
      <c r="AA901" s="54"/>
      <c r="AB901" s="54"/>
      <c r="AC901" s="54"/>
      <c r="AD901" s="54"/>
      <c r="AE901" s="54"/>
      <c r="AF901" s="54"/>
      <c r="AG901" s="54"/>
      <c r="AH901" s="54"/>
      <c r="AI901" s="54"/>
      <c r="AJ901" s="54"/>
      <c r="AK901" s="54"/>
      <c r="AL901" s="54"/>
      <c r="AM901" s="54"/>
      <c r="AN901" s="54"/>
      <c r="AO901" s="54"/>
      <c r="AP901" s="54"/>
      <c r="AQ901" s="54"/>
      <c r="AR901" s="54"/>
      <c r="AS901" s="54"/>
      <c r="AT901" s="54"/>
    </row>
    <row r="902">
      <c r="A902" s="54"/>
      <c r="B902" s="54"/>
      <c r="C902" s="54"/>
      <c r="D902" s="54"/>
      <c r="E902" s="54"/>
      <c r="F902" s="54"/>
      <c r="G902" s="54"/>
      <c r="H902" s="54"/>
      <c r="I902" s="54"/>
      <c r="J902" s="54"/>
      <c r="K902" s="54"/>
      <c r="L902" s="54"/>
      <c r="M902" s="54"/>
      <c r="N902" s="54"/>
      <c r="O902" s="54"/>
      <c r="P902" s="54"/>
      <c r="Q902" s="54"/>
      <c r="R902" s="54"/>
      <c r="S902" s="54"/>
      <c r="T902" s="54"/>
      <c r="U902" s="54"/>
      <c r="V902" s="54"/>
      <c r="W902" s="54"/>
      <c r="X902" s="54"/>
      <c r="Y902" s="350"/>
      <c r="Z902" s="54"/>
      <c r="AA902" s="54"/>
      <c r="AB902" s="54"/>
      <c r="AC902" s="54"/>
      <c r="AD902" s="54"/>
      <c r="AE902" s="54"/>
      <c r="AF902" s="54"/>
      <c r="AG902" s="54"/>
      <c r="AH902" s="54"/>
      <c r="AI902" s="54"/>
      <c r="AJ902" s="54"/>
      <c r="AK902" s="54"/>
      <c r="AL902" s="54"/>
      <c r="AM902" s="54"/>
      <c r="AN902" s="54"/>
      <c r="AO902" s="54"/>
      <c r="AP902" s="54"/>
      <c r="AQ902" s="54"/>
      <c r="AR902" s="54"/>
      <c r="AS902" s="54"/>
      <c r="AT902" s="54"/>
    </row>
    <row r="903">
      <c r="A903" s="54"/>
      <c r="B903" s="54"/>
      <c r="C903" s="54"/>
      <c r="D903" s="54"/>
      <c r="E903" s="54"/>
      <c r="F903" s="54"/>
      <c r="G903" s="54"/>
      <c r="H903" s="54"/>
      <c r="I903" s="54"/>
      <c r="J903" s="54"/>
      <c r="K903" s="54"/>
      <c r="L903" s="54"/>
      <c r="M903" s="54"/>
      <c r="N903" s="54"/>
      <c r="O903" s="54"/>
      <c r="P903" s="54"/>
      <c r="Q903" s="54"/>
      <c r="R903" s="54"/>
      <c r="S903" s="54"/>
      <c r="T903" s="54"/>
      <c r="U903" s="54"/>
      <c r="V903" s="54"/>
      <c r="W903" s="54"/>
      <c r="X903" s="54"/>
      <c r="Y903" s="350"/>
      <c r="Z903" s="54"/>
      <c r="AA903" s="54"/>
      <c r="AB903" s="54"/>
      <c r="AC903" s="54"/>
      <c r="AD903" s="54"/>
      <c r="AE903" s="54"/>
      <c r="AF903" s="54"/>
      <c r="AG903" s="54"/>
      <c r="AH903" s="54"/>
      <c r="AI903" s="54"/>
      <c r="AJ903" s="54"/>
      <c r="AK903" s="54"/>
      <c r="AL903" s="54"/>
      <c r="AM903" s="54"/>
      <c r="AN903" s="54"/>
      <c r="AO903" s="54"/>
      <c r="AP903" s="54"/>
      <c r="AQ903" s="54"/>
      <c r="AR903" s="54"/>
      <c r="AS903" s="54"/>
      <c r="AT903" s="54"/>
    </row>
    <row r="904">
      <c r="A904" s="54"/>
      <c r="B904" s="54"/>
      <c r="C904" s="54"/>
      <c r="D904" s="54"/>
      <c r="E904" s="54"/>
      <c r="F904" s="54"/>
      <c r="G904" s="54"/>
      <c r="H904" s="54"/>
      <c r="I904" s="54"/>
      <c r="J904" s="54"/>
      <c r="K904" s="54"/>
      <c r="L904" s="54"/>
      <c r="M904" s="54"/>
      <c r="N904" s="54"/>
      <c r="O904" s="54"/>
      <c r="P904" s="54"/>
      <c r="Q904" s="54"/>
      <c r="R904" s="54"/>
      <c r="S904" s="54"/>
      <c r="T904" s="54"/>
      <c r="U904" s="54"/>
      <c r="V904" s="54"/>
      <c r="W904" s="54"/>
      <c r="X904" s="54"/>
      <c r="Y904" s="350"/>
      <c r="Z904" s="54"/>
      <c r="AA904" s="54"/>
      <c r="AB904" s="54"/>
      <c r="AC904" s="54"/>
      <c r="AD904" s="54"/>
      <c r="AE904" s="54"/>
      <c r="AF904" s="54"/>
      <c r="AG904" s="54"/>
      <c r="AH904" s="54"/>
      <c r="AI904" s="54"/>
      <c r="AJ904" s="54"/>
      <c r="AK904" s="54"/>
      <c r="AL904" s="54"/>
      <c r="AM904" s="54"/>
      <c r="AN904" s="54"/>
      <c r="AO904" s="54"/>
      <c r="AP904" s="54"/>
      <c r="AQ904" s="54"/>
      <c r="AR904" s="54"/>
      <c r="AS904" s="54"/>
      <c r="AT904" s="54"/>
    </row>
    <row r="905">
      <c r="A905" s="54"/>
      <c r="B905" s="54"/>
      <c r="C905" s="54"/>
      <c r="D905" s="54"/>
      <c r="E905" s="54"/>
      <c r="F905" s="54"/>
      <c r="G905" s="54"/>
      <c r="H905" s="54"/>
      <c r="I905" s="54"/>
      <c r="J905" s="54"/>
      <c r="K905" s="54"/>
      <c r="L905" s="54"/>
      <c r="M905" s="54"/>
      <c r="N905" s="54"/>
      <c r="O905" s="54"/>
      <c r="P905" s="54"/>
      <c r="Q905" s="54"/>
      <c r="R905" s="54"/>
      <c r="S905" s="54"/>
      <c r="T905" s="54"/>
      <c r="U905" s="54"/>
      <c r="V905" s="54"/>
      <c r="W905" s="54"/>
      <c r="X905" s="54"/>
      <c r="Y905" s="350"/>
      <c r="Z905" s="54"/>
      <c r="AA905" s="54"/>
      <c r="AB905" s="54"/>
      <c r="AC905" s="54"/>
      <c r="AD905" s="54"/>
      <c r="AE905" s="54"/>
      <c r="AF905" s="54"/>
      <c r="AG905" s="54"/>
      <c r="AH905" s="54"/>
      <c r="AI905" s="54"/>
      <c r="AJ905" s="54"/>
      <c r="AK905" s="54"/>
      <c r="AL905" s="54"/>
      <c r="AM905" s="54"/>
      <c r="AN905" s="54"/>
      <c r="AO905" s="54"/>
      <c r="AP905" s="54"/>
      <c r="AQ905" s="54"/>
      <c r="AR905" s="54"/>
      <c r="AS905" s="54"/>
      <c r="AT905" s="54"/>
    </row>
    <row r="906">
      <c r="A906" s="54"/>
      <c r="B906" s="54"/>
      <c r="C906" s="54"/>
      <c r="D906" s="54"/>
      <c r="E906" s="54"/>
      <c r="F906" s="54"/>
      <c r="G906" s="54"/>
      <c r="H906" s="54"/>
      <c r="I906" s="54"/>
      <c r="J906" s="54"/>
      <c r="K906" s="54"/>
      <c r="L906" s="54"/>
      <c r="M906" s="54"/>
      <c r="N906" s="54"/>
      <c r="O906" s="54"/>
      <c r="P906" s="54"/>
      <c r="Q906" s="54"/>
      <c r="R906" s="54"/>
      <c r="S906" s="54"/>
      <c r="T906" s="54"/>
      <c r="U906" s="54"/>
      <c r="V906" s="54"/>
      <c r="W906" s="54"/>
      <c r="X906" s="54"/>
      <c r="Y906" s="350"/>
      <c r="Z906" s="54"/>
      <c r="AA906" s="54"/>
      <c r="AB906" s="54"/>
      <c r="AC906" s="54"/>
      <c r="AD906" s="54"/>
      <c r="AE906" s="54"/>
      <c r="AF906" s="54"/>
      <c r="AG906" s="54"/>
      <c r="AH906" s="54"/>
      <c r="AI906" s="54"/>
      <c r="AJ906" s="54"/>
      <c r="AK906" s="54"/>
      <c r="AL906" s="54"/>
      <c r="AM906" s="54"/>
      <c r="AN906" s="54"/>
      <c r="AO906" s="54"/>
      <c r="AP906" s="54"/>
      <c r="AQ906" s="54"/>
      <c r="AR906" s="54"/>
      <c r="AS906" s="54"/>
      <c r="AT906" s="54"/>
    </row>
    <row r="907">
      <c r="A907" s="54"/>
      <c r="B907" s="54"/>
      <c r="C907" s="54"/>
      <c r="D907" s="54"/>
      <c r="E907" s="54"/>
      <c r="F907" s="54"/>
      <c r="G907" s="54"/>
      <c r="H907" s="54"/>
      <c r="I907" s="54"/>
      <c r="J907" s="54"/>
      <c r="K907" s="54"/>
      <c r="L907" s="54"/>
      <c r="M907" s="54"/>
      <c r="N907" s="54"/>
      <c r="O907" s="54"/>
      <c r="P907" s="54"/>
      <c r="Q907" s="54"/>
      <c r="R907" s="54"/>
      <c r="S907" s="54"/>
      <c r="T907" s="54"/>
      <c r="U907" s="54"/>
      <c r="V907" s="54"/>
      <c r="W907" s="54"/>
      <c r="X907" s="54"/>
      <c r="Y907" s="350"/>
      <c r="Z907" s="54"/>
      <c r="AA907" s="54"/>
      <c r="AB907" s="54"/>
      <c r="AC907" s="54"/>
      <c r="AD907" s="54"/>
      <c r="AE907" s="54"/>
      <c r="AF907" s="54"/>
      <c r="AG907" s="54"/>
      <c r="AH907" s="54"/>
      <c r="AI907" s="54"/>
      <c r="AJ907" s="54"/>
      <c r="AK907" s="54"/>
      <c r="AL907" s="54"/>
      <c r="AM907" s="54"/>
      <c r="AN907" s="54"/>
      <c r="AO907" s="54"/>
      <c r="AP907" s="54"/>
      <c r="AQ907" s="54"/>
      <c r="AR907" s="54"/>
      <c r="AS907" s="54"/>
      <c r="AT907" s="54"/>
    </row>
    <row r="908">
      <c r="A908" s="54"/>
      <c r="B908" s="54"/>
      <c r="C908" s="54"/>
      <c r="D908" s="54"/>
      <c r="E908" s="54"/>
      <c r="F908" s="54"/>
      <c r="G908" s="54"/>
      <c r="H908" s="54"/>
      <c r="I908" s="54"/>
      <c r="J908" s="54"/>
      <c r="K908" s="54"/>
      <c r="L908" s="54"/>
      <c r="M908" s="54"/>
      <c r="N908" s="54"/>
      <c r="O908" s="54"/>
      <c r="P908" s="54"/>
      <c r="Q908" s="54"/>
      <c r="R908" s="54"/>
      <c r="S908" s="54"/>
      <c r="T908" s="54"/>
      <c r="U908" s="54"/>
      <c r="V908" s="54"/>
      <c r="W908" s="54"/>
      <c r="X908" s="54"/>
      <c r="Y908" s="350"/>
      <c r="Z908" s="54"/>
      <c r="AA908" s="54"/>
      <c r="AB908" s="54"/>
      <c r="AC908" s="54"/>
      <c r="AD908" s="54"/>
      <c r="AE908" s="54"/>
      <c r="AF908" s="54"/>
      <c r="AG908" s="54"/>
      <c r="AH908" s="54"/>
      <c r="AI908" s="54"/>
      <c r="AJ908" s="54"/>
      <c r="AK908" s="54"/>
      <c r="AL908" s="54"/>
      <c r="AM908" s="54"/>
      <c r="AN908" s="54"/>
      <c r="AO908" s="54"/>
      <c r="AP908" s="54"/>
      <c r="AQ908" s="54"/>
      <c r="AR908" s="54"/>
      <c r="AS908" s="54"/>
      <c r="AT908" s="54"/>
    </row>
    <row r="909">
      <c r="A909" s="54"/>
      <c r="B909" s="54"/>
      <c r="C909" s="54"/>
      <c r="D909" s="54"/>
      <c r="E909" s="54"/>
      <c r="F909" s="54"/>
      <c r="G909" s="54"/>
      <c r="H909" s="54"/>
      <c r="I909" s="54"/>
      <c r="J909" s="54"/>
      <c r="K909" s="54"/>
      <c r="L909" s="54"/>
      <c r="M909" s="54"/>
      <c r="N909" s="54"/>
      <c r="O909" s="54"/>
      <c r="P909" s="54"/>
      <c r="Q909" s="54"/>
      <c r="R909" s="54"/>
      <c r="S909" s="54"/>
      <c r="T909" s="54"/>
      <c r="U909" s="54"/>
      <c r="V909" s="54"/>
      <c r="W909" s="54"/>
      <c r="X909" s="54"/>
      <c r="Y909" s="350"/>
      <c r="Z909" s="54"/>
      <c r="AA909" s="54"/>
      <c r="AB909" s="54"/>
      <c r="AC909" s="54"/>
      <c r="AD909" s="54"/>
      <c r="AE909" s="54"/>
      <c r="AF909" s="54"/>
      <c r="AG909" s="54"/>
      <c r="AH909" s="54"/>
      <c r="AI909" s="54"/>
      <c r="AJ909" s="54"/>
      <c r="AK909" s="54"/>
      <c r="AL909" s="54"/>
      <c r="AM909" s="54"/>
      <c r="AN909" s="54"/>
      <c r="AO909" s="54"/>
      <c r="AP909" s="54"/>
      <c r="AQ909" s="54"/>
      <c r="AR909" s="54"/>
      <c r="AS909" s="54"/>
      <c r="AT909" s="54"/>
    </row>
    <row r="910">
      <c r="A910" s="54"/>
      <c r="B910" s="54"/>
      <c r="C910" s="54"/>
      <c r="D910" s="54"/>
      <c r="E910" s="54"/>
      <c r="F910" s="54"/>
      <c r="G910" s="54"/>
      <c r="H910" s="54"/>
      <c r="I910" s="54"/>
      <c r="J910" s="54"/>
      <c r="K910" s="54"/>
      <c r="L910" s="54"/>
      <c r="M910" s="54"/>
      <c r="N910" s="54"/>
      <c r="O910" s="54"/>
      <c r="P910" s="54"/>
      <c r="Q910" s="54"/>
      <c r="R910" s="54"/>
      <c r="S910" s="54"/>
      <c r="T910" s="54"/>
      <c r="U910" s="54"/>
      <c r="V910" s="54"/>
      <c r="W910" s="54"/>
      <c r="X910" s="54"/>
      <c r="Y910" s="350"/>
      <c r="Z910" s="54"/>
      <c r="AA910" s="54"/>
      <c r="AB910" s="54"/>
      <c r="AC910" s="54"/>
      <c r="AD910" s="54"/>
      <c r="AE910" s="54"/>
      <c r="AF910" s="54"/>
      <c r="AG910" s="54"/>
      <c r="AH910" s="54"/>
      <c r="AI910" s="54"/>
      <c r="AJ910" s="54"/>
      <c r="AK910" s="54"/>
      <c r="AL910" s="54"/>
      <c r="AM910" s="54"/>
      <c r="AN910" s="54"/>
      <c r="AO910" s="54"/>
      <c r="AP910" s="54"/>
      <c r="AQ910" s="54"/>
      <c r="AR910" s="54"/>
      <c r="AS910" s="54"/>
      <c r="AT910" s="54"/>
    </row>
    <row r="911">
      <c r="A911" s="54"/>
      <c r="B911" s="54"/>
      <c r="C911" s="54"/>
      <c r="D911" s="54"/>
      <c r="E911" s="54"/>
      <c r="F911" s="54"/>
      <c r="G911" s="54"/>
      <c r="H911" s="54"/>
      <c r="I911" s="54"/>
      <c r="J911" s="54"/>
      <c r="K911" s="54"/>
      <c r="L911" s="54"/>
      <c r="M911" s="54"/>
      <c r="N911" s="54"/>
      <c r="O911" s="54"/>
      <c r="P911" s="54"/>
      <c r="Q911" s="54"/>
      <c r="R911" s="54"/>
      <c r="S911" s="54"/>
      <c r="T911" s="54"/>
      <c r="U911" s="54"/>
      <c r="V911" s="54"/>
      <c r="W911" s="54"/>
      <c r="X911" s="54"/>
      <c r="Y911" s="350"/>
      <c r="Z911" s="54"/>
      <c r="AA911" s="54"/>
      <c r="AB911" s="54"/>
      <c r="AC911" s="54"/>
      <c r="AD911" s="54"/>
      <c r="AE911" s="54"/>
      <c r="AF911" s="54"/>
      <c r="AG911" s="54"/>
      <c r="AH911" s="54"/>
      <c r="AI911" s="54"/>
      <c r="AJ911" s="54"/>
      <c r="AK911" s="54"/>
      <c r="AL911" s="54"/>
      <c r="AM911" s="54"/>
      <c r="AN911" s="54"/>
      <c r="AO911" s="54"/>
      <c r="AP911" s="54"/>
      <c r="AQ911" s="54"/>
      <c r="AR911" s="54"/>
      <c r="AS911" s="54"/>
      <c r="AT911" s="54"/>
    </row>
    <row r="912">
      <c r="A912" s="54"/>
      <c r="B912" s="54"/>
      <c r="C912" s="54"/>
      <c r="D912" s="54"/>
      <c r="E912" s="54"/>
      <c r="F912" s="54"/>
      <c r="G912" s="54"/>
      <c r="H912" s="54"/>
      <c r="I912" s="54"/>
      <c r="J912" s="54"/>
      <c r="K912" s="54"/>
      <c r="L912" s="54"/>
      <c r="M912" s="54"/>
      <c r="N912" s="54"/>
      <c r="O912" s="54"/>
      <c r="P912" s="54"/>
      <c r="Q912" s="54"/>
      <c r="R912" s="54"/>
      <c r="S912" s="54"/>
      <c r="T912" s="54"/>
      <c r="U912" s="54"/>
      <c r="V912" s="54"/>
      <c r="W912" s="54"/>
      <c r="X912" s="54"/>
      <c r="Y912" s="350"/>
      <c r="Z912" s="54"/>
      <c r="AA912" s="54"/>
      <c r="AB912" s="54"/>
      <c r="AC912" s="54"/>
      <c r="AD912" s="54"/>
      <c r="AE912" s="54"/>
      <c r="AF912" s="54"/>
      <c r="AG912" s="54"/>
      <c r="AH912" s="54"/>
      <c r="AI912" s="54"/>
      <c r="AJ912" s="54"/>
      <c r="AK912" s="54"/>
      <c r="AL912" s="54"/>
      <c r="AM912" s="54"/>
      <c r="AN912" s="54"/>
      <c r="AO912" s="54"/>
      <c r="AP912" s="54"/>
      <c r="AQ912" s="54"/>
      <c r="AR912" s="54"/>
      <c r="AS912" s="54"/>
      <c r="AT912" s="54"/>
    </row>
    <row r="913">
      <c r="A913" s="54"/>
      <c r="B913" s="54"/>
      <c r="C913" s="54"/>
      <c r="D913" s="54"/>
      <c r="E913" s="54"/>
      <c r="F913" s="54"/>
      <c r="G913" s="54"/>
      <c r="H913" s="54"/>
      <c r="I913" s="54"/>
      <c r="J913" s="54"/>
      <c r="K913" s="54"/>
      <c r="L913" s="54"/>
      <c r="M913" s="54"/>
      <c r="N913" s="54"/>
      <c r="O913" s="54"/>
      <c r="P913" s="54"/>
      <c r="Q913" s="54"/>
      <c r="R913" s="54"/>
      <c r="S913" s="54"/>
      <c r="T913" s="54"/>
      <c r="U913" s="54"/>
      <c r="V913" s="54"/>
      <c r="W913" s="54"/>
      <c r="X913" s="54"/>
      <c r="Y913" s="350"/>
      <c r="Z913" s="54"/>
      <c r="AA913" s="54"/>
      <c r="AB913" s="54"/>
      <c r="AC913" s="54"/>
      <c r="AD913" s="54"/>
      <c r="AE913" s="54"/>
      <c r="AF913" s="54"/>
      <c r="AG913" s="54"/>
      <c r="AH913" s="54"/>
      <c r="AI913" s="54"/>
      <c r="AJ913" s="54"/>
      <c r="AK913" s="54"/>
      <c r="AL913" s="54"/>
      <c r="AM913" s="54"/>
      <c r="AN913" s="54"/>
      <c r="AO913" s="54"/>
      <c r="AP913" s="54"/>
      <c r="AQ913" s="54"/>
      <c r="AR913" s="54"/>
      <c r="AS913" s="54"/>
      <c r="AT913" s="54"/>
    </row>
    <row r="914">
      <c r="A914" s="54"/>
      <c r="B914" s="54"/>
      <c r="C914" s="54"/>
      <c r="D914" s="54"/>
      <c r="E914" s="54"/>
      <c r="F914" s="54"/>
      <c r="G914" s="54"/>
      <c r="H914" s="54"/>
      <c r="I914" s="54"/>
      <c r="J914" s="54"/>
      <c r="K914" s="54"/>
      <c r="L914" s="54"/>
      <c r="M914" s="54"/>
      <c r="N914" s="54"/>
      <c r="O914" s="54"/>
      <c r="P914" s="54"/>
      <c r="Q914" s="54"/>
      <c r="R914" s="54"/>
      <c r="S914" s="54"/>
      <c r="T914" s="54"/>
      <c r="U914" s="54"/>
      <c r="V914" s="54"/>
      <c r="W914" s="54"/>
      <c r="X914" s="54"/>
      <c r="Y914" s="350"/>
      <c r="Z914" s="54"/>
      <c r="AA914" s="54"/>
      <c r="AB914" s="54"/>
      <c r="AC914" s="54"/>
      <c r="AD914" s="54"/>
      <c r="AE914" s="54"/>
      <c r="AF914" s="54"/>
      <c r="AG914" s="54"/>
      <c r="AH914" s="54"/>
      <c r="AI914" s="54"/>
      <c r="AJ914" s="54"/>
      <c r="AK914" s="54"/>
      <c r="AL914" s="54"/>
      <c r="AM914" s="54"/>
      <c r="AN914" s="54"/>
      <c r="AO914" s="54"/>
      <c r="AP914" s="54"/>
      <c r="AQ914" s="54"/>
      <c r="AR914" s="54"/>
      <c r="AS914" s="54"/>
      <c r="AT914" s="54"/>
    </row>
    <row r="915">
      <c r="A915" s="54"/>
      <c r="B915" s="54"/>
      <c r="C915" s="54"/>
      <c r="D915" s="54"/>
      <c r="E915" s="54"/>
      <c r="F915" s="54"/>
      <c r="G915" s="54"/>
      <c r="H915" s="54"/>
      <c r="I915" s="54"/>
      <c r="J915" s="54"/>
      <c r="K915" s="54"/>
      <c r="L915" s="54"/>
      <c r="M915" s="54"/>
      <c r="N915" s="54"/>
      <c r="O915" s="54"/>
      <c r="P915" s="54"/>
      <c r="Q915" s="54"/>
      <c r="R915" s="54"/>
      <c r="S915" s="54"/>
      <c r="T915" s="54"/>
      <c r="U915" s="54"/>
      <c r="V915" s="54"/>
      <c r="W915" s="54"/>
      <c r="X915" s="54"/>
      <c r="Y915" s="350"/>
      <c r="Z915" s="54"/>
      <c r="AA915" s="54"/>
      <c r="AB915" s="54"/>
      <c r="AC915" s="54"/>
      <c r="AD915" s="54"/>
      <c r="AE915" s="54"/>
      <c r="AF915" s="54"/>
      <c r="AG915" s="54"/>
      <c r="AH915" s="54"/>
      <c r="AI915" s="54"/>
      <c r="AJ915" s="54"/>
      <c r="AK915" s="54"/>
      <c r="AL915" s="54"/>
      <c r="AM915" s="54"/>
      <c r="AN915" s="54"/>
      <c r="AO915" s="54"/>
      <c r="AP915" s="54"/>
      <c r="AQ915" s="54"/>
      <c r="AR915" s="54"/>
      <c r="AS915" s="54"/>
      <c r="AT915" s="54"/>
    </row>
    <row r="916">
      <c r="A916" s="54"/>
      <c r="B916" s="54"/>
      <c r="C916" s="54"/>
      <c r="D916" s="54"/>
      <c r="E916" s="54"/>
      <c r="F916" s="54"/>
      <c r="G916" s="54"/>
      <c r="H916" s="54"/>
      <c r="I916" s="54"/>
      <c r="J916" s="54"/>
      <c r="K916" s="54"/>
      <c r="L916" s="54"/>
      <c r="M916" s="54"/>
      <c r="N916" s="54"/>
      <c r="O916" s="54"/>
      <c r="P916" s="54"/>
      <c r="Q916" s="54"/>
      <c r="R916" s="54"/>
      <c r="S916" s="54"/>
      <c r="T916" s="54"/>
      <c r="U916" s="54"/>
      <c r="V916" s="54"/>
      <c r="W916" s="54"/>
      <c r="X916" s="54"/>
      <c r="Y916" s="350"/>
      <c r="Z916" s="54"/>
      <c r="AA916" s="54"/>
      <c r="AB916" s="54"/>
      <c r="AC916" s="54"/>
      <c r="AD916" s="54"/>
      <c r="AE916" s="54"/>
      <c r="AF916" s="54"/>
      <c r="AG916" s="54"/>
      <c r="AH916" s="54"/>
      <c r="AI916" s="54"/>
      <c r="AJ916" s="54"/>
      <c r="AK916" s="54"/>
      <c r="AL916" s="54"/>
      <c r="AM916" s="54"/>
      <c r="AN916" s="54"/>
      <c r="AO916" s="54"/>
      <c r="AP916" s="54"/>
      <c r="AQ916" s="54"/>
      <c r="AR916" s="54"/>
      <c r="AS916" s="54"/>
      <c r="AT916" s="54"/>
    </row>
    <row r="917">
      <c r="A917" s="54"/>
      <c r="B917" s="54"/>
      <c r="C917" s="54"/>
      <c r="D917" s="54"/>
      <c r="E917" s="54"/>
      <c r="F917" s="54"/>
      <c r="G917" s="54"/>
      <c r="H917" s="54"/>
      <c r="I917" s="54"/>
      <c r="J917" s="54"/>
      <c r="K917" s="54"/>
      <c r="L917" s="54"/>
      <c r="M917" s="54"/>
      <c r="N917" s="54"/>
      <c r="O917" s="54"/>
      <c r="P917" s="54"/>
      <c r="Q917" s="54"/>
      <c r="R917" s="54"/>
      <c r="S917" s="54"/>
      <c r="T917" s="54"/>
      <c r="U917" s="54"/>
      <c r="V917" s="54"/>
      <c r="W917" s="54"/>
      <c r="X917" s="54"/>
      <c r="Y917" s="350"/>
      <c r="Z917" s="54"/>
      <c r="AA917" s="54"/>
      <c r="AB917" s="54"/>
      <c r="AC917" s="54"/>
      <c r="AD917" s="54"/>
      <c r="AE917" s="54"/>
      <c r="AF917" s="54"/>
      <c r="AG917" s="54"/>
      <c r="AH917" s="54"/>
      <c r="AI917" s="54"/>
      <c r="AJ917" s="54"/>
      <c r="AK917" s="54"/>
      <c r="AL917" s="54"/>
      <c r="AM917" s="54"/>
      <c r="AN917" s="54"/>
      <c r="AO917" s="54"/>
      <c r="AP917" s="54"/>
      <c r="AQ917" s="54"/>
      <c r="AR917" s="54"/>
      <c r="AS917" s="54"/>
      <c r="AT917" s="54"/>
    </row>
    <row r="918">
      <c r="A918" s="54"/>
      <c r="B918" s="54"/>
      <c r="C918" s="54"/>
      <c r="D918" s="54"/>
      <c r="E918" s="54"/>
      <c r="F918" s="54"/>
      <c r="G918" s="54"/>
      <c r="H918" s="54"/>
      <c r="I918" s="54"/>
      <c r="J918" s="54"/>
      <c r="K918" s="54"/>
      <c r="L918" s="54"/>
      <c r="M918" s="54"/>
      <c r="N918" s="54"/>
      <c r="O918" s="54"/>
      <c r="P918" s="54"/>
      <c r="Q918" s="54"/>
      <c r="R918" s="54"/>
      <c r="S918" s="54"/>
      <c r="T918" s="54"/>
      <c r="U918" s="54"/>
      <c r="V918" s="54"/>
      <c r="W918" s="54"/>
      <c r="X918" s="54"/>
      <c r="Y918" s="350"/>
      <c r="Z918" s="54"/>
      <c r="AA918" s="54"/>
      <c r="AB918" s="54"/>
      <c r="AC918" s="54"/>
      <c r="AD918" s="54"/>
      <c r="AE918" s="54"/>
      <c r="AF918" s="54"/>
      <c r="AG918" s="54"/>
      <c r="AH918" s="54"/>
      <c r="AI918" s="54"/>
      <c r="AJ918" s="54"/>
      <c r="AK918" s="54"/>
      <c r="AL918" s="54"/>
      <c r="AM918" s="54"/>
      <c r="AN918" s="54"/>
      <c r="AO918" s="54"/>
      <c r="AP918" s="54"/>
      <c r="AQ918" s="54"/>
      <c r="AR918" s="54"/>
      <c r="AS918" s="54"/>
      <c r="AT918" s="54"/>
    </row>
    <row r="919">
      <c r="A919" s="54"/>
      <c r="B919" s="54"/>
      <c r="C919" s="54"/>
      <c r="D919" s="54"/>
      <c r="E919" s="54"/>
      <c r="F919" s="54"/>
      <c r="G919" s="54"/>
      <c r="H919" s="54"/>
      <c r="I919" s="54"/>
      <c r="J919" s="54"/>
      <c r="K919" s="54"/>
      <c r="L919" s="54"/>
      <c r="M919" s="54"/>
      <c r="N919" s="54"/>
      <c r="O919" s="54"/>
      <c r="P919" s="54"/>
      <c r="Q919" s="54"/>
      <c r="R919" s="54"/>
      <c r="S919" s="54"/>
      <c r="T919" s="54"/>
      <c r="U919" s="54"/>
      <c r="V919" s="54"/>
      <c r="W919" s="54"/>
      <c r="X919" s="54"/>
      <c r="Y919" s="350"/>
      <c r="Z919" s="54"/>
      <c r="AA919" s="54"/>
      <c r="AB919" s="54"/>
      <c r="AC919" s="54"/>
      <c r="AD919" s="54"/>
      <c r="AE919" s="54"/>
      <c r="AF919" s="54"/>
      <c r="AG919" s="54"/>
      <c r="AH919" s="54"/>
      <c r="AI919" s="54"/>
      <c r="AJ919" s="54"/>
      <c r="AK919" s="54"/>
      <c r="AL919" s="54"/>
      <c r="AM919" s="54"/>
      <c r="AN919" s="54"/>
      <c r="AO919" s="54"/>
      <c r="AP919" s="54"/>
      <c r="AQ919" s="54"/>
      <c r="AR919" s="54"/>
      <c r="AS919" s="54"/>
      <c r="AT919" s="54"/>
    </row>
    <row r="920">
      <c r="A920" s="54"/>
      <c r="B920" s="54"/>
      <c r="C920" s="54"/>
      <c r="D920" s="54"/>
      <c r="E920" s="54"/>
      <c r="F920" s="54"/>
      <c r="G920" s="54"/>
      <c r="H920" s="54"/>
      <c r="I920" s="54"/>
      <c r="J920" s="54"/>
      <c r="K920" s="54"/>
      <c r="L920" s="54"/>
      <c r="M920" s="54"/>
      <c r="N920" s="54"/>
      <c r="O920" s="54"/>
      <c r="P920" s="54"/>
      <c r="Q920" s="54"/>
      <c r="R920" s="54"/>
      <c r="S920" s="54"/>
      <c r="T920" s="54"/>
      <c r="U920" s="54"/>
      <c r="V920" s="54"/>
      <c r="W920" s="54"/>
      <c r="X920" s="54"/>
      <c r="Y920" s="350"/>
      <c r="Z920" s="54"/>
      <c r="AA920" s="54"/>
      <c r="AB920" s="54"/>
      <c r="AC920" s="54"/>
      <c r="AD920" s="54"/>
      <c r="AE920" s="54"/>
      <c r="AF920" s="54"/>
      <c r="AG920" s="54"/>
      <c r="AH920" s="54"/>
      <c r="AI920" s="54"/>
      <c r="AJ920" s="54"/>
      <c r="AK920" s="54"/>
      <c r="AL920" s="54"/>
      <c r="AM920" s="54"/>
      <c r="AN920" s="54"/>
      <c r="AO920" s="54"/>
      <c r="AP920" s="54"/>
      <c r="AQ920" s="54"/>
      <c r="AR920" s="54"/>
      <c r="AS920" s="54"/>
      <c r="AT920" s="54"/>
    </row>
    <row r="921">
      <c r="A921" s="54"/>
      <c r="B921" s="54"/>
      <c r="C921" s="54"/>
      <c r="D921" s="54"/>
      <c r="E921" s="54"/>
      <c r="F921" s="54"/>
      <c r="G921" s="54"/>
      <c r="H921" s="54"/>
      <c r="I921" s="54"/>
      <c r="J921" s="54"/>
      <c r="K921" s="54"/>
      <c r="L921" s="54"/>
      <c r="M921" s="54"/>
      <c r="N921" s="54"/>
      <c r="O921" s="54"/>
      <c r="P921" s="54"/>
      <c r="Q921" s="54"/>
      <c r="R921" s="54"/>
      <c r="S921" s="54"/>
      <c r="T921" s="54"/>
      <c r="U921" s="54"/>
      <c r="V921" s="54"/>
      <c r="W921" s="54"/>
      <c r="X921" s="54"/>
      <c r="Y921" s="350"/>
      <c r="Z921" s="54"/>
      <c r="AA921" s="54"/>
      <c r="AB921" s="54"/>
      <c r="AC921" s="54"/>
      <c r="AD921" s="54"/>
      <c r="AE921" s="54"/>
      <c r="AF921" s="54"/>
      <c r="AG921" s="54"/>
      <c r="AH921" s="54"/>
      <c r="AI921" s="54"/>
      <c r="AJ921" s="54"/>
      <c r="AK921" s="54"/>
      <c r="AL921" s="54"/>
      <c r="AM921" s="54"/>
      <c r="AN921" s="54"/>
      <c r="AO921" s="54"/>
      <c r="AP921" s="54"/>
      <c r="AQ921" s="54"/>
      <c r="AR921" s="54"/>
      <c r="AS921" s="54"/>
      <c r="AT921" s="54"/>
    </row>
    <row r="922">
      <c r="A922" s="54"/>
      <c r="B922" s="54"/>
      <c r="C922" s="54"/>
      <c r="D922" s="54"/>
      <c r="E922" s="54"/>
      <c r="F922" s="54"/>
      <c r="G922" s="54"/>
      <c r="H922" s="54"/>
      <c r="I922" s="54"/>
      <c r="J922" s="54"/>
      <c r="K922" s="54"/>
      <c r="L922" s="54"/>
      <c r="M922" s="54"/>
      <c r="N922" s="54"/>
      <c r="O922" s="54"/>
      <c r="P922" s="54"/>
      <c r="Q922" s="54"/>
      <c r="R922" s="54"/>
      <c r="S922" s="54"/>
      <c r="T922" s="54"/>
      <c r="U922" s="54"/>
      <c r="V922" s="54"/>
      <c r="W922" s="54"/>
      <c r="X922" s="54"/>
      <c r="Y922" s="350"/>
      <c r="Z922" s="54"/>
      <c r="AA922" s="54"/>
      <c r="AB922" s="54"/>
      <c r="AC922" s="54"/>
      <c r="AD922" s="54"/>
      <c r="AE922" s="54"/>
      <c r="AF922" s="54"/>
      <c r="AG922" s="54"/>
      <c r="AH922" s="54"/>
      <c r="AI922" s="54"/>
      <c r="AJ922" s="54"/>
      <c r="AK922" s="54"/>
      <c r="AL922" s="54"/>
      <c r="AM922" s="54"/>
      <c r="AN922" s="54"/>
      <c r="AO922" s="54"/>
      <c r="AP922" s="54"/>
      <c r="AQ922" s="54"/>
      <c r="AR922" s="54"/>
      <c r="AS922" s="54"/>
      <c r="AT922" s="54"/>
    </row>
    <row r="923">
      <c r="A923" s="54"/>
      <c r="B923" s="54"/>
      <c r="C923" s="54"/>
      <c r="D923" s="54"/>
      <c r="E923" s="54"/>
      <c r="F923" s="54"/>
      <c r="G923" s="54"/>
      <c r="H923" s="54"/>
      <c r="I923" s="54"/>
      <c r="J923" s="54"/>
      <c r="K923" s="54"/>
      <c r="L923" s="54"/>
      <c r="M923" s="54"/>
      <c r="N923" s="54"/>
      <c r="O923" s="54"/>
      <c r="P923" s="54"/>
      <c r="Q923" s="54"/>
      <c r="R923" s="54"/>
      <c r="S923" s="54"/>
      <c r="T923" s="54"/>
      <c r="U923" s="54"/>
      <c r="V923" s="54"/>
      <c r="W923" s="54"/>
      <c r="X923" s="54"/>
      <c r="Y923" s="350"/>
      <c r="Z923" s="54"/>
      <c r="AA923" s="54"/>
      <c r="AB923" s="54"/>
      <c r="AC923" s="54"/>
      <c r="AD923" s="54"/>
      <c r="AE923" s="54"/>
      <c r="AF923" s="54"/>
      <c r="AG923" s="54"/>
      <c r="AH923" s="54"/>
      <c r="AI923" s="54"/>
      <c r="AJ923" s="54"/>
      <c r="AK923" s="54"/>
      <c r="AL923" s="54"/>
      <c r="AM923" s="54"/>
      <c r="AN923" s="54"/>
      <c r="AO923" s="54"/>
      <c r="AP923" s="54"/>
      <c r="AQ923" s="54"/>
      <c r="AR923" s="54"/>
      <c r="AS923" s="54"/>
      <c r="AT923" s="54"/>
    </row>
    <row r="924">
      <c r="A924" s="54"/>
      <c r="B924" s="54"/>
      <c r="C924" s="54"/>
      <c r="D924" s="54"/>
      <c r="E924" s="54"/>
      <c r="F924" s="54"/>
      <c r="G924" s="54"/>
      <c r="H924" s="54"/>
      <c r="I924" s="54"/>
      <c r="J924" s="54"/>
      <c r="K924" s="54"/>
      <c r="L924" s="54"/>
      <c r="M924" s="54"/>
      <c r="N924" s="54"/>
      <c r="O924" s="54"/>
      <c r="P924" s="54"/>
      <c r="Q924" s="54"/>
      <c r="R924" s="54"/>
      <c r="S924" s="54"/>
      <c r="T924" s="54"/>
      <c r="U924" s="54"/>
      <c r="V924" s="54"/>
      <c r="W924" s="54"/>
      <c r="X924" s="54"/>
      <c r="Y924" s="350"/>
      <c r="Z924" s="54"/>
      <c r="AA924" s="54"/>
      <c r="AB924" s="54"/>
      <c r="AC924" s="54"/>
      <c r="AD924" s="54"/>
      <c r="AE924" s="54"/>
      <c r="AF924" s="54"/>
      <c r="AG924" s="54"/>
      <c r="AH924" s="54"/>
      <c r="AI924" s="54"/>
      <c r="AJ924" s="54"/>
      <c r="AK924" s="54"/>
      <c r="AL924" s="54"/>
      <c r="AM924" s="54"/>
      <c r="AN924" s="54"/>
      <c r="AO924" s="54"/>
      <c r="AP924" s="54"/>
      <c r="AQ924" s="54"/>
      <c r="AR924" s="54"/>
      <c r="AS924" s="54"/>
      <c r="AT924" s="54"/>
    </row>
    <row r="925">
      <c r="A925" s="54"/>
      <c r="B925" s="54"/>
      <c r="C925" s="54"/>
      <c r="D925" s="54"/>
      <c r="E925" s="54"/>
      <c r="F925" s="54"/>
      <c r="G925" s="54"/>
      <c r="H925" s="54"/>
      <c r="I925" s="54"/>
      <c r="J925" s="54"/>
      <c r="K925" s="54"/>
      <c r="L925" s="54"/>
      <c r="M925" s="54"/>
      <c r="N925" s="54"/>
      <c r="O925" s="54"/>
      <c r="P925" s="54"/>
      <c r="Q925" s="54"/>
      <c r="R925" s="54"/>
      <c r="S925" s="54"/>
      <c r="T925" s="54"/>
      <c r="U925" s="54"/>
      <c r="V925" s="54"/>
      <c r="W925" s="54"/>
      <c r="X925" s="54"/>
      <c r="Y925" s="350"/>
      <c r="Z925" s="54"/>
      <c r="AA925" s="54"/>
      <c r="AB925" s="54"/>
      <c r="AC925" s="54"/>
      <c r="AD925" s="54"/>
      <c r="AE925" s="54"/>
      <c r="AF925" s="54"/>
      <c r="AG925" s="54"/>
      <c r="AH925" s="54"/>
      <c r="AI925" s="54"/>
      <c r="AJ925" s="54"/>
      <c r="AK925" s="54"/>
      <c r="AL925" s="54"/>
      <c r="AM925" s="54"/>
      <c r="AN925" s="54"/>
      <c r="AO925" s="54"/>
      <c r="AP925" s="54"/>
      <c r="AQ925" s="54"/>
      <c r="AR925" s="54"/>
      <c r="AS925" s="54"/>
      <c r="AT925" s="54"/>
    </row>
    <row r="926">
      <c r="A926" s="54"/>
      <c r="B926" s="54"/>
      <c r="C926" s="54"/>
      <c r="D926" s="54"/>
      <c r="E926" s="54"/>
      <c r="F926" s="54"/>
      <c r="G926" s="54"/>
      <c r="H926" s="54"/>
      <c r="I926" s="54"/>
      <c r="J926" s="54"/>
      <c r="K926" s="54"/>
      <c r="L926" s="54"/>
      <c r="M926" s="54"/>
      <c r="N926" s="54"/>
      <c r="O926" s="54"/>
      <c r="P926" s="54"/>
      <c r="Q926" s="54"/>
      <c r="R926" s="54"/>
      <c r="S926" s="54"/>
      <c r="T926" s="54"/>
      <c r="U926" s="54"/>
      <c r="V926" s="54"/>
      <c r="W926" s="54"/>
      <c r="X926" s="54"/>
      <c r="Y926" s="350"/>
      <c r="Z926" s="54"/>
      <c r="AA926" s="54"/>
      <c r="AB926" s="54"/>
      <c r="AC926" s="54"/>
      <c r="AD926" s="54"/>
      <c r="AE926" s="54"/>
      <c r="AF926" s="54"/>
      <c r="AG926" s="54"/>
      <c r="AH926" s="54"/>
      <c r="AI926" s="54"/>
      <c r="AJ926" s="54"/>
      <c r="AK926" s="54"/>
      <c r="AL926" s="54"/>
      <c r="AM926" s="54"/>
      <c r="AN926" s="54"/>
      <c r="AO926" s="54"/>
      <c r="AP926" s="54"/>
      <c r="AQ926" s="54"/>
      <c r="AR926" s="54"/>
      <c r="AS926" s="54"/>
      <c r="AT926" s="54"/>
    </row>
    <row r="927">
      <c r="A927" s="54"/>
      <c r="B927" s="54"/>
      <c r="C927" s="54"/>
      <c r="D927" s="54"/>
      <c r="E927" s="54"/>
      <c r="F927" s="54"/>
      <c r="G927" s="54"/>
      <c r="H927" s="54"/>
      <c r="I927" s="54"/>
      <c r="J927" s="54"/>
      <c r="K927" s="54"/>
      <c r="L927" s="54"/>
      <c r="M927" s="54"/>
      <c r="N927" s="54"/>
      <c r="O927" s="54"/>
      <c r="P927" s="54"/>
      <c r="Q927" s="54"/>
      <c r="R927" s="54"/>
      <c r="S927" s="54"/>
      <c r="T927" s="54"/>
      <c r="U927" s="54"/>
      <c r="V927" s="54"/>
      <c r="W927" s="54"/>
      <c r="X927" s="54"/>
      <c r="Y927" s="350"/>
      <c r="Z927" s="54"/>
      <c r="AA927" s="54"/>
      <c r="AB927" s="54"/>
      <c r="AC927" s="54"/>
      <c r="AD927" s="54"/>
      <c r="AE927" s="54"/>
      <c r="AF927" s="54"/>
      <c r="AG927" s="54"/>
      <c r="AH927" s="54"/>
      <c r="AI927" s="54"/>
      <c r="AJ927" s="54"/>
      <c r="AK927" s="54"/>
      <c r="AL927" s="54"/>
      <c r="AM927" s="54"/>
      <c r="AN927" s="54"/>
      <c r="AO927" s="54"/>
      <c r="AP927" s="54"/>
      <c r="AQ927" s="54"/>
      <c r="AR927" s="54"/>
      <c r="AS927" s="54"/>
      <c r="AT927" s="54"/>
    </row>
    <row r="928">
      <c r="A928" s="54"/>
      <c r="B928" s="54"/>
      <c r="C928" s="54"/>
      <c r="D928" s="54"/>
      <c r="E928" s="54"/>
      <c r="F928" s="54"/>
      <c r="G928" s="54"/>
      <c r="H928" s="54"/>
      <c r="I928" s="54"/>
      <c r="J928" s="54"/>
      <c r="K928" s="54"/>
      <c r="L928" s="54"/>
      <c r="M928" s="54"/>
      <c r="N928" s="54"/>
      <c r="O928" s="54"/>
      <c r="P928" s="54"/>
      <c r="Q928" s="54"/>
      <c r="R928" s="54"/>
      <c r="S928" s="54"/>
      <c r="T928" s="54"/>
      <c r="U928" s="54"/>
      <c r="V928" s="54"/>
      <c r="W928" s="54"/>
      <c r="X928" s="54"/>
      <c r="Y928" s="350"/>
      <c r="Z928" s="54"/>
      <c r="AA928" s="54"/>
      <c r="AB928" s="54"/>
      <c r="AC928" s="54"/>
      <c r="AD928" s="54"/>
      <c r="AE928" s="54"/>
      <c r="AF928" s="54"/>
      <c r="AG928" s="54"/>
      <c r="AH928" s="54"/>
      <c r="AI928" s="54"/>
      <c r="AJ928" s="54"/>
      <c r="AK928" s="54"/>
      <c r="AL928" s="54"/>
      <c r="AM928" s="54"/>
      <c r="AN928" s="54"/>
      <c r="AO928" s="54"/>
      <c r="AP928" s="54"/>
      <c r="AQ928" s="54"/>
      <c r="AR928" s="54"/>
      <c r="AS928" s="54"/>
      <c r="AT928" s="54"/>
    </row>
    <row r="929">
      <c r="A929" s="54"/>
      <c r="B929" s="54"/>
      <c r="C929" s="54"/>
      <c r="D929" s="54"/>
      <c r="E929" s="54"/>
      <c r="F929" s="54"/>
      <c r="G929" s="54"/>
      <c r="H929" s="54"/>
      <c r="I929" s="54"/>
      <c r="J929" s="54"/>
      <c r="K929" s="54"/>
      <c r="L929" s="54"/>
      <c r="M929" s="54"/>
      <c r="N929" s="54"/>
      <c r="O929" s="54"/>
      <c r="P929" s="54"/>
      <c r="Q929" s="54"/>
      <c r="R929" s="54"/>
      <c r="S929" s="54"/>
      <c r="T929" s="54"/>
      <c r="U929" s="54"/>
      <c r="V929" s="54"/>
      <c r="W929" s="54"/>
      <c r="X929" s="54"/>
      <c r="Y929" s="350"/>
      <c r="Z929" s="54"/>
      <c r="AA929" s="54"/>
      <c r="AB929" s="54"/>
      <c r="AC929" s="54"/>
      <c r="AD929" s="54"/>
      <c r="AE929" s="54"/>
      <c r="AF929" s="54"/>
      <c r="AG929" s="54"/>
      <c r="AH929" s="54"/>
      <c r="AI929" s="54"/>
      <c r="AJ929" s="54"/>
      <c r="AK929" s="54"/>
      <c r="AL929" s="54"/>
      <c r="AM929" s="54"/>
      <c r="AN929" s="54"/>
      <c r="AO929" s="54"/>
      <c r="AP929" s="54"/>
      <c r="AQ929" s="54"/>
      <c r="AR929" s="54"/>
      <c r="AS929" s="54"/>
      <c r="AT929" s="54"/>
    </row>
    <row r="930">
      <c r="A930" s="54"/>
      <c r="B930" s="54"/>
      <c r="C930" s="54"/>
      <c r="D930" s="54"/>
      <c r="E930" s="54"/>
      <c r="F930" s="54"/>
      <c r="G930" s="54"/>
      <c r="H930" s="54"/>
      <c r="I930" s="54"/>
      <c r="J930" s="54"/>
      <c r="K930" s="54"/>
      <c r="L930" s="54"/>
      <c r="M930" s="54"/>
      <c r="N930" s="54"/>
      <c r="O930" s="54"/>
      <c r="P930" s="54"/>
      <c r="Q930" s="54"/>
      <c r="R930" s="54"/>
      <c r="S930" s="54"/>
      <c r="T930" s="54"/>
      <c r="U930" s="54"/>
      <c r="V930" s="54"/>
      <c r="W930" s="54"/>
      <c r="X930" s="54"/>
      <c r="Y930" s="350"/>
      <c r="Z930" s="54"/>
      <c r="AA930" s="54"/>
      <c r="AB930" s="54"/>
      <c r="AC930" s="54"/>
      <c r="AD930" s="54"/>
      <c r="AE930" s="54"/>
      <c r="AF930" s="54"/>
      <c r="AG930" s="54"/>
      <c r="AH930" s="54"/>
      <c r="AI930" s="54"/>
      <c r="AJ930" s="54"/>
      <c r="AK930" s="54"/>
      <c r="AL930" s="54"/>
      <c r="AM930" s="54"/>
      <c r="AN930" s="54"/>
      <c r="AO930" s="54"/>
      <c r="AP930" s="54"/>
      <c r="AQ930" s="54"/>
      <c r="AR930" s="54"/>
      <c r="AS930" s="54"/>
      <c r="AT930" s="54"/>
    </row>
    <row r="931">
      <c r="A931" s="54"/>
      <c r="B931" s="54"/>
      <c r="C931" s="54"/>
      <c r="D931" s="54"/>
      <c r="E931" s="54"/>
      <c r="F931" s="54"/>
      <c r="G931" s="54"/>
      <c r="H931" s="54"/>
      <c r="I931" s="54"/>
      <c r="J931" s="54"/>
      <c r="K931" s="54"/>
      <c r="L931" s="54"/>
      <c r="M931" s="54"/>
      <c r="N931" s="54"/>
      <c r="O931" s="54"/>
      <c r="P931" s="54"/>
      <c r="Q931" s="54"/>
      <c r="R931" s="54"/>
      <c r="S931" s="54"/>
      <c r="T931" s="54"/>
      <c r="U931" s="54"/>
      <c r="V931" s="54"/>
      <c r="W931" s="54"/>
      <c r="X931" s="54"/>
      <c r="Y931" s="350"/>
      <c r="Z931" s="54"/>
      <c r="AA931" s="54"/>
      <c r="AB931" s="54"/>
      <c r="AC931" s="54"/>
      <c r="AD931" s="54"/>
      <c r="AE931" s="54"/>
      <c r="AF931" s="54"/>
      <c r="AG931" s="54"/>
      <c r="AH931" s="54"/>
      <c r="AI931" s="54"/>
      <c r="AJ931" s="54"/>
      <c r="AK931" s="54"/>
      <c r="AL931" s="54"/>
      <c r="AM931" s="54"/>
      <c r="AN931" s="54"/>
      <c r="AO931" s="54"/>
      <c r="AP931" s="54"/>
      <c r="AQ931" s="54"/>
      <c r="AR931" s="54"/>
      <c r="AS931" s="54"/>
      <c r="AT931" s="54"/>
    </row>
    <row r="932">
      <c r="A932" s="54"/>
      <c r="B932" s="54"/>
      <c r="C932" s="54"/>
      <c r="D932" s="54"/>
      <c r="E932" s="54"/>
      <c r="F932" s="54"/>
      <c r="G932" s="54"/>
      <c r="H932" s="54"/>
      <c r="I932" s="54"/>
      <c r="J932" s="54"/>
      <c r="K932" s="54"/>
      <c r="L932" s="54"/>
      <c r="M932" s="54"/>
      <c r="N932" s="54"/>
      <c r="O932" s="54"/>
      <c r="P932" s="54"/>
      <c r="Q932" s="54"/>
      <c r="R932" s="54"/>
      <c r="S932" s="54"/>
      <c r="T932" s="54"/>
      <c r="U932" s="54"/>
      <c r="V932" s="54"/>
      <c r="W932" s="54"/>
      <c r="X932" s="54"/>
      <c r="Y932" s="350"/>
      <c r="Z932" s="54"/>
      <c r="AA932" s="54"/>
      <c r="AB932" s="54"/>
      <c r="AC932" s="54"/>
      <c r="AD932" s="54"/>
      <c r="AE932" s="54"/>
      <c r="AF932" s="54"/>
      <c r="AG932" s="54"/>
      <c r="AH932" s="54"/>
      <c r="AI932" s="54"/>
      <c r="AJ932" s="54"/>
      <c r="AK932" s="54"/>
      <c r="AL932" s="54"/>
      <c r="AM932" s="54"/>
      <c r="AN932" s="54"/>
      <c r="AO932" s="54"/>
      <c r="AP932" s="54"/>
      <c r="AQ932" s="54"/>
      <c r="AR932" s="54"/>
      <c r="AS932" s="54"/>
      <c r="AT932" s="54"/>
    </row>
    <row r="933">
      <c r="A933" s="54"/>
      <c r="B933" s="54"/>
      <c r="C933" s="54"/>
      <c r="D933" s="54"/>
      <c r="E933" s="54"/>
      <c r="F933" s="54"/>
      <c r="G933" s="54"/>
      <c r="H933" s="54"/>
      <c r="I933" s="54"/>
      <c r="J933" s="54"/>
      <c r="K933" s="54"/>
      <c r="L933" s="54"/>
      <c r="M933" s="54"/>
      <c r="N933" s="54"/>
      <c r="O933" s="54"/>
      <c r="P933" s="54"/>
      <c r="Q933" s="54"/>
      <c r="R933" s="54"/>
      <c r="S933" s="54"/>
      <c r="T933" s="54"/>
      <c r="U933" s="54"/>
      <c r="V933" s="54"/>
      <c r="W933" s="54"/>
      <c r="X933" s="54"/>
      <c r="Y933" s="350"/>
      <c r="Z933" s="54"/>
      <c r="AA933" s="54"/>
      <c r="AB933" s="54"/>
      <c r="AC933" s="54"/>
      <c r="AD933" s="54"/>
      <c r="AE933" s="54"/>
      <c r="AF933" s="54"/>
      <c r="AG933" s="54"/>
      <c r="AH933" s="54"/>
      <c r="AI933" s="54"/>
      <c r="AJ933" s="54"/>
      <c r="AK933" s="54"/>
      <c r="AL933" s="54"/>
      <c r="AM933" s="54"/>
      <c r="AN933" s="54"/>
      <c r="AO933" s="54"/>
      <c r="AP933" s="54"/>
      <c r="AQ933" s="54"/>
      <c r="AR933" s="54"/>
      <c r="AS933" s="54"/>
      <c r="AT933" s="54"/>
    </row>
    <row r="934">
      <c r="A934" s="54"/>
      <c r="B934" s="54"/>
      <c r="C934" s="54"/>
      <c r="D934" s="54"/>
      <c r="E934" s="54"/>
      <c r="F934" s="54"/>
      <c r="G934" s="54"/>
      <c r="H934" s="54"/>
      <c r="I934" s="54"/>
      <c r="J934" s="54"/>
      <c r="K934" s="54"/>
      <c r="L934" s="54"/>
      <c r="M934" s="54"/>
      <c r="N934" s="54"/>
      <c r="O934" s="54"/>
      <c r="P934" s="54"/>
      <c r="Q934" s="54"/>
      <c r="R934" s="54"/>
      <c r="S934" s="54"/>
      <c r="T934" s="54"/>
      <c r="U934" s="54"/>
      <c r="V934" s="54"/>
      <c r="W934" s="54"/>
      <c r="X934" s="54"/>
      <c r="Y934" s="350"/>
      <c r="Z934" s="54"/>
      <c r="AA934" s="54"/>
      <c r="AB934" s="54"/>
      <c r="AC934" s="54"/>
      <c r="AD934" s="54"/>
      <c r="AE934" s="54"/>
      <c r="AF934" s="54"/>
      <c r="AG934" s="54"/>
      <c r="AH934" s="54"/>
      <c r="AI934" s="54"/>
      <c r="AJ934" s="54"/>
      <c r="AK934" s="54"/>
      <c r="AL934" s="54"/>
      <c r="AM934" s="54"/>
      <c r="AN934" s="54"/>
      <c r="AO934" s="54"/>
      <c r="AP934" s="54"/>
      <c r="AQ934" s="54"/>
      <c r="AR934" s="54"/>
      <c r="AS934" s="54"/>
      <c r="AT934" s="54"/>
    </row>
    <row r="935">
      <c r="A935" s="54"/>
      <c r="B935" s="54"/>
      <c r="C935" s="54"/>
      <c r="D935" s="54"/>
      <c r="E935" s="54"/>
      <c r="F935" s="54"/>
      <c r="G935" s="54"/>
      <c r="H935" s="54"/>
      <c r="I935" s="54"/>
      <c r="J935" s="54"/>
      <c r="K935" s="54"/>
      <c r="L935" s="54"/>
      <c r="M935" s="54"/>
      <c r="N935" s="54"/>
      <c r="O935" s="54"/>
      <c r="P935" s="54"/>
      <c r="Q935" s="54"/>
      <c r="R935" s="54"/>
      <c r="S935" s="54"/>
      <c r="T935" s="54"/>
      <c r="U935" s="54"/>
      <c r="V935" s="54"/>
      <c r="W935" s="54"/>
      <c r="X935" s="54"/>
      <c r="Y935" s="350"/>
      <c r="Z935" s="54"/>
      <c r="AA935" s="54"/>
      <c r="AB935" s="54"/>
      <c r="AC935" s="54"/>
      <c r="AD935" s="54"/>
      <c r="AE935" s="54"/>
      <c r="AF935" s="54"/>
      <c r="AG935" s="54"/>
      <c r="AH935" s="54"/>
      <c r="AI935" s="54"/>
      <c r="AJ935" s="54"/>
      <c r="AK935" s="54"/>
      <c r="AL935" s="54"/>
      <c r="AM935" s="54"/>
      <c r="AN935" s="54"/>
      <c r="AO935" s="54"/>
      <c r="AP935" s="54"/>
      <c r="AQ935" s="54"/>
      <c r="AR935" s="54"/>
      <c r="AS935" s="54"/>
      <c r="AT935" s="54"/>
    </row>
    <row r="936">
      <c r="A936" s="54"/>
      <c r="B936" s="54"/>
      <c r="C936" s="54"/>
      <c r="D936" s="54"/>
      <c r="E936" s="54"/>
      <c r="F936" s="54"/>
      <c r="G936" s="54"/>
      <c r="H936" s="54"/>
      <c r="I936" s="54"/>
      <c r="J936" s="54"/>
      <c r="K936" s="54"/>
      <c r="L936" s="54"/>
      <c r="M936" s="54"/>
      <c r="N936" s="54"/>
      <c r="O936" s="54"/>
      <c r="P936" s="54"/>
      <c r="Q936" s="54"/>
      <c r="R936" s="54"/>
      <c r="S936" s="54"/>
      <c r="T936" s="54"/>
      <c r="U936" s="54"/>
      <c r="V936" s="54"/>
      <c r="W936" s="54"/>
      <c r="X936" s="54"/>
      <c r="Y936" s="350"/>
      <c r="Z936" s="54"/>
      <c r="AA936" s="54"/>
      <c r="AB936" s="54"/>
      <c r="AC936" s="54"/>
      <c r="AD936" s="54"/>
      <c r="AE936" s="54"/>
      <c r="AF936" s="54"/>
      <c r="AG936" s="54"/>
      <c r="AH936" s="54"/>
      <c r="AI936" s="54"/>
      <c r="AJ936" s="54"/>
      <c r="AK936" s="54"/>
      <c r="AL936" s="54"/>
      <c r="AM936" s="54"/>
      <c r="AN936" s="54"/>
      <c r="AO936" s="54"/>
      <c r="AP936" s="54"/>
      <c r="AQ936" s="54"/>
      <c r="AR936" s="54"/>
      <c r="AS936" s="54"/>
      <c r="AT936" s="54"/>
    </row>
    <row r="937">
      <c r="A937" s="54"/>
      <c r="B937" s="54"/>
      <c r="C937" s="54"/>
      <c r="D937" s="54"/>
      <c r="E937" s="54"/>
      <c r="F937" s="54"/>
      <c r="G937" s="54"/>
      <c r="H937" s="54"/>
      <c r="I937" s="54"/>
      <c r="J937" s="54"/>
      <c r="K937" s="54"/>
      <c r="L937" s="54"/>
      <c r="M937" s="54"/>
      <c r="N937" s="54"/>
      <c r="O937" s="54"/>
      <c r="P937" s="54"/>
      <c r="Q937" s="54"/>
      <c r="R937" s="54"/>
      <c r="S937" s="54"/>
      <c r="T937" s="54"/>
      <c r="U937" s="54"/>
      <c r="V937" s="54"/>
      <c r="W937" s="54"/>
      <c r="X937" s="54"/>
      <c r="Y937" s="350"/>
      <c r="Z937" s="54"/>
      <c r="AA937" s="54"/>
      <c r="AB937" s="54"/>
      <c r="AC937" s="54"/>
      <c r="AD937" s="54"/>
      <c r="AE937" s="54"/>
      <c r="AF937" s="54"/>
      <c r="AG937" s="54"/>
      <c r="AH937" s="54"/>
      <c r="AI937" s="54"/>
      <c r="AJ937" s="54"/>
      <c r="AK937" s="54"/>
      <c r="AL937" s="54"/>
      <c r="AM937" s="54"/>
      <c r="AN937" s="54"/>
      <c r="AO937" s="54"/>
      <c r="AP937" s="54"/>
      <c r="AQ937" s="54"/>
      <c r="AR937" s="54"/>
      <c r="AS937" s="54"/>
      <c r="AT937" s="54"/>
    </row>
    <row r="938">
      <c r="A938" s="54"/>
      <c r="B938" s="54"/>
      <c r="C938" s="54"/>
      <c r="D938" s="54"/>
      <c r="E938" s="54"/>
      <c r="F938" s="54"/>
      <c r="G938" s="54"/>
      <c r="H938" s="54"/>
      <c r="I938" s="54"/>
      <c r="J938" s="54"/>
      <c r="K938" s="54"/>
      <c r="L938" s="54"/>
      <c r="M938" s="54"/>
      <c r="N938" s="54"/>
      <c r="O938" s="54"/>
      <c r="P938" s="54"/>
      <c r="Q938" s="54"/>
      <c r="R938" s="54"/>
      <c r="S938" s="54"/>
      <c r="T938" s="54"/>
      <c r="U938" s="54"/>
      <c r="V938" s="54"/>
      <c r="W938" s="54"/>
      <c r="X938" s="54"/>
      <c r="Y938" s="350"/>
      <c r="Z938" s="54"/>
      <c r="AA938" s="54"/>
      <c r="AB938" s="54"/>
      <c r="AC938" s="54"/>
      <c r="AD938" s="54"/>
      <c r="AE938" s="54"/>
      <c r="AF938" s="54"/>
      <c r="AG938" s="54"/>
      <c r="AH938" s="54"/>
      <c r="AI938" s="54"/>
      <c r="AJ938" s="54"/>
      <c r="AK938" s="54"/>
      <c r="AL938" s="54"/>
      <c r="AM938" s="54"/>
      <c r="AN938" s="54"/>
      <c r="AO938" s="54"/>
      <c r="AP938" s="54"/>
      <c r="AQ938" s="54"/>
      <c r="AR938" s="54"/>
      <c r="AS938" s="54"/>
      <c r="AT938" s="54"/>
    </row>
    <row r="939">
      <c r="A939" s="54"/>
      <c r="B939" s="54"/>
      <c r="C939" s="54"/>
      <c r="D939" s="54"/>
      <c r="E939" s="54"/>
      <c r="F939" s="54"/>
      <c r="G939" s="54"/>
      <c r="H939" s="54"/>
      <c r="I939" s="54"/>
      <c r="J939" s="54"/>
      <c r="K939" s="54"/>
      <c r="L939" s="54"/>
      <c r="M939" s="54"/>
      <c r="N939" s="54"/>
      <c r="O939" s="54"/>
      <c r="P939" s="54"/>
      <c r="Q939" s="54"/>
      <c r="R939" s="54"/>
      <c r="S939" s="54"/>
      <c r="T939" s="54"/>
      <c r="U939" s="54"/>
      <c r="V939" s="54"/>
      <c r="W939" s="54"/>
      <c r="X939" s="54"/>
      <c r="Y939" s="350"/>
      <c r="Z939" s="54"/>
      <c r="AA939" s="54"/>
      <c r="AB939" s="54"/>
      <c r="AC939" s="54"/>
      <c r="AD939" s="54"/>
      <c r="AE939" s="54"/>
      <c r="AF939" s="54"/>
      <c r="AG939" s="54"/>
      <c r="AH939" s="54"/>
      <c r="AI939" s="54"/>
      <c r="AJ939" s="54"/>
      <c r="AK939" s="54"/>
      <c r="AL939" s="54"/>
      <c r="AM939" s="54"/>
      <c r="AN939" s="54"/>
      <c r="AO939" s="54"/>
      <c r="AP939" s="54"/>
      <c r="AQ939" s="54"/>
      <c r="AR939" s="54"/>
      <c r="AS939" s="54"/>
      <c r="AT939" s="54"/>
    </row>
    <row r="940">
      <c r="A940" s="54"/>
      <c r="B940" s="54"/>
      <c r="C940" s="54"/>
      <c r="D940" s="54"/>
      <c r="E940" s="54"/>
      <c r="F940" s="54"/>
      <c r="G940" s="54"/>
      <c r="H940" s="54"/>
      <c r="I940" s="54"/>
      <c r="J940" s="54"/>
      <c r="K940" s="54"/>
      <c r="L940" s="54"/>
      <c r="M940" s="54"/>
      <c r="N940" s="54"/>
      <c r="O940" s="54"/>
      <c r="P940" s="54"/>
      <c r="Q940" s="54"/>
      <c r="R940" s="54"/>
      <c r="S940" s="54"/>
      <c r="T940" s="54"/>
      <c r="U940" s="54"/>
      <c r="V940" s="54"/>
      <c r="W940" s="54"/>
      <c r="X940" s="54"/>
      <c r="Y940" s="350"/>
      <c r="Z940" s="54"/>
      <c r="AA940" s="54"/>
      <c r="AB940" s="54"/>
      <c r="AC940" s="54"/>
      <c r="AD940" s="54"/>
      <c r="AE940" s="54"/>
      <c r="AF940" s="54"/>
      <c r="AG940" s="54"/>
      <c r="AH940" s="54"/>
      <c r="AI940" s="54"/>
      <c r="AJ940" s="54"/>
      <c r="AK940" s="54"/>
      <c r="AL940" s="54"/>
      <c r="AM940" s="54"/>
      <c r="AN940" s="54"/>
      <c r="AO940" s="54"/>
      <c r="AP940" s="54"/>
      <c r="AQ940" s="54"/>
      <c r="AR940" s="54"/>
      <c r="AS940" s="54"/>
      <c r="AT940" s="54"/>
    </row>
    <row r="941">
      <c r="A941" s="54"/>
      <c r="B941" s="54"/>
      <c r="C941" s="54"/>
      <c r="D941" s="54"/>
      <c r="E941" s="54"/>
      <c r="F941" s="54"/>
      <c r="G941" s="54"/>
      <c r="H941" s="54"/>
      <c r="I941" s="54"/>
      <c r="J941" s="54"/>
      <c r="K941" s="54"/>
      <c r="L941" s="54"/>
      <c r="M941" s="54"/>
      <c r="N941" s="54"/>
      <c r="O941" s="54"/>
      <c r="P941" s="54"/>
      <c r="Q941" s="54"/>
      <c r="R941" s="54"/>
      <c r="S941" s="54"/>
      <c r="T941" s="54"/>
      <c r="U941" s="54"/>
      <c r="V941" s="54"/>
      <c r="W941" s="54"/>
      <c r="X941" s="54"/>
      <c r="Y941" s="350"/>
      <c r="Z941" s="54"/>
      <c r="AA941" s="54"/>
      <c r="AB941" s="54"/>
      <c r="AC941" s="54"/>
      <c r="AD941" s="54"/>
      <c r="AE941" s="54"/>
      <c r="AF941" s="54"/>
      <c r="AG941" s="54"/>
      <c r="AH941" s="54"/>
      <c r="AI941" s="54"/>
      <c r="AJ941" s="54"/>
      <c r="AK941" s="54"/>
      <c r="AL941" s="54"/>
      <c r="AM941" s="54"/>
      <c r="AN941" s="54"/>
      <c r="AO941" s="54"/>
      <c r="AP941" s="54"/>
      <c r="AQ941" s="54"/>
      <c r="AR941" s="54"/>
      <c r="AS941" s="54"/>
      <c r="AT941" s="54"/>
    </row>
    <row r="942">
      <c r="A942" s="54"/>
      <c r="B942" s="54"/>
      <c r="C942" s="54"/>
      <c r="D942" s="54"/>
      <c r="E942" s="54"/>
      <c r="F942" s="54"/>
      <c r="G942" s="54"/>
      <c r="H942" s="54"/>
      <c r="I942" s="54"/>
      <c r="J942" s="54"/>
      <c r="K942" s="54"/>
      <c r="L942" s="54"/>
      <c r="M942" s="54"/>
      <c r="N942" s="54"/>
      <c r="O942" s="54"/>
      <c r="P942" s="54"/>
      <c r="Q942" s="54"/>
      <c r="R942" s="54"/>
      <c r="S942" s="54"/>
      <c r="T942" s="54"/>
      <c r="U942" s="54"/>
      <c r="V942" s="54"/>
      <c r="W942" s="54"/>
      <c r="X942" s="54"/>
      <c r="Y942" s="350"/>
      <c r="Z942" s="54"/>
      <c r="AA942" s="54"/>
      <c r="AB942" s="54"/>
      <c r="AC942" s="54"/>
      <c r="AD942" s="54"/>
      <c r="AE942" s="54"/>
      <c r="AF942" s="54"/>
      <c r="AG942" s="54"/>
      <c r="AH942" s="54"/>
      <c r="AI942" s="54"/>
      <c r="AJ942" s="54"/>
      <c r="AK942" s="54"/>
      <c r="AL942" s="54"/>
      <c r="AM942" s="54"/>
      <c r="AN942" s="54"/>
      <c r="AO942" s="54"/>
      <c r="AP942" s="54"/>
      <c r="AQ942" s="54"/>
      <c r="AR942" s="54"/>
      <c r="AS942" s="54"/>
      <c r="AT942" s="54"/>
    </row>
    <row r="943">
      <c r="A943" s="54"/>
      <c r="B943" s="54"/>
      <c r="C943" s="54"/>
      <c r="D943" s="54"/>
      <c r="E943" s="54"/>
      <c r="F943" s="54"/>
      <c r="G943" s="54"/>
      <c r="H943" s="54"/>
      <c r="I943" s="54"/>
      <c r="J943" s="54"/>
      <c r="K943" s="54"/>
      <c r="L943" s="54"/>
      <c r="M943" s="54"/>
      <c r="N943" s="54"/>
      <c r="O943" s="54"/>
      <c r="P943" s="54"/>
      <c r="Q943" s="54"/>
      <c r="R943" s="54"/>
      <c r="S943" s="54"/>
      <c r="T943" s="54"/>
      <c r="U943" s="54"/>
      <c r="V943" s="54"/>
      <c r="W943" s="54"/>
      <c r="X943" s="54"/>
      <c r="Y943" s="350"/>
      <c r="Z943" s="54"/>
      <c r="AA943" s="54"/>
      <c r="AB943" s="54"/>
      <c r="AC943" s="54"/>
      <c r="AD943" s="54"/>
      <c r="AE943" s="54"/>
      <c r="AF943" s="54"/>
      <c r="AG943" s="54"/>
      <c r="AH943" s="54"/>
      <c r="AI943" s="54"/>
      <c r="AJ943" s="54"/>
      <c r="AK943" s="54"/>
      <c r="AL943" s="54"/>
      <c r="AM943" s="54"/>
      <c r="AN943" s="54"/>
      <c r="AO943" s="54"/>
      <c r="AP943" s="54"/>
      <c r="AQ943" s="54"/>
      <c r="AR943" s="54"/>
      <c r="AS943" s="54"/>
      <c r="AT943" s="54"/>
    </row>
    <row r="944">
      <c r="A944" s="54"/>
      <c r="B944" s="54"/>
      <c r="C944" s="54"/>
      <c r="D944" s="54"/>
      <c r="E944" s="54"/>
      <c r="F944" s="54"/>
      <c r="G944" s="54"/>
      <c r="H944" s="54"/>
      <c r="I944" s="54"/>
      <c r="J944" s="54"/>
      <c r="K944" s="54"/>
      <c r="L944" s="54"/>
      <c r="M944" s="54"/>
      <c r="N944" s="54"/>
      <c r="O944" s="54"/>
      <c r="P944" s="54"/>
      <c r="Q944" s="54"/>
      <c r="R944" s="54"/>
      <c r="S944" s="54"/>
      <c r="T944" s="54"/>
      <c r="U944" s="54"/>
      <c r="V944" s="54"/>
      <c r="W944" s="54"/>
      <c r="X944" s="54"/>
      <c r="Y944" s="350"/>
      <c r="Z944" s="54"/>
      <c r="AA944" s="54"/>
      <c r="AB944" s="54"/>
      <c r="AC944" s="54"/>
      <c r="AD944" s="54"/>
      <c r="AE944" s="54"/>
      <c r="AF944" s="54"/>
      <c r="AG944" s="54"/>
      <c r="AH944" s="54"/>
      <c r="AI944" s="54"/>
      <c r="AJ944" s="54"/>
      <c r="AK944" s="54"/>
      <c r="AL944" s="54"/>
      <c r="AM944" s="54"/>
      <c r="AN944" s="54"/>
      <c r="AO944" s="54"/>
      <c r="AP944" s="54"/>
      <c r="AQ944" s="54"/>
      <c r="AR944" s="54"/>
      <c r="AS944" s="54"/>
      <c r="AT944" s="54"/>
    </row>
    <row r="945">
      <c r="A945" s="54"/>
      <c r="B945" s="54"/>
      <c r="C945" s="54"/>
      <c r="D945" s="54"/>
      <c r="E945" s="54"/>
      <c r="F945" s="54"/>
      <c r="G945" s="54"/>
      <c r="H945" s="54"/>
      <c r="I945" s="54"/>
      <c r="J945" s="54"/>
      <c r="K945" s="54"/>
      <c r="L945" s="54"/>
      <c r="M945" s="54"/>
      <c r="N945" s="54"/>
      <c r="O945" s="54"/>
      <c r="P945" s="54"/>
      <c r="Q945" s="54"/>
      <c r="R945" s="54"/>
      <c r="S945" s="54"/>
      <c r="T945" s="54"/>
      <c r="U945" s="54"/>
      <c r="V945" s="54"/>
      <c r="W945" s="54"/>
      <c r="X945" s="54"/>
      <c r="Y945" s="350"/>
      <c r="Z945" s="54"/>
      <c r="AA945" s="54"/>
      <c r="AB945" s="54"/>
      <c r="AC945" s="54"/>
      <c r="AD945" s="54"/>
      <c r="AE945" s="54"/>
      <c r="AF945" s="54"/>
      <c r="AG945" s="54"/>
      <c r="AH945" s="54"/>
      <c r="AI945" s="54"/>
      <c r="AJ945" s="54"/>
      <c r="AK945" s="54"/>
      <c r="AL945" s="54"/>
      <c r="AM945" s="54"/>
      <c r="AN945" s="54"/>
      <c r="AO945" s="54"/>
      <c r="AP945" s="54"/>
      <c r="AQ945" s="54"/>
      <c r="AR945" s="54"/>
      <c r="AS945" s="54"/>
      <c r="AT945" s="54"/>
    </row>
    <row r="946">
      <c r="A946" s="54"/>
      <c r="B946" s="54"/>
      <c r="C946" s="54"/>
      <c r="D946" s="54"/>
      <c r="E946" s="54"/>
      <c r="F946" s="54"/>
      <c r="G946" s="54"/>
      <c r="H946" s="54"/>
      <c r="I946" s="54"/>
      <c r="J946" s="54"/>
      <c r="K946" s="54"/>
      <c r="L946" s="54"/>
      <c r="M946" s="54"/>
      <c r="N946" s="54"/>
      <c r="O946" s="54"/>
      <c r="P946" s="54"/>
      <c r="Q946" s="54"/>
      <c r="R946" s="54"/>
      <c r="S946" s="54"/>
      <c r="T946" s="54"/>
      <c r="U946" s="54"/>
      <c r="V946" s="54"/>
      <c r="W946" s="54"/>
      <c r="X946" s="54"/>
      <c r="Y946" s="350"/>
      <c r="Z946" s="54"/>
      <c r="AA946" s="54"/>
      <c r="AB946" s="54"/>
      <c r="AC946" s="54"/>
      <c r="AD946" s="54"/>
      <c r="AE946" s="54"/>
      <c r="AF946" s="54"/>
      <c r="AG946" s="54"/>
      <c r="AH946" s="54"/>
      <c r="AI946" s="54"/>
      <c r="AJ946" s="54"/>
      <c r="AK946" s="54"/>
      <c r="AL946" s="54"/>
      <c r="AM946" s="54"/>
      <c r="AN946" s="54"/>
      <c r="AO946" s="54"/>
      <c r="AP946" s="54"/>
      <c r="AQ946" s="54"/>
      <c r="AR946" s="54"/>
      <c r="AS946" s="54"/>
      <c r="AT946" s="54"/>
    </row>
    <row r="947">
      <c r="A947" s="54"/>
      <c r="B947" s="54"/>
      <c r="C947" s="54"/>
      <c r="D947" s="54"/>
      <c r="E947" s="54"/>
      <c r="F947" s="54"/>
      <c r="G947" s="54"/>
      <c r="H947" s="54"/>
      <c r="I947" s="54"/>
      <c r="J947" s="54"/>
      <c r="K947" s="54"/>
      <c r="L947" s="54"/>
      <c r="M947" s="54"/>
      <c r="N947" s="54"/>
      <c r="O947" s="54"/>
      <c r="P947" s="54"/>
      <c r="Q947" s="54"/>
      <c r="R947" s="54"/>
      <c r="S947" s="54"/>
      <c r="T947" s="54"/>
      <c r="U947" s="54"/>
      <c r="V947" s="54"/>
      <c r="W947" s="54"/>
      <c r="X947" s="54"/>
      <c r="Y947" s="350"/>
      <c r="Z947" s="54"/>
      <c r="AA947" s="54"/>
      <c r="AB947" s="54"/>
      <c r="AC947" s="54"/>
      <c r="AD947" s="54"/>
      <c r="AE947" s="54"/>
      <c r="AF947" s="54"/>
      <c r="AG947" s="54"/>
      <c r="AH947" s="54"/>
      <c r="AI947" s="54"/>
      <c r="AJ947" s="54"/>
      <c r="AK947" s="54"/>
      <c r="AL947" s="54"/>
      <c r="AM947" s="54"/>
      <c r="AN947" s="54"/>
      <c r="AO947" s="54"/>
      <c r="AP947" s="54"/>
      <c r="AQ947" s="54"/>
      <c r="AR947" s="54"/>
      <c r="AS947" s="54"/>
      <c r="AT947" s="54"/>
    </row>
    <row r="948">
      <c r="A948" s="54"/>
      <c r="B948" s="54"/>
      <c r="C948" s="54"/>
      <c r="D948" s="54"/>
      <c r="E948" s="54"/>
      <c r="F948" s="54"/>
      <c r="G948" s="54"/>
      <c r="H948" s="54"/>
      <c r="I948" s="54"/>
      <c r="J948" s="54"/>
      <c r="K948" s="54"/>
      <c r="L948" s="54"/>
      <c r="M948" s="54"/>
      <c r="N948" s="54"/>
      <c r="O948" s="54"/>
      <c r="P948" s="54"/>
      <c r="Q948" s="54"/>
      <c r="R948" s="54"/>
      <c r="S948" s="54"/>
      <c r="T948" s="54"/>
      <c r="U948" s="54"/>
      <c r="V948" s="54"/>
      <c r="W948" s="54"/>
      <c r="X948" s="54"/>
      <c r="Y948" s="350"/>
      <c r="Z948" s="54"/>
      <c r="AA948" s="54"/>
      <c r="AB948" s="54"/>
      <c r="AC948" s="54"/>
      <c r="AD948" s="54"/>
      <c r="AE948" s="54"/>
      <c r="AF948" s="54"/>
      <c r="AG948" s="54"/>
      <c r="AH948" s="54"/>
      <c r="AI948" s="54"/>
      <c r="AJ948" s="54"/>
      <c r="AK948" s="54"/>
      <c r="AL948" s="54"/>
      <c r="AM948" s="54"/>
      <c r="AN948" s="54"/>
      <c r="AO948" s="54"/>
      <c r="AP948" s="54"/>
      <c r="AQ948" s="54"/>
      <c r="AR948" s="54"/>
      <c r="AS948" s="54"/>
      <c r="AT948" s="54"/>
    </row>
    <row r="949">
      <c r="A949" s="54"/>
      <c r="B949" s="54"/>
      <c r="C949" s="54"/>
      <c r="D949" s="54"/>
      <c r="E949" s="54"/>
      <c r="F949" s="54"/>
      <c r="G949" s="54"/>
      <c r="H949" s="54"/>
      <c r="I949" s="54"/>
      <c r="J949" s="54"/>
      <c r="K949" s="54"/>
      <c r="L949" s="54"/>
      <c r="M949" s="54"/>
      <c r="N949" s="54"/>
      <c r="O949" s="54"/>
      <c r="P949" s="54"/>
      <c r="Q949" s="54"/>
      <c r="R949" s="54"/>
      <c r="S949" s="54"/>
      <c r="T949" s="54"/>
      <c r="U949" s="54"/>
      <c r="V949" s="54"/>
      <c r="W949" s="54"/>
      <c r="X949" s="54"/>
      <c r="Y949" s="350"/>
      <c r="Z949" s="54"/>
      <c r="AA949" s="54"/>
      <c r="AB949" s="54"/>
      <c r="AC949" s="54"/>
      <c r="AD949" s="54"/>
      <c r="AE949" s="54"/>
      <c r="AF949" s="54"/>
      <c r="AG949" s="54"/>
      <c r="AH949" s="54"/>
      <c r="AI949" s="54"/>
      <c r="AJ949" s="54"/>
      <c r="AK949" s="54"/>
      <c r="AL949" s="54"/>
      <c r="AM949" s="54"/>
      <c r="AN949" s="54"/>
      <c r="AO949" s="54"/>
      <c r="AP949" s="54"/>
      <c r="AQ949" s="54"/>
      <c r="AR949" s="54"/>
      <c r="AS949" s="54"/>
      <c r="AT949" s="54"/>
    </row>
    <row r="950">
      <c r="A950" s="54"/>
      <c r="B950" s="54"/>
      <c r="C950" s="54"/>
      <c r="D950" s="54"/>
      <c r="E950" s="54"/>
      <c r="F950" s="54"/>
      <c r="G950" s="54"/>
      <c r="H950" s="54"/>
      <c r="I950" s="54"/>
      <c r="J950" s="54"/>
      <c r="K950" s="54"/>
      <c r="L950" s="54"/>
      <c r="M950" s="54"/>
      <c r="N950" s="54"/>
      <c r="O950" s="54"/>
      <c r="P950" s="54"/>
      <c r="Q950" s="54"/>
      <c r="R950" s="54"/>
      <c r="S950" s="54"/>
      <c r="T950" s="54"/>
      <c r="U950" s="54"/>
      <c r="V950" s="54"/>
      <c r="W950" s="54"/>
      <c r="X950" s="54"/>
      <c r="Y950" s="350"/>
      <c r="Z950" s="54"/>
      <c r="AA950" s="54"/>
      <c r="AB950" s="54"/>
      <c r="AC950" s="54"/>
      <c r="AD950" s="54"/>
      <c r="AE950" s="54"/>
      <c r="AF950" s="54"/>
      <c r="AG950" s="54"/>
      <c r="AH950" s="54"/>
      <c r="AI950" s="54"/>
      <c r="AJ950" s="54"/>
      <c r="AK950" s="54"/>
      <c r="AL950" s="54"/>
      <c r="AM950" s="54"/>
      <c r="AN950" s="54"/>
      <c r="AO950" s="54"/>
      <c r="AP950" s="54"/>
      <c r="AQ950" s="54"/>
      <c r="AR950" s="54"/>
      <c r="AS950" s="54"/>
      <c r="AT950" s="54"/>
    </row>
    <row r="951">
      <c r="A951" s="54"/>
      <c r="B951" s="54"/>
      <c r="C951" s="54"/>
      <c r="D951" s="54"/>
      <c r="E951" s="54"/>
      <c r="F951" s="54"/>
      <c r="G951" s="54"/>
      <c r="H951" s="54"/>
      <c r="I951" s="54"/>
      <c r="J951" s="54"/>
      <c r="K951" s="54"/>
      <c r="L951" s="54"/>
      <c r="M951" s="54"/>
      <c r="N951" s="54"/>
      <c r="O951" s="54"/>
      <c r="P951" s="54"/>
      <c r="Q951" s="54"/>
      <c r="R951" s="54"/>
      <c r="S951" s="54"/>
      <c r="T951" s="54"/>
      <c r="U951" s="54"/>
      <c r="V951" s="54"/>
      <c r="W951" s="54"/>
      <c r="X951" s="54"/>
      <c r="Y951" s="350"/>
      <c r="Z951" s="54"/>
      <c r="AA951" s="54"/>
      <c r="AB951" s="54"/>
      <c r="AC951" s="54"/>
      <c r="AD951" s="54"/>
      <c r="AE951" s="54"/>
      <c r="AF951" s="54"/>
      <c r="AG951" s="54"/>
      <c r="AH951" s="54"/>
      <c r="AI951" s="54"/>
      <c r="AJ951" s="54"/>
      <c r="AK951" s="54"/>
      <c r="AL951" s="54"/>
      <c r="AM951" s="54"/>
      <c r="AN951" s="54"/>
      <c r="AO951" s="54"/>
      <c r="AP951" s="54"/>
      <c r="AQ951" s="54"/>
      <c r="AR951" s="54"/>
      <c r="AS951" s="54"/>
      <c r="AT951" s="54"/>
    </row>
    <row r="952">
      <c r="A952" s="54"/>
      <c r="B952" s="54"/>
      <c r="C952" s="54"/>
      <c r="D952" s="54"/>
      <c r="E952" s="54"/>
      <c r="F952" s="54"/>
      <c r="G952" s="54"/>
      <c r="H952" s="54"/>
      <c r="I952" s="54"/>
      <c r="J952" s="54"/>
      <c r="K952" s="54"/>
      <c r="L952" s="54"/>
      <c r="M952" s="54"/>
      <c r="N952" s="54"/>
      <c r="O952" s="54"/>
      <c r="P952" s="54"/>
      <c r="Q952" s="54"/>
      <c r="R952" s="54"/>
      <c r="S952" s="54"/>
      <c r="T952" s="54"/>
      <c r="U952" s="54"/>
      <c r="V952" s="54"/>
      <c r="W952" s="54"/>
      <c r="X952" s="54"/>
      <c r="Y952" s="350"/>
      <c r="Z952" s="54"/>
      <c r="AA952" s="54"/>
      <c r="AB952" s="54"/>
      <c r="AC952" s="54"/>
      <c r="AD952" s="54"/>
      <c r="AE952" s="54"/>
      <c r="AF952" s="54"/>
      <c r="AG952" s="54"/>
      <c r="AH952" s="54"/>
      <c r="AI952" s="54"/>
      <c r="AJ952" s="54"/>
      <c r="AK952" s="54"/>
      <c r="AL952" s="54"/>
      <c r="AM952" s="54"/>
      <c r="AN952" s="54"/>
      <c r="AO952" s="54"/>
      <c r="AP952" s="54"/>
      <c r="AQ952" s="54"/>
      <c r="AR952" s="54"/>
      <c r="AS952" s="54"/>
      <c r="AT952" s="54"/>
    </row>
    <row r="953">
      <c r="A953" s="54"/>
      <c r="B953" s="54"/>
      <c r="C953" s="54"/>
      <c r="D953" s="54"/>
      <c r="E953" s="54"/>
      <c r="F953" s="54"/>
      <c r="G953" s="54"/>
      <c r="H953" s="54"/>
      <c r="I953" s="54"/>
      <c r="J953" s="54"/>
      <c r="K953" s="54"/>
      <c r="L953" s="54"/>
      <c r="M953" s="54"/>
      <c r="N953" s="54"/>
      <c r="O953" s="54"/>
      <c r="P953" s="54"/>
      <c r="Q953" s="54"/>
      <c r="R953" s="54"/>
      <c r="S953" s="54"/>
      <c r="T953" s="54"/>
      <c r="U953" s="54"/>
      <c r="V953" s="54"/>
      <c r="W953" s="54"/>
      <c r="X953" s="54"/>
      <c r="Y953" s="350"/>
      <c r="Z953" s="54"/>
      <c r="AA953" s="54"/>
      <c r="AB953" s="54"/>
      <c r="AC953" s="54"/>
      <c r="AD953" s="54"/>
      <c r="AE953" s="54"/>
      <c r="AF953" s="54"/>
      <c r="AG953" s="54"/>
      <c r="AH953" s="54"/>
      <c r="AI953" s="54"/>
      <c r="AJ953" s="54"/>
      <c r="AK953" s="54"/>
      <c r="AL953" s="54"/>
      <c r="AM953" s="54"/>
      <c r="AN953" s="54"/>
      <c r="AO953" s="54"/>
      <c r="AP953" s="54"/>
      <c r="AQ953" s="54"/>
      <c r="AR953" s="54"/>
      <c r="AS953" s="54"/>
      <c r="AT953" s="54"/>
    </row>
    <row r="954">
      <c r="A954" s="54"/>
      <c r="B954" s="54"/>
      <c r="C954" s="54"/>
      <c r="D954" s="54"/>
      <c r="E954" s="54"/>
      <c r="F954" s="54"/>
      <c r="G954" s="54"/>
      <c r="H954" s="54"/>
      <c r="I954" s="54"/>
      <c r="J954" s="54"/>
      <c r="K954" s="54"/>
      <c r="L954" s="54"/>
      <c r="M954" s="54"/>
      <c r="N954" s="54"/>
      <c r="O954" s="54"/>
      <c r="P954" s="54"/>
      <c r="Q954" s="54"/>
      <c r="R954" s="54"/>
      <c r="S954" s="54"/>
      <c r="T954" s="54"/>
      <c r="U954" s="54"/>
      <c r="V954" s="54"/>
      <c r="W954" s="54"/>
      <c r="X954" s="54"/>
      <c r="Y954" s="350"/>
      <c r="Z954" s="54"/>
      <c r="AA954" s="54"/>
      <c r="AB954" s="54"/>
      <c r="AC954" s="54"/>
      <c r="AD954" s="54"/>
      <c r="AE954" s="54"/>
      <c r="AF954" s="54"/>
      <c r="AG954" s="54"/>
      <c r="AH954" s="54"/>
      <c r="AI954" s="54"/>
      <c r="AJ954" s="54"/>
      <c r="AK954" s="54"/>
      <c r="AL954" s="54"/>
      <c r="AM954" s="54"/>
      <c r="AN954" s="54"/>
      <c r="AO954" s="54"/>
      <c r="AP954" s="54"/>
      <c r="AQ954" s="54"/>
      <c r="AR954" s="54"/>
      <c r="AS954" s="54"/>
      <c r="AT954" s="54"/>
    </row>
    <row r="955">
      <c r="A955" s="54"/>
      <c r="B955" s="54"/>
      <c r="C955" s="54"/>
      <c r="D955" s="54"/>
      <c r="E955" s="54"/>
      <c r="F955" s="54"/>
      <c r="G955" s="54"/>
      <c r="H955" s="54"/>
      <c r="I955" s="54"/>
      <c r="J955" s="54"/>
      <c r="K955" s="54"/>
      <c r="L955" s="54"/>
      <c r="M955" s="54"/>
      <c r="N955" s="54"/>
      <c r="O955" s="54"/>
      <c r="P955" s="54"/>
      <c r="Q955" s="54"/>
      <c r="R955" s="54"/>
      <c r="S955" s="54"/>
      <c r="T955" s="54"/>
      <c r="U955" s="54"/>
      <c r="V955" s="54"/>
      <c r="W955" s="54"/>
      <c r="X955" s="54"/>
      <c r="Y955" s="350"/>
      <c r="Z955" s="54"/>
      <c r="AA955" s="54"/>
      <c r="AB955" s="54"/>
      <c r="AC955" s="54"/>
      <c r="AD955" s="54"/>
      <c r="AE955" s="54"/>
      <c r="AF955" s="54"/>
      <c r="AG955" s="54"/>
      <c r="AH955" s="54"/>
      <c r="AI955" s="54"/>
      <c r="AJ955" s="54"/>
      <c r="AK955" s="54"/>
      <c r="AL955" s="54"/>
      <c r="AM955" s="54"/>
      <c r="AN955" s="54"/>
      <c r="AO955" s="54"/>
      <c r="AP955" s="54"/>
      <c r="AQ955" s="54"/>
      <c r="AR955" s="54"/>
      <c r="AS955" s="54"/>
      <c r="AT955" s="54"/>
    </row>
    <row r="956">
      <c r="A956" s="54"/>
      <c r="B956" s="54"/>
      <c r="C956" s="54"/>
      <c r="D956" s="54"/>
      <c r="E956" s="54"/>
      <c r="F956" s="54"/>
      <c r="G956" s="54"/>
      <c r="H956" s="54"/>
      <c r="I956" s="54"/>
      <c r="J956" s="54"/>
      <c r="K956" s="54"/>
      <c r="L956" s="54"/>
      <c r="M956" s="54"/>
      <c r="N956" s="54"/>
      <c r="O956" s="54"/>
      <c r="P956" s="54"/>
      <c r="Q956" s="54"/>
      <c r="R956" s="54"/>
      <c r="S956" s="54"/>
      <c r="T956" s="54"/>
      <c r="U956" s="54"/>
      <c r="V956" s="54"/>
      <c r="W956" s="54"/>
      <c r="X956" s="54"/>
      <c r="Y956" s="350"/>
      <c r="Z956" s="54"/>
      <c r="AA956" s="54"/>
      <c r="AB956" s="54"/>
      <c r="AC956" s="54"/>
      <c r="AD956" s="54"/>
      <c r="AE956" s="54"/>
      <c r="AF956" s="54"/>
      <c r="AG956" s="54"/>
      <c r="AH956" s="54"/>
      <c r="AI956" s="54"/>
      <c r="AJ956" s="54"/>
      <c r="AK956" s="54"/>
      <c r="AL956" s="54"/>
      <c r="AM956" s="54"/>
      <c r="AN956" s="54"/>
      <c r="AO956" s="54"/>
      <c r="AP956" s="54"/>
      <c r="AQ956" s="54"/>
      <c r="AR956" s="54"/>
      <c r="AS956" s="54"/>
      <c r="AT956" s="54"/>
    </row>
    <row r="957">
      <c r="A957" s="54"/>
      <c r="B957" s="54"/>
      <c r="C957" s="54"/>
      <c r="D957" s="54"/>
      <c r="E957" s="54"/>
      <c r="F957" s="54"/>
      <c r="G957" s="54"/>
      <c r="H957" s="54"/>
      <c r="I957" s="54"/>
      <c r="J957" s="54"/>
      <c r="K957" s="54"/>
      <c r="L957" s="54"/>
      <c r="M957" s="54"/>
      <c r="N957" s="54"/>
      <c r="O957" s="54"/>
      <c r="P957" s="54"/>
      <c r="Q957" s="54"/>
      <c r="R957" s="54"/>
      <c r="S957" s="54"/>
      <c r="T957" s="54"/>
      <c r="U957" s="54"/>
      <c r="V957" s="54"/>
      <c r="W957" s="54"/>
      <c r="X957" s="54"/>
      <c r="Y957" s="350"/>
      <c r="Z957" s="54"/>
      <c r="AA957" s="54"/>
      <c r="AB957" s="54"/>
      <c r="AC957" s="54"/>
      <c r="AD957" s="54"/>
      <c r="AE957" s="54"/>
      <c r="AF957" s="54"/>
      <c r="AG957" s="54"/>
      <c r="AH957" s="54"/>
      <c r="AI957" s="54"/>
      <c r="AJ957" s="54"/>
      <c r="AK957" s="54"/>
      <c r="AL957" s="54"/>
      <c r="AM957" s="54"/>
      <c r="AN957" s="54"/>
      <c r="AO957" s="54"/>
      <c r="AP957" s="54"/>
      <c r="AQ957" s="54"/>
      <c r="AR957" s="54"/>
      <c r="AS957" s="54"/>
      <c r="AT957" s="54"/>
    </row>
    <row r="958">
      <c r="A958" s="54"/>
      <c r="B958" s="54"/>
      <c r="C958" s="54"/>
      <c r="D958" s="54"/>
      <c r="E958" s="54"/>
      <c r="F958" s="54"/>
      <c r="G958" s="54"/>
      <c r="H958" s="54"/>
      <c r="I958" s="54"/>
      <c r="J958" s="54"/>
      <c r="K958" s="54"/>
      <c r="L958" s="54"/>
      <c r="M958" s="54"/>
      <c r="N958" s="54"/>
      <c r="O958" s="54"/>
      <c r="P958" s="54"/>
      <c r="Q958" s="54"/>
      <c r="R958" s="54"/>
      <c r="S958" s="54"/>
      <c r="T958" s="54"/>
      <c r="U958" s="54"/>
      <c r="V958" s="54"/>
      <c r="W958" s="54"/>
      <c r="X958" s="54"/>
      <c r="Y958" s="350"/>
      <c r="Z958" s="54"/>
      <c r="AA958" s="54"/>
      <c r="AB958" s="54"/>
      <c r="AC958" s="54"/>
      <c r="AD958" s="54"/>
      <c r="AE958" s="54"/>
      <c r="AF958" s="54"/>
      <c r="AG958" s="54"/>
      <c r="AH958" s="54"/>
      <c r="AI958" s="54"/>
      <c r="AJ958" s="54"/>
      <c r="AK958" s="54"/>
      <c r="AL958" s="54"/>
      <c r="AM958" s="54"/>
      <c r="AN958" s="54"/>
      <c r="AO958" s="54"/>
      <c r="AP958" s="54"/>
      <c r="AQ958" s="54"/>
      <c r="AR958" s="54"/>
      <c r="AS958" s="54"/>
      <c r="AT958" s="54"/>
    </row>
    <row r="959">
      <c r="A959" s="54"/>
      <c r="B959" s="54"/>
      <c r="C959" s="54"/>
      <c r="D959" s="54"/>
      <c r="E959" s="54"/>
      <c r="F959" s="54"/>
      <c r="G959" s="54"/>
      <c r="H959" s="54"/>
      <c r="I959" s="54"/>
      <c r="J959" s="54"/>
      <c r="K959" s="54"/>
      <c r="L959" s="54"/>
      <c r="M959" s="54"/>
      <c r="N959" s="54"/>
      <c r="O959" s="54"/>
      <c r="P959" s="54"/>
      <c r="Q959" s="54"/>
      <c r="R959" s="54"/>
      <c r="S959" s="54"/>
      <c r="T959" s="54"/>
      <c r="U959" s="54"/>
      <c r="V959" s="54"/>
      <c r="W959" s="54"/>
      <c r="X959" s="54"/>
      <c r="Y959" s="350"/>
      <c r="Z959" s="54"/>
      <c r="AA959" s="54"/>
      <c r="AB959" s="54"/>
      <c r="AC959" s="54"/>
      <c r="AD959" s="54"/>
      <c r="AE959" s="54"/>
      <c r="AF959" s="54"/>
      <c r="AG959" s="54"/>
      <c r="AH959" s="54"/>
      <c r="AI959" s="54"/>
      <c r="AJ959" s="54"/>
      <c r="AK959" s="54"/>
      <c r="AL959" s="54"/>
      <c r="AM959" s="54"/>
      <c r="AN959" s="54"/>
      <c r="AO959" s="54"/>
      <c r="AP959" s="54"/>
      <c r="AQ959" s="54"/>
      <c r="AR959" s="54"/>
      <c r="AS959" s="54"/>
      <c r="AT959" s="54"/>
    </row>
    <row r="960">
      <c r="A960" s="54"/>
      <c r="B960" s="54"/>
      <c r="C960" s="54"/>
      <c r="D960" s="54"/>
      <c r="E960" s="54"/>
      <c r="F960" s="54"/>
      <c r="G960" s="54"/>
      <c r="H960" s="54"/>
      <c r="I960" s="54"/>
      <c r="J960" s="54"/>
      <c r="K960" s="54"/>
      <c r="L960" s="54"/>
      <c r="M960" s="54"/>
      <c r="N960" s="54"/>
      <c r="O960" s="54"/>
      <c r="P960" s="54"/>
      <c r="Q960" s="54"/>
      <c r="R960" s="54"/>
      <c r="S960" s="54"/>
      <c r="T960" s="54"/>
      <c r="U960" s="54"/>
      <c r="V960" s="54"/>
      <c r="W960" s="54"/>
      <c r="X960" s="54"/>
      <c r="Y960" s="350"/>
      <c r="Z960" s="54"/>
      <c r="AA960" s="54"/>
      <c r="AB960" s="54"/>
      <c r="AC960" s="54"/>
      <c r="AD960" s="54"/>
      <c r="AE960" s="54"/>
      <c r="AF960" s="54"/>
      <c r="AG960" s="54"/>
      <c r="AH960" s="54"/>
      <c r="AI960" s="54"/>
      <c r="AJ960" s="54"/>
      <c r="AK960" s="54"/>
      <c r="AL960" s="54"/>
      <c r="AM960" s="54"/>
      <c r="AN960" s="54"/>
      <c r="AO960" s="54"/>
      <c r="AP960" s="54"/>
      <c r="AQ960" s="54"/>
      <c r="AR960" s="54"/>
      <c r="AS960" s="54"/>
      <c r="AT960" s="54"/>
    </row>
    <row r="961">
      <c r="A961" s="54"/>
      <c r="B961" s="54"/>
      <c r="C961" s="54"/>
      <c r="D961" s="54"/>
      <c r="E961" s="54"/>
      <c r="F961" s="54"/>
      <c r="G961" s="54"/>
      <c r="H961" s="54"/>
      <c r="I961" s="54"/>
      <c r="J961" s="54"/>
      <c r="K961" s="54"/>
      <c r="L961" s="54"/>
      <c r="M961" s="54"/>
      <c r="N961" s="54"/>
      <c r="O961" s="54"/>
      <c r="P961" s="54"/>
      <c r="Q961" s="54"/>
      <c r="R961" s="54"/>
      <c r="S961" s="54"/>
      <c r="T961" s="54"/>
      <c r="U961" s="54"/>
      <c r="V961" s="54"/>
      <c r="W961" s="54"/>
      <c r="X961" s="54"/>
      <c r="Y961" s="350"/>
      <c r="Z961" s="54"/>
      <c r="AA961" s="54"/>
      <c r="AB961" s="54"/>
      <c r="AC961" s="54"/>
      <c r="AD961" s="54"/>
      <c r="AE961" s="54"/>
      <c r="AF961" s="54"/>
      <c r="AG961" s="54"/>
      <c r="AH961" s="54"/>
      <c r="AI961" s="54"/>
      <c r="AJ961" s="54"/>
      <c r="AK961" s="54"/>
      <c r="AL961" s="54"/>
      <c r="AM961" s="54"/>
      <c r="AN961" s="54"/>
      <c r="AO961" s="54"/>
      <c r="AP961" s="54"/>
      <c r="AQ961" s="54"/>
      <c r="AR961" s="54"/>
      <c r="AS961" s="54"/>
      <c r="AT961" s="54"/>
    </row>
    <row r="962">
      <c r="A962" s="54"/>
      <c r="B962" s="54"/>
      <c r="C962" s="54"/>
      <c r="D962" s="54"/>
      <c r="E962" s="54"/>
      <c r="F962" s="54"/>
      <c r="G962" s="54"/>
      <c r="H962" s="54"/>
      <c r="I962" s="54"/>
      <c r="J962" s="54"/>
      <c r="K962" s="54"/>
      <c r="L962" s="54"/>
      <c r="M962" s="54"/>
      <c r="N962" s="54"/>
      <c r="O962" s="54"/>
      <c r="P962" s="54"/>
      <c r="Q962" s="54"/>
      <c r="R962" s="54"/>
      <c r="S962" s="54"/>
      <c r="T962" s="54"/>
      <c r="U962" s="54"/>
      <c r="V962" s="54"/>
      <c r="W962" s="54"/>
      <c r="X962" s="54"/>
      <c r="Y962" s="350"/>
      <c r="Z962" s="54"/>
      <c r="AA962" s="54"/>
      <c r="AB962" s="54"/>
      <c r="AC962" s="54"/>
      <c r="AD962" s="54"/>
      <c r="AE962" s="54"/>
      <c r="AF962" s="54"/>
      <c r="AG962" s="54"/>
      <c r="AH962" s="54"/>
      <c r="AI962" s="54"/>
      <c r="AJ962" s="54"/>
      <c r="AK962" s="54"/>
      <c r="AL962" s="54"/>
      <c r="AM962" s="54"/>
      <c r="AN962" s="54"/>
      <c r="AO962" s="54"/>
      <c r="AP962" s="54"/>
      <c r="AQ962" s="54"/>
      <c r="AR962" s="54"/>
      <c r="AS962" s="54"/>
      <c r="AT962" s="54"/>
    </row>
    <row r="963">
      <c r="A963" s="54"/>
      <c r="B963" s="54"/>
      <c r="C963" s="54"/>
      <c r="D963" s="54"/>
      <c r="E963" s="54"/>
      <c r="F963" s="54"/>
      <c r="G963" s="54"/>
      <c r="H963" s="54"/>
      <c r="I963" s="54"/>
      <c r="J963" s="54"/>
      <c r="K963" s="54"/>
      <c r="L963" s="54"/>
      <c r="M963" s="54"/>
      <c r="N963" s="54"/>
      <c r="O963" s="54"/>
      <c r="P963" s="54"/>
      <c r="Q963" s="54"/>
      <c r="R963" s="54"/>
      <c r="S963" s="54"/>
      <c r="T963" s="54"/>
      <c r="U963" s="54"/>
      <c r="V963" s="54"/>
      <c r="W963" s="54"/>
      <c r="X963" s="54"/>
      <c r="Y963" s="350"/>
      <c r="Z963" s="54"/>
      <c r="AA963" s="54"/>
      <c r="AB963" s="54"/>
      <c r="AC963" s="54"/>
      <c r="AD963" s="54"/>
      <c r="AE963" s="54"/>
      <c r="AF963" s="54"/>
      <c r="AG963" s="54"/>
      <c r="AH963" s="54"/>
      <c r="AI963" s="54"/>
      <c r="AJ963" s="54"/>
      <c r="AK963" s="54"/>
      <c r="AL963" s="54"/>
      <c r="AM963" s="54"/>
      <c r="AN963" s="54"/>
      <c r="AO963" s="54"/>
      <c r="AP963" s="54"/>
      <c r="AQ963" s="54"/>
      <c r="AR963" s="54"/>
      <c r="AS963" s="54"/>
      <c r="AT963" s="54"/>
    </row>
    <row r="964">
      <c r="A964" s="54"/>
      <c r="B964" s="54"/>
      <c r="C964" s="54"/>
      <c r="D964" s="54"/>
      <c r="E964" s="54"/>
      <c r="F964" s="54"/>
      <c r="G964" s="54"/>
      <c r="H964" s="54"/>
      <c r="I964" s="54"/>
      <c r="J964" s="54"/>
      <c r="K964" s="54"/>
      <c r="L964" s="54"/>
      <c r="M964" s="54"/>
      <c r="N964" s="54"/>
      <c r="O964" s="54"/>
      <c r="P964" s="54"/>
      <c r="Q964" s="54"/>
      <c r="R964" s="54"/>
      <c r="S964" s="54"/>
      <c r="T964" s="54"/>
      <c r="U964" s="54"/>
      <c r="V964" s="54"/>
      <c r="W964" s="54"/>
      <c r="X964" s="54"/>
      <c r="Y964" s="350"/>
      <c r="Z964" s="54"/>
      <c r="AA964" s="54"/>
      <c r="AB964" s="54"/>
      <c r="AC964" s="54"/>
      <c r="AD964" s="54"/>
      <c r="AE964" s="54"/>
      <c r="AF964" s="54"/>
      <c r="AG964" s="54"/>
      <c r="AH964" s="54"/>
      <c r="AI964" s="54"/>
      <c r="AJ964" s="54"/>
      <c r="AK964" s="54"/>
      <c r="AL964" s="54"/>
      <c r="AM964" s="54"/>
      <c r="AN964" s="54"/>
      <c r="AO964" s="54"/>
      <c r="AP964" s="54"/>
      <c r="AQ964" s="54"/>
      <c r="AR964" s="54"/>
      <c r="AS964" s="54"/>
      <c r="AT964" s="54"/>
    </row>
    <row r="965">
      <c r="A965" s="54"/>
      <c r="B965" s="54"/>
      <c r="C965" s="54"/>
      <c r="D965" s="54"/>
      <c r="E965" s="54"/>
      <c r="F965" s="54"/>
      <c r="G965" s="54"/>
      <c r="H965" s="54"/>
      <c r="I965" s="54"/>
      <c r="J965" s="54"/>
      <c r="K965" s="54"/>
      <c r="L965" s="54"/>
      <c r="M965" s="54"/>
      <c r="N965" s="54"/>
      <c r="O965" s="54"/>
      <c r="P965" s="54"/>
      <c r="Q965" s="54"/>
      <c r="R965" s="54"/>
      <c r="S965" s="54"/>
      <c r="T965" s="54"/>
      <c r="U965" s="54"/>
      <c r="V965" s="54"/>
      <c r="W965" s="54"/>
      <c r="X965" s="54"/>
      <c r="Y965" s="350"/>
      <c r="Z965" s="54"/>
      <c r="AA965" s="54"/>
      <c r="AB965" s="54"/>
      <c r="AC965" s="54"/>
      <c r="AD965" s="54"/>
      <c r="AE965" s="54"/>
      <c r="AF965" s="54"/>
      <c r="AG965" s="54"/>
      <c r="AH965" s="54"/>
      <c r="AI965" s="54"/>
      <c r="AJ965" s="54"/>
      <c r="AK965" s="54"/>
      <c r="AL965" s="54"/>
      <c r="AM965" s="54"/>
      <c r="AN965" s="54"/>
      <c r="AO965" s="54"/>
      <c r="AP965" s="54"/>
      <c r="AQ965" s="54"/>
      <c r="AR965" s="54"/>
      <c r="AS965" s="54"/>
      <c r="AT965" s="54"/>
    </row>
    <row r="966">
      <c r="A966" s="54"/>
      <c r="B966" s="54"/>
      <c r="C966" s="54"/>
      <c r="D966" s="54"/>
      <c r="E966" s="54"/>
      <c r="F966" s="54"/>
      <c r="G966" s="54"/>
      <c r="H966" s="54"/>
      <c r="I966" s="54"/>
      <c r="J966" s="54"/>
      <c r="K966" s="54"/>
      <c r="L966" s="54"/>
      <c r="M966" s="54"/>
      <c r="N966" s="54"/>
      <c r="O966" s="54"/>
      <c r="P966" s="54"/>
      <c r="Q966" s="54"/>
      <c r="R966" s="54"/>
      <c r="S966" s="54"/>
      <c r="T966" s="54"/>
      <c r="U966" s="54"/>
      <c r="V966" s="54"/>
      <c r="W966" s="54"/>
      <c r="X966" s="54"/>
      <c r="Y966" s="350"/>
      <c r="Z966" s="54"/>
      <c r="AA966" s="54"/>
      <c r="AB966" s="54"/>
      <c r="AC966" s="54"/>
      <c r="AD966" s="54"/>
      <c r="AE966" s="54"/>
      <c r="AF966" s="54"/>
      <c r="AG966" s="54"/>
      <c r="AH966" s="54"/>
      <c r="AI966" s="54"/>
      <c r="AJ966" s="54"/>
      <c r="AK966" s="54"/>
      <c r="AL966" s="54"/>
      <c r="AM966" s="54"/>
      <c r="AN966" s="54"/>
      <c r="AO966" s="54"/>
      <c r="AP966" s="54"/>
      <c r="AQ966" s="54"/>
      <c r="AR966" s="54"/>
      <c r="AS966" s="54"/>
      <c r="AT966" s="54"/>
    </row>
    <row r="967">
      <c r="A967" s="54"/>
      <c r="B967" s="54"/>
      <c r="C967" s="54"/>
      <c r="D967" s="54"/>
      <c r="E967" s="54"/>
      <c r="F967" s="54"/>
      <c r="G967" s="54"/>
      <c r="H967" s="54"/>
      <c r="I967" s="54"/>
      <c r="J967" s="54"/>
      <c r="K967" s="54"/>
      <c r="L967" s="54"/>
      <c r="M967" s="54"/>
      <c r="N967" s="54"/>
      <c r="O967" s="54"/>
      <c r="P967" s="54"/>
      <c r="Q967" s="54"/>
      <c r="R967" s="54"/>
      <c r="S967" s="54"/>
      <c r="T967" s="54"/>
      <c r="U967" s="54"/>
      <c r="V967" s="54"/>
      <c r="W967" s="54"/>
      <c r="X967" s="54"/>
      <c r="Y967" s="350"/>
      <c r="Z967" s="54"/>
      <c r="AA967" s="54"/>
      <c r="AB967" s="54"/>
      <c r="AC967" s="54"/>
      <c r="AD967" s="54"/>
      <c r="AE967" s="54"/>
      <c r="AF967" s="54"/>
      <c r="AG967" s="54"/>
      <c r="AH967" s="54"/>
      <c r="AI967" s="54"/>
      <c r="AJ967" s="54"/>
      <c r="AK967" s="54"/>
      <c r="AL967" s="54"/>
      <c r="AM967" s="54"/>
      <c r="AN967" s="54"/>
      <c r="AO967" s="54"/>
      <c r="AP967" s="54"/>
      <c r="AQ967" s="54"/>
      <c r="AR967" s="54"/>
      <c r="AS967" s="54"/>
      <c r="AT967" s="54"/>
    </row>
    <row r="968">
      <c r="A968" s="54"/>
      <c r="B968" s="54"/>
      <c r="C968" s="54"/>
      <c r="D968" s="54"/>
      <c r="E968" s="54"/>
      <c r="F968" s="54"/>
      <c r="G968" s="54"/>
      <c r="H968" s="54"/>
      <c r="I968" s="54"/>
      <c r="J968" s="54"/>
      <c r="K968" s="54"/>
      <c r="L968" s="54"/>
      <c r="M968" s="54"/>
      <c r="N968" s="54"/>
      <c r="O968" s="54"/>
      <c r="P968" s="54"/>
      <c r="Q968" s="54"/>
      <c r="R968" s="54"/>
      <c r="S968" s="54"/>
      <c r="T968" s="54"/>
      <c r="U968" s="54"/>
      <c r="V968" s="54"/>
      <c r="W968" s="54"/>
      <c r="X968" s="54"/>
      <c r="Y968" s="350"/>
      <c r="Z968" s="54"/>
      <c r="AA968" s="54"/>
      <c r="AB968" s="54"/>
      <c r="AC968" s="54"/>
      <c r="AD968" s="54"/>
      <c r="AE968" s="54"/>
      <c r="AF968" s="54"/>
      <c r="AG968" s="54"/>
      <c r="AH968" s="54"/>
      <c r="AI968" s="54"/>
      <c r="AJ968" s="54"/>
      <c r="AK968" s="54"/>
      <c r="AL968" s="54"/>
      <c r="AM968" s="54"/>
      <c r="AN968" s="54"/>
      <c r="AO968" s="54"/>
      <c r="AP968" s="54"/>
      <c r="AQ968" s="54"/>
      <c r="AR968" s="54"/>
      <c r="AS968" s="54"/>
      <c r="AT968" s="54"/>
    </row>
  </sheetData>
  <hyperlinks>
    <hyperlink r:id="rId1" ref="R7"/>
    <hyperlink r:id="rId2" ref="R8"/>
    <hyperlink r:id="rId3" ref="R9"/>
    <hyperlink r:id="rId4" ref="R10"/>
    <hyperlink r:id="rId5" ref="E44"/>
    <hyperlink r:id="rId6" ref="R52"/>
    <hyperlink r:id="rId7" ref="R53"/>
    <hyperlink r:id="rId8" ref="V53"/>
    <hyperlink r:id="rId9" ref="S76"/>
    <hyperlink r:id="rId10" ref="S77"/>
    <hyperlink r:id="rId11" ref="S78"/>
    <hyperlink r:id="rId12" ref="S83"/>
    <hyperlink r:id="rId13" ref="S84"/>
    <hyperlink r:id="rId14" ref="S90"/>
    <hyperlink r:id="rId15" ref="S91"/>
    <hyperlink r:id="rId16" ref="S92"/>
    <hyperlink r:id="rId17" ref="S93"/>
    <hyperlink r:id="rId18" ref="S94"/>
    <hyperlink r:id="rId19" ref="S95"/>
    <hyperlink r:id="rId20" ref="S96"/>
    <hyperlink r:id="rId21" ref="S97"/>
    <hyperlink r:id="rId22" ref="S98"/>
    <hyperlink r:id="rId23" ref="S99"/>
    <hyperlink r:id="rId24" ref="S100"/>
    <hyperlink r:id="rId25" ref="S101"/>
    <hyperlink r:id="rId26" ref="S102"/>
    <hyperlink r:id="rId27" ref="S103"/>
    <hyperlink r:id="rId28" ref="F302"/>
  </hyperlinks>
  <drawing r:id="rId29"/>
</worksheet>
</file>